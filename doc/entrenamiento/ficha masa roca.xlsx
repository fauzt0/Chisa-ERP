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20_C019la\Documents\Respaldo\Imágenes\RECICLAJE\ESCRITORIO\"/>
    </mc:Choice>
  </mc:AlternateContent>
  <xr:revisionPtr revIDLastSave="0" documentId="13_ncr:1_{80EB4880-A0CA-4738-8724-E0C8A45E9A6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5" i="1" l="1"/>
  <c r="B85" i="1"/>
  <c r="D85" i="1" s="1"/>
  <c r="D84" i="1"/>
  <c r="F84" i="1" s="1"/>
  <c r="D83" i="1"/>
  <c r="F83" i="1" s="1"/>
  <c r="D82" i="1"/>
  <c r="F82" i="1" s="1"/>
  <c r="D81" i="1"/>
  <c r="F81" i="1" s="1"/>
  <c r="D80" i="1"/>
  <c r="F80" i="1" s="1"/>
  <c r="E51" i="1"/>
  <c r="B51" i="1"/>
  <c r="D51" i="1" s="1"/>
  <c r="D50" i="1"/>
  <c r="F50" i="1" s="1"/>
  <c r="D49" i="1"/>
  <c r="F49" i="1" s="1"/>
  <c r="D48" i="1"/>
  <c r="F48" i="1" s="1"/>
  <c r="D47" i="1"/>
  <c r="F47" i="1" s="1"/>
  <c r="E15" i="1"/>
  <c r="B15" i="1"/>
  <c r="D15" i="1" s="1"/>
  <c r="D14" i="1"/>
  <c r="F14" i="1" s="1"/>
  <c r="D13" i="1"/>
  <c r="F13" i="1" s="1"/>
  <c r="D12" i="1"/>
  <c r="F12" i="1" s="1"/>
  <c r="D11" i="1"/>
  <c r="F11" i="1" s="1"/>
  <c r="D10" i="1"/>
  <c r="F10" i="1" s="1"/>
  <c r="F15" i="1" l="1"/>
  <c r="F85" i="1"/>
  <c r="F51" i="1"/>
</calcChain>
</file>

<file path=xl/sharedStrings.xml><?xml version="1.0" encoding="utf-8"?>
<sst xmlns="http://schemas.openxmlformats.org/spreadsheetml/2006/main" count="50" uniqueCount="22">
  <si>
    <t>MASA ROCA</t>
  </si>
  <si>
    <t xml:space="preserve"> </t>
  </si>
  <si>
    <t>P.U</t>
  </si>
  <si>
    <t>TOTAL</t>
  </si>
  <si>
    <t>CEMENTO GRIS</t>
  </si>
  <si>
    <t>CEMENTOGRIS</t>
  </si>
  <si>
    <t xml:space="preserve">CEMENTO BLANCO </t>
  </si>
  <si>
    <t>MARMOLINA</t>
  </si>
  <si>
    <t>CARBONATO</t>
  </si>
  <si>
    <t>TILOSE</t>
  </si>
  <si>
    <t>KG DE CEMENTO GRIS</t>
  </si>
  <si>
    <t>KG DE CEMENTO BLANCO</t>
  </si>
  <si>
    <t>M2   6.72</t>
  </si>
  <si>
    <t>KG DE SELLADOR INICIAL</t>
  </si>
  <si>
    <t>1  MANO</t>
  </si>
  <si>
    <t>RESINA   D-06</t>
  </si>
  <si>
    <t>KILOS  1.000</t>
  </si>
  <si>
    <t>M2  6.72</t>
  </si>
  <si>
    <t>1 MANO</t>
  </si>
  <si>
    <t>BRECH PLAST</t>
  </si>
  <si>
    <t>RESINA</t>
  </si>
  <si>
    <t xml:space="preserve">CEMENTO GRIS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</si>
</sst>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0" fontId="0" fillId="0" borderId="0" xfId="0" applyNumberFormat="1"/>
    <xf numFmtId="8" fontId="0" fillId="0" borderId="0" xfId="0" applyNumberFormat="1"/>
    <xf numFmtId="10" fontId="0" fillId="0" borderId="0" xfId="0" applyNumberFormat="1" applyBorder="1"/>
    <xf numFmtId="0" fontId="0" fillId="0" borderId="0" xfId="0" applyBorder="1"/>
    <xf numFmtId="8" fontId="0" fillId="0" borderId="0" xfId="0" applyNumberFormat="1" applyBorder="1"/>
    <xf numFmtId="164" fontId="0" fillId="0" borderId="0" xfId="0" applyNumberFormat="1"/>
    <xf numFmtId="14" fontId="0" fillId="0" borderId="0" xfId="0" applyNumberFormat="1"/>
    <xf numFmtId="10" fontId="0" fillId="0" borderId="1" xfId="0" applyNumberFormat="1" applyBorder="1"/>
    <xf numFmtId="8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tabSelected="1" workbookViewId="0">
      <selection activeCell="E36" sqref="E36"/>
    </sheetView>
  </sheetViews>
  <sheetFormatPr baseColWidth="10" defaultRowHeight="15" x14ac:dyDescent="0.25"/>
  <cols>
    <col min="1" max="1" width="23.42578125" customWidth="1"/>
    <col min="3" max="3" width="19.28515625" customWidth="1"/>
  </cols>
  <sheetData>
    <row r="1" spans="1:6" x14ac:dyDescent="0.25">
      <c r="A1" t="s">
        <v>0</v>
      </c>
      <c r="B1" s="1"/>
      <c r="E1" s="2"/>
      <c r="F1" s="2"/>
    </row>
    <row r="2" spans="1:6" x14ac:dyDescent="0.25">
      <c r="B2" s="1"/>
      <c r="E2" s="2"/>
      <c r="F2" s="2"/>
    </row>
    <row r="3" spans="1:6" x14ac:dyDescent="0.25">
      <c r="B3" s="3"/>
      <c r="D3" s="4"/>
      <c r="E3" s="5"/>
      <c r="F3" s="5"/>
    </row>
    <row r="4" spans="1:6" x14ac:dyDescent="0.25">
      <c r="B4" s="1"/>
      <c r="D4" s="6"/>
      <c r="E4" s="2"/>
      <c r="F4" s="2"/>
    </row>
    <row r="6" spans="1:6" x14ac:dyDescent="0.25">
      <c r="A6" t="s">
        <v>0</v>
      </c>
      <c r="D6" s="6">
        <v>20</v>
      </c>
    </row>
    <row r="7" spans="1:6" x14ac:dyDescent="0.25">
      <c r="A7" s="7">
        <v>40290</v>
      </c>
    </row>
    <row r="9" spans="1:6" x14ac:dyDescent="0.25">
      <c r="A9" t="s">
        <v>1</v>
      </c>
      <c r="D9" s="6"/>
      <c r="E9" t="s">
        <v>2</v>
      </c>
      <c r="F9" t="s">
        <v>3</v>
      </c>
    </row>
    <row r="10" spans="1:6" x14ac:dyDescent="0.25">
      <c r="A10" t="s">
        <v>4</v>
      </c>
      <c r="B10" s="1">
        <v>0.1575</v>
      </c>
      <c r="C10" t="s">
        <v>5</v>
      </c>
      <c r="D10" s="6">
        <f>D6*B10</f>
        <v>3.15</v>
      </c>
      <c r="E10" s="2">
        <v>2.76</v>
      </c>
      <c r="F10" s="2">
        <f>D10*E10</f>
        <v>8.6939999999999991</v>
      </c>
    </row>
    <row r="11" spans="1:6" x14ac:dyDescent="0.25">
      <c r="A11" t="s">
        <v>6</v>
      </c>
      <c r="B11" s="1">
        <v>0.1575</v>
      </c>
      <c r="C11" t="s">
        <v>6</v>
      </c>
      <c r="D11" s="6">
        <f>D6*B11</f>
        <v>3.15</v>
      </c>
      <c r="E11" s="2">
        <v>4.2</v>
      </c>
      <c r="F11" s="2">
        <f>D11*E11</f>
        <v>13.23</v>
      </c>
    </row>
    <row r="12" spans="1:6" x14ac:dyDescent="0.25">
      <c r="A12" t="s">
        <v>7</v>
      </c>
      <c r="B12" s="1">
        <v>0.56499999999999995</v>
      </c>
      <c r="C12" t="s">
        <v>7</v>
      </c>
      <c r="D12" s="6">
        <f>D6*B12</f>
        <v>11.299999999999999</v>
      </c>
      <c r="E12" s="2">
        <v>0.76</v>
      </c>
      <c r="F12" s="2">
        <f>D12*E12</f>
        <v>8.5879999999999992</v>
      </c>
    </row>
    <row r="13" spans="1:6" x14ac:dyDescent="0.25">
      <c r="A13" t="s">
        <v>8</v>
      </c>
      <c r="B13" s="1">
        <v>0.115</v>
      </c>
      <c r="C13" t="s">
        <v>8</v>
      </c>
      <c r="D13" s="6">
        <f>D6*B13</f>
        <v>2.3000000000000003</v>
      </c>
      <c r="E13" s="2">
        <v>0.68</v>
      </c>
      <c r="F13" s="2">
        <f>D13*E13</f>
        <v>1.5640000000000003</v>
      </c>
    </row>
    <row r="14" spans="1:6" x14ac:dyDescent="0.25">
      <c r="A14" t="s">
        <v>9</v>
      </c>
      <c r="B14" s="8">
        <v>5.0000000000000001E-3</v>
      </c>
      <c r="C14" t="s">
        <v>9</v>
      </c>
      <c r="D14" s="10">
        <f>D6*B14</f>
        <v>0.1</v>
      </c>
      <c r="E14" s="9">
        <v>2.72</v>
      </c>
      <c r="F14" s="9">
        <f>D14*E14</f>
        <v>0.27200000000000002</v>
      </c>
    </row>
    <row r="15" spans="1:6" x14ac:dyDescent="0.25">
      <c r="B15" s="1">
        <f>SUM(B10:B14)</f>
        <v>0.99999999999999989</v>
      </c>
      <c r="D15" s="6">
        <f>D6*B15</f>
        <v>19.999999999999996</v>
      </c>
      <c r="E15" s="2">
        <f>SUM(E10:E14)</f>
        <v>11.120000000000001</v>
      </c>
      <c r="F15" s="2">
        <f>SUM(F10:F14)</f>
        <v>32.347999999999999</v>
      </c>
    </row>
    <row r="18" spans="1:2" x14ac:dyDescent="0.25">
      <c r="A18" t="s">
        <v>10</v>
      </c>
      <c r="B18" s="2">
        <v>2.76</v>
      </c>
    </row>
    <row r="19" spans="1:2" x14ac:dyDescent="0.25">
      <c r="A19" t="s">
        <v>11</v>
      </c>
      <c r="B19" s="2">
        <v>4.2</v>
      </c>
    </row>
    <row r="20" spans="1:2" x14ac:dyDescent="0.25">
      <c r="A20" t="s">
        <v>12</v>
      </c>
    </row>
    <row r="22" spans="1:2" x14ac:dyDescent="0.25">
      <c r="A22" t="s">
        <v>13</v>
      </c>
      <c r="B22" s="2">
        <v>6.67</v>
      </c>
    </row>
    <row r="23" spans="1:2" x14ac:dyDescent="0.25">
      <c r="A23" t="s">
        <v>14</v>
      </c>
    </row>
    <row r="38" spans="1:6" x14ac:dyDescent="0.25">
      <c r="A38" t="s">
        <v>0</v>
      </c>
      <c r="B38" s="1"/>
      <c r="E38" s="2"/>
      <c r="F38" s="2"/>
    </row>
    <row r="39" spans="1:6" x14ac:dyDescent="0.25">
      <c r="B39" s="3"/>
      <c r="D39" s="4"/>
      <c r="E39" s="5"/>
      <c r="F39" s="5"/>
    </row>
    <row r="40" spans="1:6" x14ac:dyDescent="0.25">
      <c r="B40" s="1"/>
      <c r="D40" s="6"/>
      <c r="E40" s="2"/>
      <c r="F40" s="2"/>
    </row>
    <row r="42" spans="1:6" x14ac:dyDescent="0.25">
      <c r="A42" t="s">
        <v>0</v>
      </c>
    </row>
    <row r="43" spans="1:6" x14ac:dyDescent="0.25">
      <c r="A43" s="7">
        <v>40290</v>
      </c>
    </row>
    <row r="45" spans="1:6" x14ac:dyDescent="0.25">
      <c r="A45" t="s">
        <v>1</v>
      </c>
      <c r="D45" s="6">
        <v>20</v>
      </c>
      <c r="E45" t="s">
        <v>2</v>
      </c>
      <c r="F45" t="s">
        <v>3</v>
      </c>
    </row>
    <row r="46" spans="1:6" x14ac:dyDescent="0.25">
      <c r="B46" s="1"/>
      <c r="E46" s="2"/>
      <c r="F46" s="2"/>
    </row>
    <row r="47" spans="1:6" x14ac:dyDescent="0.25">
      <c r="A47" t="s">
        <v>6</v>
      </c>
      <c r="B47" s="1">
        <v>0.315</v>
      </c>
      <c r="C47" t="s">
        <v>6</v>
      </c>
      <c r="D47" s="6">
        <f>D45*B47</f>
        <v>6.3</v>
      </c>
      <c r="E47" s="2">
        <v>4.2</v>
      </c>
      <c r="F47" s="2">
        <f>D47*E47</f>
        <v>26.46</v>
      </c>
    </row>
    <row r="48" spans="1:6" x14ac:dyDescent="0.25">
      <c r="A48" t="s">
        <v>7</v>
      </c>
      <c r="B48" s="1">
        <v>0.56499999999999995</v>
      </c>
      <c r="C48" t="s">
        <v>7</v>
      </c>
      <c r="D48" s="6">
        <f>D45*B48</f>
        <v>11.299999999999999</v>
      </c>
      <c r="E48" s="2">
        <v>0.76</v>
      </c>
      <c r="F48" s="2">
        <f>D48*E48</f>
        <v>8.5879999999999992</v>
      </c>
    </row>
    <row r="49" spans="1:6" x14ac:dyDescent="0.25">
      <c r="A49" t="s">
        <v>8</v>
      </c>
      <c r="B49" s="1">
        <v>0.115</v>
      </c>
      <c r="C49" t="s">
        <v>8</v>
      </c>
      <c r="D49" s="6">
        <f>D45*B49</f>
        <v>2.3000000000000003</v>
      </c>
      <c r="E49" s="2">
        <v>0.68</v>
      </c>
      <c r="F49" s="2">
        <f>D49*E49</f>
        <v>1.5640000000000003</v>
      </c>
    </row>
    <row r="50" spans="1:6" x14ac:dyDescent="0.25">
      <c r="A50" t="s">
        <v>9</v>
      </c>
      <c r="B50" s="8">
        <v>5.0000000000000001E-3</v>
      </c>
      <c r="C50" t="s">
        <v>9</v>
      </c>
      <c r="D50" s="10">
        <f>D45*B50</f>
        <v>0.1</v>
      </c>
      <c r="E50" s="9">
        <v>2.72</v>
      </c>
      <c r="F50" s="9">
        <f>D50*E50</f>
        <v>0.27200000000000002</v>
      </c>
    </row>
    <row r="51" spans="1:6" x14ac:dyDescent="0.25">
      <c r="B51" s="1">
        <f>SUM(B46:B50)</f>
        <v>0.99999999999999989</v>
      </c>
      <c r="D51" s="6">
        <f>D45*B51</f>
        <v>19.999999999999996</v>
      </c>
      <c r="E51" s="2">
        <f>SUM(E46:E50)</f>
        <v>8.36</v>
      </c>
      <c r="F51" s="2">
        <f>SUM(F46:F50)</f>
        <v>36.884</v>
      </c>
    </row>
    <row r="54" spans="1:6" x14ac:dyDescent="0.25">
      <c r="A54" t="s">
        <v>11</v>
      </c>
      <c r="B54" s="2">
        <v>4.2</v>
      </c>
    </row>
    <row r="55" spans="1:6" x14ac:dyDescent="0.25">
      <c r="A55" t="s">
        <v>15</v>
      </c>
      <c r="B55" s="2">
        <v>16.5</v>
      </c>
      <c r="C55" t="s">
        <v>16</v>
      </c>
    </row>
    <row r="56" spans="1:6" x14ac:dyDescent="0.25">
      <c r="A56" t="s">
        <v>17</v>
      </c>
    </row>
    <row r="57" spans="1:6" x14ac:dyDescent="0.25">
      <c r="A57" t="s">
        <v>18</v>
      </c>
    </row>
    <row r="72" spans="1:6" x14ac:dyDescent="0.25">
      <c r="B72" s="1"/>
      <c r="E72" s="2"/>
      <c r="F72" s="2"/>
    </row>
    <row r="73" spans="1:6" x14ac:dyDescent="0.25">
      <c r="B73" s="3"/>
      <c r="D73" s="4"/>
      <c r="E73" s="5"/>
      <c r="F73" s="5"/>
    </row>
    <row r="74" spans="1:6" x14ac:dyDescent="0.25">
      <c r="A74" t="s">
        <v>19</v>
      </c>
      <c r="B74" s="1"/>
      <c r="D74" s="6"/>
      <c r="E74" s="2"/>
      <c r="F74" s="2"/>
    </row>
    <row r="77" spans="1:6" x14ac:dyDescent="0.25">
      <c r="A77" s="7">
        <v>40310</v>
      </c>
      <c r="D77" s="6">
        <v>25</v>
      </c>
    </row>
    <row r="79" spans="1:6" x14ac:dyDescent="0.25">
      <c r="A79" t="s">
        <v>1</v>
      </c>
      <c r="D79" s="6"/>
    </row>
    <row r="80" spans="1:6" x14ac:dyDescent="0.25">
      <c r="A80" t="s">
        <v>20</v>
      </c>
      <c r="B80" s="1">
        <v>0.18</v>
      </c>
      <c r="C80" t="s">
        <v>20</v>
      </c>
      <c r="D80" s="6">
        <f>D77*B80</f>
        <v>4.5</v>
      </c>
      <c r="E80" s="2">
        <v>54.66</v>
      </c>
      <c r="F80" s="2">
        <f>D80*E80</f>
        <v>245.96999999999997</v>
      </c>
    </row>
    <row r="81" spans="1:6" x14ac:dyDescent="0.25">
      <c r="A81" t="s">
        <v>21</v>
      </c>
      <c r="B81" s="1">
        <v>0.35</v>
      </c>
      <c r="C81" t="s">
        <v>21</v>
      </c>
      <c r="D81" s="6">
        <f>D77*B81</f>
        <v>8.75</v>
      </c>
      <c r="E81" s="2">
        <v>2.16</v>
      </c>
      <c r="F81" s="2">
        <f>D81*E81</f>
        <v>18.900000000000002</v>
      </c>
    </row>
    <row r="82" spans="1:6" x14ac:dyDescent="0.25">
      <c r="A82" t="s">
        <v>7</v>
      </c>
      <c r="B82" s="1">
        <v>0.44</v>
      </c>
      <c r="C82" t="s">
        <v>7</v>
      </c>
      <c r="D82" s="6">
        <f>D77*B82</f>
        <v>11</v>
      </c>
      <c r="E82" s="2">
        <v>0.69</v>
      </c>
      <c r="F82" s="2">
        <f>D82*E82</f>
        <v>7.59</v>
      </c>
    </row>
    <row r="83" spans="1:6" x14ac:dyDescent="0.25">
      <c r="A83" t="s">
        <v>8</v>
      </c>
      <c r="B83" s="1">
        <v>0.02</v>
      </c>
      <c r="C83" t="s">
        <v>8</v>
      </c>
      <c r="D83" s="6">
        <f>D77*B83</f>
        <v>0.5</v>
      </c>
      <c r="E83" s="2">
        <v>0.76</v>
      </c>
      <c r="F83" s="2">
        <f>D83*E83</f>
        <v>0.38</v>
      </c>
    </row>
    <row r="84" spans="1:6" x14ac:dyDescent="0.25">
      <c r="A84" t="s">
        <v>9</v>
      </c>
      <c r="B84" s="8">
        <v>0.01</v>
      </c>
      <c r="C84" t="s">
        <v>9</v>
      </c>
      <c r="D84" s="10">
        <f>D77*B84</f>
        <v>0.25</v>
      </c>
      <c r="E84" s="9">
        <v>115.93</v>
      </c>
      <c r="F84" s="9">
        <f>D84*E84</f>
        <v>28.982500000000002</v>
      </c>
    </row>
    <row r="85" spans="1:6" x14ac:dyDescent="0.25">
      <c r="B85" s="1">
        <f>SUM(B80:B84)</f>
        <v>1</v>
      </c>
      <c r="D85" s="6">
        <f>D77*B85</f>
        <v>25</v>
      </c>
      <c r="E85" s="2">
        <f>SUM(E79:E84)</f>
        <v>174.2</v>
      </c>
      <c r="F85" s="2">
        <f>SUM(F80:F84)</f>
        <v>301.82249999999993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Ba-k.com</dc:creator>
  <cp:lastModifiedBy>HP20_C019la</cp:lastModifiedBy>
  <cp:lastPrinted>2021-07-09T17:05:47Z</cp:lastPrinted>
  <dcterms:created xsi:type="dcterms:W3CDTF">2017-05-08T14:46:37Z</dcterms:created>
  <dcterms:modified xsi:type="dcterms:W3CDTF">2023-08-18T19:50:26Z</dcterms:modified>
</cp:coreProperties>
</file>