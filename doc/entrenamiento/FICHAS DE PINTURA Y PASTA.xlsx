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20_C019la\Documents\Respaldo\Imágenes\RECICLAJE\ESCRITORIO\"/>
    </mc:Choice>
  </mc:AlternateContent>
  <xr:revisionPtr revIDLastSave="0" documentId="13_ncr:1_{79C63D61-EDAC-495D-A67B-523CD16551BC}" xr6:coauthVersionLast="47" xr6:coauthVersionMax="47" xr10:uidLastSave="{00000000-0000-0000-0000-000000000000}"/>
  <bookViews>
    <workbookView xWindow="-120" yWindow="-120" windowWidth="24240" windowHeight="13140" tabRatio="781" xr2:uid="{00000000-000D-0000-FFFF-FFFF00000000}"/>
  </bookViews>
  <sheets>
    <sheet name="Hoja1" sheetId="1" r:id="rId1"/>
    <sheet name="ARENA SILICA" sheetId="5" r:id="rId2"/>
    <sheet name="CASCARA DE NARANJA" sheetId="6" r:id="rId3"/>
    <sheet name="PINTU FLEX" sheetId="4" r:id="rId4"/>
    <sheet name="PINTURA VINILICA" sheetId="7" r:id="rId5"/>
  </sheets>
  <definedNames>
    <definedName name="_xlnm.Print_Area" localSheetId="1">'ARENA SILICA'!$A$1:$F$25</definedName>
    <definedName name="_xlnm.Print_Area" localSheetId="2">'CASCARA DE NARANJA'!$A$1:$F$26</definedName>
    <definedName name="_xlnm.Print_Area" localSheetId="3">'PINTU FLEX'!$A$1:$F$35</definedName>
    <definedName name="_xlnm.Print_Area" localSheetId="4">'PINTURA VINILICA'!$A$1:$F$26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55" i="1" l="1"/>
  <c r="F70" i="1"/>
  <c r="I81" i="1"/>
  <c r="I91" i="1"/>
  <c r="E113" i="1"/>
  <c r="H4" i="1"/>
  <c r="H1161" i="1"/>
  <c r="F1161" i="1"/>
  <c r="E1553" i="1"/>
  <c r="I264" i="1"/>
  <c r="H1412" i="1"/>
  <c r="E1552" i="1"/>
  <c r="E1551" i="1"/>
  <c r="E1550" i="1"/>
  <c r="E1549" i="1"/>
  <c r="E1548" i="1"/>
  <c r="E1547" i="1"/>
  <c r="E1546" i="1"/>
  <c r="E1545" i="1"/>
  <c r="E1544" i="1"/>
  <c r="E1543" i="1"/>
  <c r="E1542" i="1"/>
  <c r="B1512" i="1" l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512" i="1" l="1"/>
  <c r="E1471" i="1"/>
  <c r="B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86" i="1" l="1"/>
  <c r="F353" i="1"/>
  <c r="E1170" i="1" l="1"/>
  <c r="G1170" i="1" s="1"/>
  <c r="F1457" i="1" l="1"/>
  <c r="B1457" i="1"/>
  <c r="E1456" i="1"/>
  <c r="G1456" i="1" s="1"/>
  <c r="E1455" i="1"/>
  <c r="G1455" i="1" s="1"/>
  <c r="E1454" i="1"/>
  <c r="G1454" i="1" s="1"/>
  <c r="E1453" i="1"/>
  <c r="G1453" i="1" s="1"/>
  <c r="E1452" i="1"/>
  <c r="G1452" i="1" s="1"/>
  <c r="E1451" i="1"/>
  <c r="G1451" i="1" s="1"/>
  <c r="E1450" i="1"/>
  <c r="G1450" i="1" s="1"/>
  <c r="E1449" i="1"/>
  <c r="G1449" i="1" s="1"/>
  <c r="E1448" i="1"/>
  <c r="G1448" i="1" s="1"/>
  <c r="E1447" i="1"/>
  <c r="G1447" i="1" s="1"/>
  <c r="E1420" i="1"/>
  <c r="G1420" i="1" s="1"/>
  <c r="B1431" i="1"/>
  <c r="F1431" i="1"/>
  <c r="E1430" i="1"/>
  <c r="G1430" i="1" s="1"/>
  <c r="E1429" i="1"/>
  <c r="G1429" i="1" s="1"/>
  <c r="E1428" i="1"/>
  <c r="G1428" i="1" s="1"/>
  <c r="C1428" i="1"/>
  <c r="E1427" i="1"/>
  <c r="G1427" i="1" s="1"/>
  <c r="E1426" i="1"/>
  <c r="G1426" i="1" s="1"/>
  <c r="E1425" i="1"/>
  <c r="G1425" i="1" s="1"/>
  <c r="E1424" i="1"/>
  <c r="G1424" i="1" s="1"/>
  <c r="E1423" i="1"/>
  <c r="G1423" i="1" s="1"/>
  <c r="E1422" i="1"/>
  <c r="G1422" i="1" s="1"/>
  <c r="E1421" i="1"/>
  <c r="G1421" i="1" s="1"/>
  <c r="G1457" i="1" l="1"/>
  <c r="E1457" i="1"/>
  <c r="E1431" i="1"/>
  <c r="G1431" i="1"/>
  <c r="F1403" i="1"/>
  <c r="B1403" i="1"/>
  <c r="E1402" i="1"/>
  <c r="G1402" i="1" s="1"/>
  <c r="E1401" i="1"/>
  <c r="G1401" i="1" s="1"/>
  <c r="E1400" i="1"/>
  <c r="G1400" i="1" s="1"/>
  <c r="E1399" i="1"/>
  <c r="G1399" i="1" s="1"/>
  <c r="E1398" i="1"/>
  <c r="G1398" i="1" s="1"/>
  <c r="E1397" i="1"/>
  <c r="G1397" i="1" s="1"/>
  <c r="E1396" i="1"/>
  <c r="G1396" i="1" s="1"/>
  <c r="E1395" i="1"/>
  <c r="G1395" i="1" s="1"/>
  <c r="E1394" i="1"/>
  <c r="G1394" i="1" s="1"/>
  <c r="E1393" i="1"/>
  <c r="G1393" i="1" s="1"/>
  <c r="E1392" i="1"/>
  <c r="G1392" i="1" s="1"/>
  <c r="E1391" i="1"/>
  <c r="G1391" i="1" s="1"/>
  <c r="E1366" i="1"/>
  <c r="G1366" i="1" s="1"/>
  <c r="G1403" i="1" l="1"/>
  <c r="E1403" i="1"/>
  <c r="B1379" i="1"/>
  <c r="F1379" i="1"/>
  <c r="E1378" i="1"/>
  <c r="G1378" i="1" s="1"/>
  <c r="E1377" i="1"/>
  <c r="G1377" i="1" s="1"/>
  <c r="E1376" i="1"/>
  <c r="G1376" i="1" s="1"/>
  <c r="E1375" i="1"/>
  <c r="G1375" i="1" s="1"/>
  <c r="E1374" i="1"/>
  <c r="G1374" i="1" s="1"/>
  <c r="E1373" i="1"/>
  <c r="G1373" i="1" s="1"/>
  <c r="E1372" i="1"/>
  <c r="G1372" i="1" s="1"/>
  <c r="E1371" i="1"/>
  <c r="G1371" i="1" s="1"/>
  <c r="E1370" i="1"/>
  <c r="G1370" i="1" s="1"/>
  <c r="E1369" i="1"/>
  <c r="G1369" i="1" s="1"/>
  <c r="E1368" i="1"/>
  <c r="G1368" i="1" s="1"/>
  <c r="E1367" i="1"/>
  <c r="E1379" i="1" s="1"/>
  <c r="G1367" i="1" l="1"/>
  <c r="G1379" i="1" s="1"/>
  <c r="E1342" i="1"/>
  <c r="B1353" i="1" l="1"/>
  <c r="E1352" i="1"/>
  <c r="E1351" i="1"/>
  <c r="E1350" i="1"/>
  <c r="E1349" i="1"/>
  <c r="E1348" i="1"/>
  <c r="E1347" i="1"/>
  <c r="E1346" i="1"/>
  <c r="E1345" i="1"/>
  <c r="E1344" i="1"/>
  <c r="E1343" i="1"/>
  <c r="F1181" i="1" l="1"/>
  <c r="C280" i="1" l="1"/>
  <c r="E1322" i="1" l="1"/>
  <c r="E1321" i="1"/>
  <c r="E1320" i="1"/>
  <c r="B1323" i="1"/>
  <c r="E1323" i="1" s="1"/>
  <c r="E1307" i="1" l="1"/>
  <c r="E1306" i="1"/>
  <c r="E1305" i="1"/>
  <c r="B1308" i="1"/>
  <c r="E1308" i="1" l="1"/>
  <c r="F317" i="1"/>
  <c r="E304" i="1" l="1"/>
  <c r="G304" i="1" s="1"/>
  <c r="F283" i="1"/>
  <c r="F248" i="1"/>
  <c r="F213" i="1" l="1"/>
  <c r="F180" i="1" l="1"/>
  <c r="B180" i="1" l="1"/>
  <c r="E163" i="1"/>
  <c r="G163" i="1" l="1"/>
  <c r="F136" i="1"/>
  <c r="F95" i="1"/>
  <c r="B95" i="1"/>
  <c r="E95" i="1" s="1"/>
  <c r="E82" i="1"/>
  <c r="G82" i="1" s="1"/>
  <c r="F57" i="1" l="1"/>
  <c r="F19" i="1"/>
  <c r="F1224" i="1"/>
  <c r="B1297" i="1"/>
  <c r="E1296" i="1"/>
  <c r="E1295" i="1"/>
  <c r="E1294" i="1"/>
  <c r="E1293" i="1"/>
  <c r="E1292" i="1"/>
  <c r="E1291" i="1"/>
  <c r="E1290" i="1"/>
  <c r="E1289" i="1"/>
  <c r="E1288" i="1"/>
  <c r="E1287" i="1"/>
  <c r="B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B1247" i="1"/>
  <c r="E1236" i="1"/>
  <c r="E1246" i="1"/>
  <c r="E1245" i="1"/>
  <c r="E1244" i="1"/>
  <c r="E1243" i="1"/>
  <c r="E1242" i="1"/>
  <c r="E1241" i="1"/>
  <c r="E1240" i="1"/>
  <c r="E1239" i="1"/>
  <c r="E1238" i="1"/>
  <c r="E1237" i="1"/>
  <c r="E1223" i="1"/>
  <c r="G1223" i="1" s="1"/>
  <c r="E1222" i="1"/>
  <c r="G1222" i="1" s="1"/>
  <c r="E1221" i="1"/>
  <c r="G1221" i="1" s="1"/>
  <c r="E1220" i="1"/>
  <c r="G1220" i="1" s="1"/>
  <c r="E1219" i="1"/>
  <c r="G1219" i="1" s="1"/>
  <c r="E1218" i="1"/>
  <c r="G1218" i="1" s="1"/>
  <c r="E1217" i="1"/>
  <c r="G1217" i="1" s="1"/>
  <c r="E1216" i="1"/>
  <c r="G1216" i="1" s="1"/>
  <c r="E1215" i="1"/>
  <c r="G1215" i="1" s="1"/>
  <c r="E1214" i="1"/>
  <c r="G1214" i="1" s="1"/>
  <c r="E1213" i="1"/>
  <c r="G1213" i="1" s="1"/>
  <c r="E1212" i="1"/>
  <c r="G1212" i="1" s="1"/>
  <c r="E1211" i="1"/>
  <c r="G1211" i="1" s="1"/>
  <c r="E1210" i="1"/>
  <c r="G1210" i="1" s="1"/>
  <c r="E1209" i="1"/>
  <c r="B1224" i="1"/>
  <c r="E1198" i="1"/>
  <c r="E1197" i="1"/>
  <c r="E1196" i="1"/>
  <c r="B1199" i="1"/>
  <c r="B1181" i="1"/>
  <c r="E1180" i="1"/>
  <c r="G1180" i="1" s="1"/>
  <c r="E1179" i="1"/>
  <c r="G1179" i="1" s="1"/>
  <c r="E1178" i="1"/>
  <c r="G1178" i="1" s="1"/>
  <c r="E1177" i="1"/>
  <c r="G1177" i="1" s="1"/>
  <c r="E1176" i="1"/>
  <c r="G1176" i="1" s="1"/>
  <c r="E1175" i="1"/>
  <c r="G1175" i="1" s="1"/>
  <c r="E1174" i="1"/>
  <c r="G1174" i="1" s="1"/>
  <c r="E1173" i="1"/>
  <c r="G1173" i="1" s="1"/>
  <c r="E1172" i="1"/>
  <c r="G1172" i="1" s="1"/>
  <c r="E1171" i="1"/>
  <c r="G1171" i="1" s="1"/>
  <c r="E9" i="7"/>
  <c r="E10" i="7"/>
  <c r="E11" i="7"/>
  <c r="E12" i="7"/>
  <c r="E13" i="7"/>
  <c r="E14" i="7"/>
  <c r="E15" i="7"/>
  <c r="E16" i="7"/>
  <c r="E17" i="7"/>
  <c r="E18" i="7"/>
  <c r="E19" i="7"/>
  <c r="E20" i="7"/>
  <c r="B21" i="7"/>
  <c r="E10" i="6"/>
  <c r="E11" i="6"/>
  <c r="E12" i="6"/>
  <c r="E13" i="6"/>
  <c r="E14" i="6"/>
  <c r="E15" i="6"/>
  <c r="E16" i="6"/>
  <c r="E17" i="6"/>
  <c r="E18" i="6"/>
  <c r="E19" i="6"/>
  <c r="E20" i="6"/>
  <c r="B21" i="6"/>
  <c r="D9" i="5"/>
  <c r="E9" i="5"/>
  <c r="D10" i="5"/>
  <c r="E10" i="5"/>
  <c r="D11" i="5"/>
  <c r="E11" i="5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B19" i="5"/>
  <c r="E11" i="4"/>
  <c r="E12" i="4"/>
  <c r="E13" i="4"/>
  <c r="E14" i="4"/>
  <c r="E15" i="4"/>
  <c r="E16" i="4"/>
  <c r="E17" i="4"/>
  <c r="E18" i="4"/>
  <c r="E19" i="4"/>
  <c r="E20" i="4"/>
  <c r="E21" i="4"/>
  <c r="E22" i="4"/>
  <c r="B23" i="4"/>
  <c r="E1146" i="1"/>
  <c r="E1147" i="1"/>
  <c r="E1148" i="1"/>
  <c r="E1149" i="1"/>
  <c r="E1150" i="1"/>
  <c r="E1151" i="1"/>
  <c r="E1152" i="1"/>
  <c r="E1153" i="1"/>
  <c r="E1154" i="1"/>
  <c r="E1155" i="1"/>
  <c r="E1156" i="1"/>
  <c r="B1157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B1123" i="1"/>
  <c r="E1074" i="1"/>
  <c r="E1075" i="1"/>
  <c r="E1073" i="1"/>
  <c r="E1076" i="1"/>
  <c r="E1077" i="1"/>
  <c r="E1078" i="1"/>
  <c r="E1079" i="1"/>
  <c r="E1080" i="1"/>
  <c r="E1081" i="1"/>
  <c r="E1082" i="1"/>
  <c r="E1083" i="1"/>
  <c r="E1084" i="1"/>
  <c r="E1085" i="1"/>
  <c r="B1086" i="1"/>
  <c r="E1051" i="1"/>
  <c r="E1050" i="1"/>
  <c r="B1052" i="1"/>
  <c r="E1052" i="1" s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B1015" i="1"/>
  <c r="E1015" i="1" s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B980" i="1"/>
  <c r="E980" i="1" s="1"/>
  <c r="E966" i="1"/>
  <c r="E931" i="1"/>
  <c r="B945" i="1"/>
  <c r="E945" i="1" s="1"/>
  <c r="B911" i="1"/>
  <c r="E911" i="1" s="1"/>
  <c r="E896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B876" i="1"/>
  <c r="E876" i="1" s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B841" i="1"/>
  <c r="E841" i="1" s="1"/>
  <c r="E802" i="1"/>
  <c r="E801" i="1"/>
  <c r="E800" i="1"/>
  <c r="E799" i="1"/>
  <c r="E798" i="1"/>
  <c r="E797" i="1"/>
  <c r="E796" i="1"/>
  <c r="E795" i="1"/>
  <c r="E794" i="1"/>
  <c r="E793" i="1"/>
  <c r="E792" i="1"/>
  <c r="E791" i="1"/>
  <c r="B803" i="1"/>
  <c r="E803" i="1" s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B775" i="1"/>
  <c r="E775" i="1" s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B737" i="1"/>
  <c r="E737" i="1" s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B702" i="1"/>
  <c r="E702" i="1" s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B668" i="1"/>
  <c r="E668" i="1" s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B633" i="1"/>
  <c r="E633" i="1" s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B597" i="1"/>
  <c r="E597" i="1" s="1"/>
  <c r="E560" i="1"/>
  <c r="E559" i="1"/>
  <c r="E558" i="1"/>
  <c r="E557" i="1"/>
  <c r="E556" i="1"/>
  <c r="E555" i="1"/>
  <c r="E554" i="1"/>
  <c r="E53" i="1"/>
  <c r="G53" i="1" s="1"/>
  <c r="E552" i="1"/>
  <c r="E551" i="1"/>
  <c r="E550" i="1"/>
  <c r="E549" i="1"/>
  <c r="E548" i="1"/>
  <c r="E547" i="1"/>
  <c r="B561" i="1"/>
  <c r="E561" i="1" s="1"/>
  <c r="E520" i="1"/>
  <c r="E519" i="1"/>
  <c r="E518" i="1"/>
  <c r="E517" i="1"/>
  <c r="E516" i="1"/>
  <c r="E515" i="1"/>
  <c r="E514" i="1"/>
  <c r="E513" i="1"/>
  <c r="E512" i="1"/>
  <c r="B521" i="1"/>
  <c r="E521" i="1" s="1"/>
  <c r="E480" i="1"/>
  <c r="E489" i="1"/>
  <c r="E488" i="1"/>
  <c r="E487" i="1"/>
  <c r="E486" i="1"/>
  <c r="E485" i="1"/>
  <c r="E484" i="1"/>
  <c r="E483" i="1"/>
  <c r="E482" i="1"/>
  <c r="E481" i="1"/>
  <c r="E479" i="1"/>
  <c r="E478" i="1"/>
  <c r="E477" i="1"/>
  <c r="E476" i="1"/>
  <c r="B490" i="1"/>
  <c r="E490" i="1" s="1"/>
  <c r="E441" i="1"/>
  <c r="E451" i="1"/>
  <c r="E442" i="1"/>
  <c r="E443" i="1"/>
  <c r="E444" i="1"/>
  <c r="E445" i="1"/>
  <c r="E446" i="1"/>
  <c r="E447" i="1"/>
  <c r="E448" i="1"/>
  <c r="E449" i="1"/>
  <c r="E450" i="1"/>
  <c r="E452" i="1"/>
  <c r="E453" i="1"/>
  <c r="B454" i="1"/>
  <c r="E410" i="1"/>
  <c r="E411" i="1"/>
  <c r="E412" i="1"/>
  <c r="E413" i="1"/>
  <c r="E414" i="1"/>
  <c r="E415" i="1"/>
  <c r="E416" i="1"/>
  <c r="E417" i="1"/>
  <c r="E418" i="1"/>
  <c r="E419" i="1"/>
  <c r="E420" i="1"/>
  <c r="B421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B389" i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B353" i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E312" i="1"/>
  <c r="G312" i="1" s="1"/>
  <c r="E313" i="1"/>
  <c r="G313" i="1" s="1"/>
  <c r="E314" i="1"/>
  <c r="G314" i="1" s="1"/>
  <c r="E315" i="1"/>
  <c r="G315" i="1" s="1"/>
  <c r="E316" i="1"/>
  <c r="G316" i="1" s="1"/>
  <c r="B317" i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B283" i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B248" i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B213" i="1"/>
  <c r="E164" i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24" i="1"/>
  <c r="G124" i="1" s="1"/>
  <c r="E125" i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B136" i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4" i="1"/>
  <c r="G54" i="1" s="1"/>
  <c r="E55" i="1"/>
  <c r="G55" i="1" s="1"/>
  <c r="E56" i="1"/>
  <c r="G56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B57" i="1"/>
  <c r="D18" i="1"/>
  <c r="D17" i="1"/>
  <c r="D16" i="1"/>
  <c r="D15" i="1"/>
  <c r="D14" i="1"/>
  <c r="D13" i="1"/>
  <c r="D12" i="1"/>
  <c r="D11" i="1"/>
  <c r="D10" i="1"/>
  <c r="D9" i="1"/>
  <c r="B19" i="1"/>
  <c r="G164" i="1" l="1"/>
  <c r="E180" i="1"/>
  <c r="G353" i="1"/>
  <c r="G1181" i="1"/>
  <c r="E21" i="7"/>
  <c r="D19" i="1"/>
  <c r="E23" i="4"/>
  <c r="E454" i="1"/>
  <c r="E21" i="6"/>
  <c r="E1272" i="1"/>
  <c r="E1297" i="1"/>
  <c r="E1086" i="1"/>
  <c r="E421" i="1"/>
  <c r="E19" i="5"/>
  <c r="E1224" i="1"/>
  <c r="E1247" i="1"/>
  <c r="E353" i="1"/>
  <c r="E389" i="1"/>
  <c r="E1123" i="1"/>
  <c r="D19" i="5"/>
  <c r="E1181" i="1"/>
  <c r="E553" i="1"/>
  <c r="E19" i="1"/>
  <c r="G19" i="1"/>
  <c r="E1199" i="1"/>
  <c r="G248" i="1"/>
  <c r="G57" i="1"/>
  <c r="E57" i="1"/>
  <c r="E248" i="1"/>
  <c r="E317" i="1"/>
  <c r="G311" i="1"/>
  <c r="G317" i="1" s="1"/>
  <c r="E1157" i="1"/>
  <c r="G95" i="1"/>
  <c r="E213" i="1"/>
  <c r="G213" i="1"/>
  <c r="G1209" i="1"/>
  <c r="G1224" i="1" s="1"/>
  <c r="G283" i="1"/>
  <c r="E283" i="1"/>
  <c r="E136" i="1"/>
  <c r="G125" i="1"/>
  <c r="G136" i="1" s="1"/>
  <c r="G180" i="1"/>
  <c r="E1353" i="1"/>
</calcChain>
</file>

<file path=xl/sharedStrings.xml><?xml version="1.0" encoding="utf-8"?>
<sst xmlns="http://schemas.openxmlformats.org/spreadsheetml/2006/main" count="1500" uniqueCount="229">
  <si>
    <t>ARENA SILICA</t>
  </si>
  <si>
    <t>CARBONATO M-325</t>
  </si>
  <si>
    <t>CAOLIN         M-325</t>
  </si>
  <si>
    <t>ADECIDE</t>
  </si>
  <si>
    <t>MONOETILENGLICOL</t>
  </si>
  <si>
    <t>ANTIESPUMANTE</t>
  </si>
  <si>
    <t>DISPERSANTE</t>
  </si>
  <si>
    <t>TRIPOLIFOSFATO DE POTASIO</t>
  </si>
  <si>
    <t>AGUA</t>
  </si>
  <si>
    <t>TILOSE</t>
  </si>
  <si>
    <t>RESINA      D-06</t>
  </si>
  <si>
    <t>KILOS</t>
  </si>
  <si>
    <t>HOJA Nº 1</t>
  </si>
  <si>
    <t>HOJA Nº 2</t>
  </si>
  <si>
    <t>CASCARA DE NARANJA</t>
  </si>
  <si>
    <t>BIOXIDO DE TITANEO</t>
  </si>
  <si>
    <t>CARBONATO  M-325</t>
  </si>
  <si>
    <t>CAOLIN          M-325</t>
  </si>
  <si>
    <t>MONOETILINGLICOL</t>
  </si>
  <si>
    <t>RESINA       D-25</t>
  </si>
  <si>
    <t>RESINA       D-50</t>
  </si>
  <si>
    <t>CANASOL   NF 1000</t>
  </si>
  <si>
    <t>RESINA D-50</t>
  </si>
  <si>
    <t>RESINA D-25</t>
  </si>
  <si>
    <t>HOJA Nº 3</t>
  </si>
  <si>
    <t>PINTU FLEX</t>
  </si>
  <si>
    <t>TRPOLIFOSFATO DE POTASIO</t>
  </si>
  <si>
    <t>TEXANOL</t>
  </si>
  <si>
    <t>CAOLIN     M-325</t>
  </si>
  <si>
    <t>ACRONAL       295-D</t>
  </si>
  <si>
    <t>AMONIACO</t>
  </si>
  <si>
    <t>PINTURA VINILICA</t>
  </si>
  <si>
    <t>MONOETILIENGLICOL</t>
  </si>
  <si>
    <t>CAOLIN   M-325</t>
  </si>
  <si>
    <t>RESINA    D-06</t>
  </si>
  <si>
    <t>HOJA Nº 5</t>
  </si>
  <si>
    <t>RUGOSO</t>
  </si>
  <si>
    <t>CANASOL  NF-1000</t>
  </si>
  <si>
    <t>TRIPOLIFOSFATI DE POTASIO</t>
  </si>
  <si>
    <t>BUTILCELLOSOLVE</t>
  </si>
  <si>
    <t>CAOLIN      M-325</t>
  </si>
  <si>
    <t>CERO FINO</t>
  </si>
  <si>
    <t>PASTA PARA GRANO LANZADO</t>
  </si>
  <si>
    <t>CARBONATO</t>
  </si>
  <si>
    <t>MARMOLINA</t>
  </si>
  <si>
    <t>HOJA Nº 7</t>
  </si>
  <si>
    <t>CHISA MAR BLANCO</t>
  </si>
  <si>
    <t>CARBONATO DE OMYA CAR 1-T</t>
  </si>
  <si>
    <t>ADESIDE</t>
  </si>
  <si>
    <t>GAS NAFTA</t>
  </si>
  <si>
    <t>POLI CERA 390</t>
  </si>
  <si>
    <t>AGUABEAD  E-270</t>
  </si>
  <si>
    <t>ACRONAL    D-295</t>
  </si>
  <si>
    <t>MORTERO PLASTICO</t>
  </si>
  <si>
    <t>HOJA Nº 9</t>
  </si>
  <si>
    <t xml:space="preserve">PASTA ECONOMICA </t>
  </si>
  <si>
    <t>C/GRANO</t>
  </si>
  <si>
    <t>ACRONAL      295-D</t>
  </si>
  <si>
    <t>CAOLIN  M-325</t>
  </si>
  <si>
    <t>CERO GRUESO</t>
  </si>
  <si>
    <t>HOJA Nº 10</t>
  </si>
  <si>
    <t>IMPERGLASS</t>
  </si>
  <si>
    <t>DOP</t>
  </si>
  <si>
    <t>NATROSOL HBR 250</t>
  </si>
  <si>
    <t>SKEN   M-8</t>
  </si>
  <si>
    <t>CABONATO   M-325</t>
  </si>
  <si>
    <t>ROJO OXIDO</t>
  </si>
  <si>
    <t>ACRONAL     295-D</t>
  </si>
  <si>
    <t>CANASOL   NF-1000</t>
  </si>
  <si>
    <t>HOJA Nº 11</t>
  </si>
  <si>
    <t>CHISA PLAS CON GRANO</t>
  </si>
  <si>
    <t>CARBONATO    M-325</t>
  </si>
  <si>
    <t>HOJA Nº 12</t>
  </si>
  <si>
    <t>MARMOLINA    M325</t>
  </si>
  <si>
    <t>S/GRANO</t>
  </si>
  <si>
    <t>HOJA Nº 13</t>
  </si>
  <si>
    <t>CORT PLAS COLOR BLANCO</t>
  </si>
  <si>
    <t>SKEN M-8</t>
  </si>
  <si>
    <t>ACRONA  295-D</t>
  </si>
  <si>
    <t xml:space="preserve">TILOSE </t>
  </si>
  <si>
    <t>COLACRAL P-U 85</t>
  </si>
  <si>
    <t>ALCOHOL ETILICO</t>
  </si>
  <si>
    <t>HOJA Nº 14</t>
  </si>
  <si>
    <t>PASTA SIN GRANO TIPO VINICEMENT</t>
  </si>
  <si>
    <t>ACRONAL 295-D</t>
  </si>
  <si>
    <t>BERMOCOLL</t>
  </si>
  <si>
    <t>DIPERSANTE</t>
  </si>
  <si>
    <t>CANASOL</t>
  </si>
  <si>
    <t>HOJA Nº 15</t>
  </si>
  <si>
    <t xml:space="preserve">AGUA </t>
  </si>
  <si>
    <t>HOJA Nº 16</t>
  </si>
  <si>
    <t>CHISA MAR NEUTRO</t>
  </si>
  <si>
    <t>OMYA CAR 1-T</t>
  </si>
  <si>
    <t>CANASOL NF-1000</t>
  </si>
  <si>
    <t>POLICERA 390</t>
  </si>
  <si>
    <t>AGUABEL E-270</t>
  </si>
  <si>
    <t>HOJA Nº 17</t>
  </si>
  <si>
    <t>LA DENSIDAD DE ESTE PRODUCTO ES DE 1.3</t>
  </si>
  <si>
    <t>FORMULA ING.FERMIN</t>
  </si>
  <si>
    <t>NATROSOL</t>
  </si>
  <si>
    <t>ESPESANTE ACRILICO</t>
  </si>
  <si>
    <t>SOLUCION DE SOSA</t>
  </si>
  <si>
    <t>CARBONATO PRESIPITADO</t>
  </si>
  <si>
    <t>CAOLIN</t>
  </si>
  <si>
    <t>RESINA QE220-S</t>
  </si>
  <si>
    <t>RESINA QE2708</t>
  </si>
  <si>
    <t>HOJA Nº 18</t>
  </si>
  <si>
    <t>HOJA Nº 19</t>
  </si>
  <si>
    <t>PASTA ECONOMICA CON GRANO</t>
  </si>
  <si>
    <t>C/RESINA QE220S</t>
  </si>
  <si>
    <t>C/RESINA QE2708</t>
  </si>
  <si>
    <t>HOJA Nº 20</t>
  </si>
  <si>
    <t>LA DENSIDAD DE ESTE PRODUCTO ES DE 1.43</t>
  </si>
  <si>
    <t>FORMULA ING. FERMIN</t>
  </si>
  <si>
    <t>CHISA VINIL</t>
  </si>
  <si>
    <t xml:space="preserve">ADECIDE </t>
  </si>
  <si>
    <t>HOJA Nº 21</t>
  </si>
  <si>
    <t>CHISA PLUS</t>
  </si>
  <si>
    <t>HOJA Nº 22</t>
  </si>
  <si>
    <t>C/QE2708</t>
  </si>
  <si>
    <t>C/QE220-S</t>
  </si>
  <si>
    <t>EDENOL DOA</t>
  </si>
  <si>
    <t>DBERMOCOLL</t>
  </si>
  <si>
    <t>PARAFINA CLORADA S-25</t>
  </si>
  <si>
    <t>BLANCO FIJO MICRO</t>
  </si>
  <si>
    <t>HOJA Nº 23</t>
  </si>
  <si>
    <t>LINEA CLASICA COLOR BLANCO</t>
  </si>
  <si>
    <t>LATECOL-D</t>
  </si>
  <si>
    <t>ACRONAL</t>
  </si>
  <si>
    <t>HOJA Nº 24</t>
  </si>
  <si>
    <t>NATROSOL (TILOSE)</t>
  </si>
  <si>
    <t xml:space="preserve">PASTA S/GRANO TIPO VINICEMENT-D </t>
  </si>
  <si>
    <t>MODIFICADA</t>
  </si>
  <si>
    <t>HOJA Nº25</t>
  </si>
  <si>
    <t>BUTIL CELLOSOLVE</t>
  </si>
  <si>
    <t>ANTI ESPUMANTE</t>
  </si>
  <si>
    <t>PINTU FLEX MODIFICADA POR EL SR. CHIMAL Nº1</t>
  </si>
  <si>
    <t>HOJA Nº 26</t>
  </si>
  <si>
    <t>PINTU FLEX MODIFICADO POR EL SR. CHIMAL Nº3</t>
  </si>
  <si>
    <t>HOJA Nº 27</t>
  </si>
  <si>
    <t>CARBONATO DE PRESIPITADO</t>
  </si>
  <si>
    <t>PINTU FLEX MODIFICADO POR EL SR. CHIMAL Nº2</t>
  </si>
  <si>
    <t>HOJA Nº 28</t>
  </si>
  <si>
    <t>PINTU FLEX MODIFICADO POR EL SR. CHIMAL Nº4</t>
  </si>
  <si>
    <t>PARAFINA CLORADA</t>
  </si>
  <si>
    <t>PINTU FLEX MODIFICADO POR EL SR. CHIMAL Nº5</t>
  </si>
  <si>
    <t>HOJA Nº 29</t>
  </si>
  <si>
    <t>ALCOHOL</t>
  </si>
  <si>
    <t>HOJA Nº 30</t>
  </si>
  <si>
    <t>21 de Agosto de 2008</t>
  </si>
  <si>
    <t>TEPATITLAN</t>
  </si>
  <si>
    <t>20 de Agosto de 2008</t>
  </si>
  <si>
    <t>RESINA Q E220S</t>
  </si>
  <si>
    <t>BUENA</t>
  </si>
  <si>
    <t>IMPERPLAST   PLUS</t>
  </si>
  <si>
    <t>PINTUFLEX</t>
  </si>
  <si>
    <t>ARENA SILICA MALLA 100 - 150</t>
  </si>
  <si>
    <t>FIBRA   SINTETICA</t>
  </si>
  <si>
    <t>ARENA SILICA MALLA 100 -  150</t>
  </si>
  <si>
    <t>FIBRA SINTETICA</t>
  </si>
  <si>
    <t xml:space="preserve">CON FIBRA </t>
  </si>
  <si>
    <t>MUESTRA  GRAN BELLAS</t>
  </si>
  <si>
    <t>CANTERA</t>
  </si>
  <si>
    <t>BITIL SELLOSOLVE</t>
  </si>
  <si>
    <t>RESINA QE 220 S</t>
  </si>
  <si>
    <t>RESINA QE 2383</t>
  </si>
  <si>
    <t>ARENA SILICA  SAN VICENTE</t>
  </si>
  <si>
    <t>CARBONATO DE CALCIO</t>
  </si>
  <si>
    <t xml:space="preserve">BIOXIDO DE TITANEO </t>
  </si>
  <si>
    <t>RESINA W 4535</t>
  </si>
  <si>
    <t>RESINA W4535</t>
  </si>
  <si>
    <t>MODIFICADA 16/11/17</t>
  </si>
  <si>
    <t>MODIFICADA SR. CHIMAL</t>
  </si>
  <si>
    <t>MODIFICADO SR CHIMAL</t>
  </si>
  <si>
    <t>RESINA    W-4535</t>
  </si>
  <si>
    <t>RESINA  W4535</t>
  </si>
  <si>
    <t>RESINA    W4535</t>
  </si>
  <si>
    <t>RESINA QE220 S</t>
  </si>
  <si>
    <t>DESMOPHENN NH-1520</t>
  </si>
  <si>
    <t>DESMODUR N-3390</t>
  </si>
  <si>
    <t>BYK A530</t>
  </si>
  <si>
    <t>FORMULA DESMOPHEN</t>
  </si>
  <si>
    <t>DESMODUR</t>
  </si>
  <si>
    <t>DESMODUR  3600</t>
  </si>
  <si>
    <t>DESMOPHEN 1420</t>
  </si>
  <si>
    <t>DESMOPHEN</t>
  </si>
  <si>
    <t>RESINA   W-4535</t>
  </si>
  <si>
    <t>CER0 FINO</t>
  </si>
  <si>
    <t>RESINA W-4535</t>
  </si>
  <si>
    <t>RESINA QE 220-S</t>
  </si>
  <si>
    <t>RESINA QE2383</t>
  </si>
  <si>
    <t>CAOLIN Y CARBONATO</t>
  </si>
  <si>
    <t>PINOLILLO BLANCO</t>
  </si>
  <si>
    <t>BUENA (MARMO GOT)</t>
  </si>
  <si>
    <t xml:space="preserve"> </t>
  </si>
  <si>
    <t>EMULSION   53 SP</t>
  </si>
  <si>
    <t>EMULSION  53  SP</t>
  </si>
  <si>
    <t>EMULSION 53 SP</t>
  </si>
  <si>
    <t>AGUABEAD E-270</t>
  </si>
  <si>
    <t xml:space="preserve">POLI CERA  CU 390 </t>
  </si>
  <si>
    <t>EMULSION  53 SP</t>
  </si>
  <si>
    <t>POLICERA  CU 390</t>
  </si>
  <si>
    <t>CON CERAS</t>
  </si>
  <si>
    <t xml:space="preserve">MARMO GOT  (BUENA)                 </t>
  </si>
  <si>
    <t>1 CUBETA</t>
  </si>
  <si>
    <t>DANIELA ALCANTARA VALENCIA</t>
  </si>
  <si>
    <t xml:space="preserve">COMPRAS ALSO   </t>
  </si>
  <si>
    <t>2 CUBETAS   08/12/2022</t>
  </si>
  <si>
    <t>APIZACO TLAXCALA  23/11/22</t>
  </si>
  <si>
    <t>1/2 CUBETA</t>
  </si>
  <si>
    <t>HOSPITAL NEUROLOGIA</t>
  </si>
  <si>
    <t>3 TAMBOS</t>
  </si>
  <si>
    <t>ESCUELA CASCO DE STO. TOMAS</t>
  </si>
  <si>
    <t>cubeta 32 kgs</t>
  </si>
  <si>
    <t>cada tambo pesa 320 kgs (10 cubetas)</t>
  </si>
  <si>
    <t xml:space="preserve">CHISA PLAST SIN GRANO   </t>
  </si>
  <si>
    <t>COLANYL AMARILLO OXIDO 6.000 KGS</t>
  </si>
  <si>
    <t>COLANYL ROJO OXIDO 1.500 KGS</t>
  </si>
  <si>
    <t>COLANYL NEGRO 1.000 KGS</t>
  </si>
  <si>
    <t>HOTEL VELAS LOS CABOS</t>
  </si>
  <si>
    <t>COLANYL AMARILLO OXIDO 20 KGS</t>
  </si>
  <si>
    <t>COLANYL ROJO OXIDO 10 KGS</t>
  </si>
  <si>
    <t>COLANYL NEGRO 8 KGS</t>
  </si>
  <si>
    <t xml:space="preserve">PRIMER GLASS REF. </t>
  </si>
  <si>
    <t>3 TAMBOS TRONCOSO</t>
  </si>
  <si>
    <t>15 cubetas blanco ostion   venta</t>
  </si>
  <si>
    <t>27 kg 1 cub</t>
  </si>
  <si>
    <t>media cub</t>
  </si>
  <si>
    <t xml:space="preserve">23 cubetas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</si>
</sst>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0.000"/>
    <numFmt numFmtId="165" formatCode="&quot;$&quot;#,##0.000;[Red]\-&quot;$&quot;#,##0.000"/>
  </numFmts>
  <fonts count="3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0" fontId="0" fillId="0" borderId="0" xfId="0" applyNumberFormat="1"/>
    <xf numFmtId="10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  <xf numFmtId="8" fontId="2" fillId="0" borderId="0" xfId="0" applyNumberFormat="1" applyFont="1"/>
    <xf numFmtId="8" fontId="0" fillId="0" borderId="1" xfId="0" applyNumberFormat="1" applyBorder="1"/>
    <xf numFmtId="165" fontId="0" fillId="0" borderId="0" xfId="0" applyNumberFormat="1"/>
    <xf numFmtId="16" fontId="0" fillId="0" borderId="0" xfId="0" applyNumberFormat="1"/>
    <xf numFmtId="15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53"/>
  <sheetViews>
    <sheetView tabSelected="1" topLeftCell="A371" zoomScale="154" zoomScaleNormal="154" workbookViewId="0">
      <selection activeCell="I383" sqref="I383"/>
    </sheetView>
  </sheetViews>
  <sheetFormatPr baseColWidth="10" defaultRowHeight="12.75" x14ac:dyDescent="0.2"/>
  <cols>
    <col min="1" max="1" width="29.42578125" customWidth="1"/>
    <col min="2" max="2" width="14.7109375" customWidth="1"/>
    <col min="3" max="3" width="29.5703125" customWidth="1"/>
    <col min="4" max="4" width="14.85546875" hidden="1" customWidth="1"/>
    <col min="5" max="5" width="12.140625" customWidth="1"/>
    <col min="7" max="7" width="11.140625" customWidth="1"/>
    <col min="8" max="8" width="11.5703125" customWidth="1"/>
    <col min="9" max="9" width="50.28515625" customWidth="1"/>
  </cols>
  <sheetData>
    <row r="2" spans="1:8" x14ac:dyDescent="0.2">
      <c r="D2" t="s">
        <v>12</v>
      </c>
      <c r="E2" t="s">
        <v>12</v>
      </c>
    </row>
    <row r="3" spans="1:8" x14ac:dyDescent="0.2">
      <c r="A3" t="s">
        <v>224</v>
      </c>
    </row>
    <row r="4" spans="1:8" ht="12" customHeight="1" x14ac:dyDescent="0.2">
      <c r="A4" t="s">
        <v>0</v>
      </c>
      <c r="C4" t="s">
        <v>11</v>
      </c>
      <c r="D4" s="3">
        <v>945</v>
      </c>
      <c r="E4" s="3">
        <v>960</v>
      </c>
      <c r="H4">
        <f>32*3</f>
        <v>96</v>
      </c>
    </row>
    <row r="5" spans="1:8" ht="17.25" hidden="1" customHeight="1" x14ac:dyDescent="0.2">
      <c r="A5" t="s">
        <v>0</v>
      </c>
      <c r="C5" t="s">
        <v>11</v>
      </c>
      <c r="D5" s="3">
        <v>945</v>
      </c>
    </row>
    <row r="9" spans="1:8" x14ac:dyDescent="0.2">
      <c r="A9" t="s">
        <v>1</v>
      </c>
      <c r="B9" s="1">
        <v>0.63170000000000004</v>
      </c>
      <c r="C9" t="s">
        <v>1</v>
      </c>
      <c r="D9" s="3">
        <f>D5*B9</f>
        <v>596.95650000000001</v>
      </c>
      <c r="E9" s="3">
        <f>E4*B9</f>
        <v>606.43200000000002</v>
      </c>
      <c r="F9" s="8">
        <v>1.4</v>
      </c>
      <c r="G9" s="8">
        <f t="shared" ref="G9:G18" si="0">E9*F9</f>
        <v>849.00479999999993</v>
      </c>
    </row>
    <row r="10" spans="1:8" x14ac:dyDescent="0.2">
      <c r="A10" t="s">
        <v>2</v>
      </c>
      <c r="B10" s="1">
        <v>0.05</v>
      </c>
      <c r="C10" t="s">
        <v>2</v>
      </c>
      <c r="D10" s="3">
        <f>D5*B10</f>
        <v>47.25</v>
      </c>
      <c r="E10" s="3">
        <f>E4*B10</f>
        <v>48</v>
      </c>
      <c r="F10" s="8">
        <v>3</v>
      </c>
      <c r="G10" s="8">
        <f t="shared" si="0"/>
        <v>144</v>
      </c>
    </row>
    <row r="11" spans="1:8" x14ac:dyDescent="0.2">
      <c r="A11" t="s">
        <v>3</v>
      </c>
      <c r="B11" s="1">
        <v>1.5E-3</v>
      </c>
      <c r="C11" t="s">
        <v>3</v>
      </c>
      <c r="D11" s="3">
        <f>D5*B11</f>
        <v>1.4175</v>
      </c>
      <c r="E11" s="3">
        <f>E4*B11</f>
        <v>1.44</v>
      </c>
      <c r="F11" s="8">
        <v>82.14</v>
      </c>
      <c r="G11" s="8">
        <f t="shared" si="0"/>
        <v>118.2816</v>
      </c>
    </row>
    <row r="12" spans="1:8" x14ac:dyDescent="0.2">
      <c r="A12" t="s">
        <v>4</v>
      </c>
      <c r="B12" s="1">
        <v>8.0000000000000002E-3</v>
      </c>
      <c r="C12" t="s">
        <v>4</v>
      </c>
      <c r="D12" s="3">
        <f>D5*B12</f>
        <v>7.5600000000000005</v>
      </c>
      <c r="E12" s="3">
        <f>E4*B12</f>
        <v>7.68</v>
      </c>
      <c r="F12" s="8">
        <v>20</v>
      </c>
      <c r="G12" s="8">
        <f t="shared" si="0"/>
        <v>153.6</v>
      </c>
    </row>
    <row r="13" spans="1:8" x14ac:dyDescent="0.2">
      <c r="A13" t="s">
        <v>5</v>
      </c>
      <c r="B13" s="1">
        <v>1.4E-3</v>
      </c>
      <c r="C13" t="s">
        <v>5</v>
      </c>
      <c r="D13">
        <f>D5*B13</f>
        <v>1.323</v>
      </c>
      <c r="E13" s="3">
        <f>E4*B13</f>
        <v>1.3440000000000001</v>
      </c>
      <c r="F13" s="8">
        <v>58.26</v>
      </c>
      <c r="G13" s="8">
        <f t="shared" si="0"/>
        <v>78.301439999999999</v>
      </c>
    </row>
    <row r="14" spans="1:8" x14ac:dyDescent="0.2">
      <c r="A14" t="s">
        <v>6</v>
      </c>
      <c r="B14" s="1">
        <v>1.5E-3</v>
      </c>
      <c r="C14" t="s">
        <v>6</v>
      </c>
      <c r="D14" s="3">
        <f>D5*B14</f>
        <v>1.4175</v>
      </c>
      <c r="E14" s="3">
        <f>E4*B14</f>
        <v>1.44</v>
      </c>
      <c r="F14" s="8">
        <v>58.26</v>
      </c>
      <c r="G14" s="8">
        <f t="shared" si="0"/>
        <v>83.89439999999999</v>
      </c>
    </row>
    <row r="15" spans="1:8" x14ac:dyDescent="0.2">
      <c r="A15" t="s">
        <v>7</v>
      </c>
      <c r="B15" s="1">
        <v>5.0000000000000001E-4</v>
      </c>
      <c r="C15" t="s">
        <v>7</v>
      </c>
      <c r="D15" s="3">
        <f>D5*B15</f>
        <v>0.47250000000000003</v>
      </c>
      <c r="E15" s="3">
        <f>E4*B15</f>
        <v>0.48</v>
      </c>
      <c r="F15" s="9">
        <v>129</v>
      </c>
      <c r="G15" s="8">
        <f t="shared" si="0"/>
        <v>61.919999999999995</v>
      </c>
    </row>
    <row r="16" spans="1:8" x14ac:dyDescent="0.2">
      <c r="A16" t="s">
        <v>8</v>
      </c>
      <c r="B16" s="1">
        <v>0.16880000000000001</v>
      </c>
      <c r="C16" t="s">
        <v>8</v>
      </c>
      <c r="D16">
        <f>D5*B16</f>
        <v>159.51599999999999</v>
      </c>
      <c r="E16" s="3">
        <f>E4*B16</f>
        <v>162.048</v>
      </c>
      <c r="F16" s="8">
        <v>0</v>
      </c>
      <c r="G16" s="12">
        <f t="shared" si="0"/>
        <v>0</v>
      </c>
    </row>
    <row r="17" spans="1:7" x14ac:dyDescent="0.2">
      <c r="A17" t="s">
        <v>9</v>
      </c>
      <c r="B17" s="1">
        <v>2.0999999999999999E-3</v>
      </c>
      <c r="C17" t="s">
        <v>9</v>
      </c>
      <c r="D17" s="3">
        <f>D5*B17</f>
        <v>1.9844999999999999</v>
      </c>
      <c r="E17" s="3">
        <f>E4*B17</f>
        <v>2.016</v>
      </c>
      <c r="F17" s="8">
        <v>181.44</v>
      </c>
      <c r="G17" s="8">
        <f t="shared" si="0"/>
        <v>365.78303999999997</v>
      </c>
    </row>
    <row r="18" spans="1:7" x14ac:dyDescent="0.2">
      <c r="A18" t="s">
        <v>175</v>
      </c>
      <c r="B18" s="2">
        <v>0.13450000000000001</v>
      </c>
      <c r="C18" t="s">
        <v>176</v>
      </c>
      <c r="D18" s="4">
        <f>D5*B18</f>
        <v>127.10250000000001</v>
      </c>
      <c r="E18" s="4">
        <f>E4*B18</f>
        <v>129.12</v>
      </c>
      <c r="F18" s="11">
        <v>20.54</v>
      </c>
      <c r="G18" s="11">
        <f t="shared" si="0"/>
        <v>2652.1248000000001</v>
      </c>
    </row>
    <row r="19" spans="1:7" x14ac:dyDescent="0.2">
      <c r="B19" s="1">
        <f>SUM(B9:B18)</f>
        <v>1</v>
      </c>
      <c r="D19" s="3">
        <f>SUM(D9:D18)</f>
        <v>944.99999999999989</v>
      </c>
      <c r="E19" s="3">
        <f>SUM(E9:E18)</f>
        <v>960.00000000000011</v>
      </c>
      <c r="F19" s="8">
        <f>SUM(F9:F18)</f>
        <v>554.04</v>
      </c>
      <c r="G19" s="8">
        <f>SUM(G9:G18)</f>
        <v>4506.9100799999997</v>
      </c>
    </row>
    <row r="20" spans="1:7" x14ac:dyDescent="0.2">
      <c r="F20" s="8"/>
    </row>
    <row r="21" spans="1:7" x14ac:dyDescent="0.2">
      <c r="F21" s="8"/>
    </row>
    <row r="22" spans="1:7" x14ac:dyDescent="0.2">
      <c r="F22" s="8"/>
    </row>
    <row r="23" spans="1:7" x14ac:dyDescent="0.2">
      <c r="F23" s="10"/>
    </row>
    <row r="24" spans="1:7" x14ac:dyDescent="0.2">
      <c r="F24" s="8"/>
    </row>
    <row r="37" spans="1:8" x14ac:dyDescent="0.2">
      <c r="D37" t="s">
        <v>13</v>
      </c>
    </row>
    <row r="38" spans="1:8" x14ac:dyDescent="0.2">
      <c r="E38" t="s">
        <v>13</v>
      </c>
    </row>
    <row r="41" spans="1:8" x14ac:dyDescent="0.2">
      <c r="A41" t="s">
        <v>14</v>
      </c>
      <c r="C41" t="s">
        <v>11</v>
      </c>
      <c r="D41" s="3">
        <v>1280</v>
      </c>
      <c r="E41" s="3">
        <v>960</v>
      </c>
    </row>
    <row r="46" spans="1:8" x14ac:dyDescent="0.2">
      <c r="A46" t="s">
        <v>15</v>
      </c>
      <c r="B46" s="1">
        <v>2.3699999999999999E-2</v>
      </c>
      <c r="C46" t="s">
        <v>15</v>
      </c>
      <c r="E46" s="3">
        <f>E41*B46</f>
        <v>22.751999999999999</v>
      </c>
      <c r="F46" s="8">
        <v>69.34</v>
      </c>
      <c r="G46" s="8">
        <f t="shared" ref="G46:G56" si="1">E46*F46</f>
        <v>1577.6236799999999</v>
      </c>
    </row>
    <row r="47" spans="1:8" x14ac:dyDescent="0.2">
      <c r="A47" t="s">
        <v>16</v>
      </c>
      <c r="B47" s="1">
        <v>0.60409999999999997</v>
      </c>
      <c r="C47" t="s">
        <v>16</v>
      </c>
      <c r="E47" s="3">
        <f>E41*B47</f>
        <v>579.93599999999992</v>
      </c>
      <c r="F47" s="8">
        <v>1.4</v>
      </c>
      <c r="G47" s="8">
        <f t="shared" si="1"/>
        <v>811.91039999999987</v>
      </c>
      <c r="H47" s="8"/>
    </row>
    <row r="48" spans="1:8" x14ac:dyDescent="0.2">
      <c r="A48" t="s">
        <v>17</v>
      </c>
      <c r="B48" s="1">
        <v>0.05</v>
      </c>
      <c r="C48" t="s">
        <v>17</v>
      </c>
      <c r="E48" s="3">
        <f>E41*B48</f>
        <v>48</v>
      </c>
      <c r="F48" s="8">
        <v>3</v>
      </c>
      <c r="G48" s="8">
        <f t="shared" si="1"/>
        <v>144</v>
      </c>
      <c r="H48" s="8"/>
    </row>
    <row r="49" spans="1:8" x14ac:dyDescent="0.2">
      <c r="A49" t="s">
        <v>3</v>
      </c>
      <c r="B49" s="1">
        <v>1.5E-3</v>
      </c>
      <c r="C49" t="s">
        <v>3</v>
      </c>
      <c r="E49" s="3">
        <f>E41*B49</f>
        <v>1.44</v>
      </c>
      <c r="F49" s="8">
        <v>86.67</v>
      </c>
      <c r="G49" s="8">
        <f t="shared" si="1"/>
        <v>124.8048</v>
      </c>
      <c r="H49" s="8"/>
    </row>
    <row r="50" spans="1:8" x14ac:dyDescent="0.2">
      <c r="A50" t="s">
        <v>18</v>
      </c>
      <c r="B50" s="1">
        <v>8.0000000000000002E-3</v>
      </c>
      <c r="C50" t="s">
        <v>18</v>
      </c>
      <c r="E50" s="3">
        <f>E41*B50</f>
        <v>7.68</v>
      </c>
      <c r="F50" s="8">
        <v>26.6</v>
      </c>
      <c r="G50" s="8">
        <f t="shared" si="1"/>
        <v>204.28800000000001</v>
      </c>
      <c r="H50" s="8"/>
    </row>
    <row r="51" spans="1:8" x14ac:dyDescent="0.2">
      <c r="A51" t="s">
        <v>5</v>
      </c>
      <c r="B51" s="1">
        <v>1.4E-3</v>
      </c>
      <c r="C51" t="s">
        <v>5</v>
      </c>
      <c r="E51" s="3">
        <f>E41*B51</f>
        <v>1.3440000000000001</v>
      </c>
      <c r="F51" s="8">
        <v>61.48</v>
      </c>
      <c r="G51" s="8">
        <f t="shared" si="1"/>
        <v>82.62912</v>
      </c>
      <c r="H51" s="8"/>
    </row>
    <row r="52" spans="1:8" x14ac:dyDescent="0.2">
      <c r="A52" t="s">
        <v>7</v>
      </c>
      <c r="B52" s="1">
        <v>5.0000000000000001E-4</v>
      </c>
      <c r="C52" t="s">
        <v>7</v>
      </c>
      <c r="E52" s="3">
        <f>E41*B52</f>
        <v>0.48</v>
      </c>
      <c r="F52" s="8">
        <v>129</v>
      </c>
      <c r="G52" s="8">
        <f t="shared" si="1"/>
        <v>61.919999999999995</v>
      </c>
      <c r="H52" s="8"/>
    </row>
    <row r="53" spans="1:8" x14ac:dyDescent="0.2">
      <c r="A53" t="s">
        <v>8</v>
      </c>
      <c r="B53" s="1">
        <v>0.14000000000000001</v>
      </c>
      <c r="C53" t="s">
        <v>8</v>
      </c>
      <c r="E53" s="3">
        <f>E41*B53</f>
        <v>134.4</v>
      </c>
      <c r="F53" s="8">
        <v>0</v>
      </c>
      <c r="G53" s="8">
        <f t="shared" si="1"/>
        <v>0</v>
      </c>
      <c r="H53" s="8"/>
    </row>
    <row r="54" spans="1:8" x14ac:dyDescent="0.2">
      <c r="A54" t="s">
        <v>23</v>
      </c>
      <c r="B54" s="1">
        <v>0.11</v>
      </c>
      <c r="C54" t="s">
        <v>19</v>
      </c>
      <c r="E54" s="3">
        <f>E41*B54</f>
        <v>105.6</v>
      </c>
      <c r="F54" s="8">
        <v>18.89</v>
      </c>
      <c r="G54" s="8">
        <f t="shared" si="1"/>
        <v>1994.7839999999999</v>
      </c>
      <c r="H54" s="8"/>
    </row>
    <row r="55" spans="1:8" x14ac:dyDescent="0.2">
      <c r="A55" t="s">
        <v>22</v>
      </c>
      <c r="B55" s="1">
        <v>5.9299999999999999E-2</v>
      </c>
      <c r="C55" t="s">
        <v>20</v>
      </c>
      <c r="E55" s="3">
        <f>E41*B55</f>
        <v>56.927999999999997</v>
      </c>
      <c r="F55" s="8">
        <v>18.89</v>
      </c>
      <c r="G55" s="8">
        <f t="shared" si="1"/>
        <v>1075.3699200000001</v>
      </c>
      <c r="H55" s="8"/>
    </row>
    <row r="56" spans="1:8" x14ac:dyDescent="0.2">
      <c r="A56" t="s">
        <v>21</v>
      </c>
      <c r="B56" s="2">
        <v>1.5E-3</v>
      </c>
      <c r="C56" t="s">
        <v>21</v>
      </c>
      <c r="E56" s="4">
        <f>E41*B56</f>
        <v>1.44</v>
      </c>
      <c r="F56" s="11">
        <v>32.799999999999997</v>
      </c>
      <c r="G56" s="11">
        <f t="shared" si="1"/>
        <v>47.231999999999992</v>
      </c>
      <c r="H56" s="8"/>
    </row>
    <row r="57" spans="1:8" x14ac:dyDescent="0.2">
      <c r="B57" s="1">
        <f>SUM(B46:B56)</f>
        <v>0.99999999999999978</v>
      </c>
      <c r="E57" s="3">
        <f>SUM(E46:E56)</f>
        <v>960</v>
      </c>
      <c r="F57" s="8">
        <f>SUM(F46:F56)</f>
        <v>448.07</v>
      </c>
      <c r="G57" s="8">
        <f>SUM(G46:G56)</f>
        <v>6124.5619200000001</v>
      </c>
      <c r="H57" s="8"/>
    </row>
    <row r="70" spans="1:6" x14ac:dyDescent="0.2">
      <c r="F70">
        <f>27*30</f>
        <v>810</v>
      </c>
    </row>
    <row r="73" spans="1:6" x14ac:dyDescent="0.2">
      <c r="E73" t="s">
        <v>24</v>
      </c>
    </row>
    <row r="76" spans="1:6" x14ac:dyDescent="0.2">
      <c r="A76" t="s">
        <v>25</v>
      </c>
      <c r="C76" t="s">
        <v>11</v>
      </c>
      <c r="E76" s="3">
        <v>810</v>
      </c>
    </row>
    <row r="81" spans="1:9" x14ac:dyDescent="0.2">
      <c r="I81">
        <f>162/25</f>
        <v>6.48</v>
      </c>
    </row>
    <row r="82" spans="1:9" x14ac:dyDescent="0.2">
      <c r="A82" t="s">
        <v>177</v>
      </c>
      <c r="B82" s="1">
        <v>0.15</v>
      </c>
      <c r="C82" t="s">
        <v>164</v>
      </c>
      <c r="E82" s="3">
        <f>E76*B82</f>
        <v>121.5</v>
      </c>
      <c r="F82" s="8">
        <v>29.03</v>
      </c>
      <c r="G82" s="8">
        <f t="shared" ref="G82:G94" si="2">E82*F82</f>
        <v>3527.145</v>
      </c>
    </row>
    <row r="83" spans="1:9" x14ac:dyDescent="0.2">
      <c r="A83" t="s">
        <v>8</v>
      </c>
      <c r="B83" s="1">
        <v>0.25280000000000002</v>
      </c>
      <c r="C83" t="s">
        <v>8</v>
      </c>
      <c r="E83" s="3">
        <f>E76*B83</f>
        <v>204.76800000000003</v>
      </c>
      <c r="F83" s="8">
        <v>0</v>
      </c>
      <c r="G83" s="8">
        <f t="shared" si="2"/>
        <v>0</v>
      </c>
    </row>
    <row r="84" spans="1:9" x14ac:dyDescent="0.2">
      <c r="A84" t="s">
        <v>26</v>
      </c>
      <c r="B84" s="1">
        <v>1E-3</v>
      </c>
      <c r="C84" t="s">
        <v>26</v>
      </c>
      <c r="E84" s="3">
        <f>E76*B84</f>
        <v>0.81</v>
      </c>
      <c r="F84" s="8">
        <v>129</v>
      </c>
      <c r="G84" s="8">
        <f t="shared" si="2"/>
        <v>104.49000000000001</v>
      </c>
    </row>
    <row r="85" spans="1:9" x14ac:dyDescent="0.2">
      <c r="A85" t="s">
        <v>6</v>
      </c>
      <c r="B85" s="1">
        <v>4.0000000000000001E-3</v>
      </c>
      <c r="C85" t="s">
        <v>6</v>
      </c>
      <c r="E85" s="3">
        <f>E76*B85</f>
        <v>3.24</v>
      </c>
      <c r="F85" s="8">
        <v>58.26</v>
      </c>
      <c r="G85" s="8">
        <f t="shared" si="2"/>
        <v>188.76240000000001</v>
      </c>
    </row>
    <row r="86" spans="1:9" x14ac:dyDescent="0.2">
      <c r="A86" t="s">
        <v>3</v>
      </c>
      <c r="B86" s="1">
        <v>2E-3</v>
      </c>
      <c r="C86" t="s">
        <v>3</v>
      </c>
      <c r="E86" s="3">
        <f>E76*B86</f>
        <v>1.62</v>
      </c>
      <c r="F86" s="8">
        <v>82.14</v>
      </c>
      <c r="G86" s="8">
        <f t="shared" si="2"/>
        <v>133.0668</v>
      </c>
    </row>
    <row r="87" spans="1:9" x14ac:dyDescent="0.2">
      <c r="A87" t="s">
        <v>30</v>
      </c>
      <c r="B87" s="1">
        <v>1.1999999999999999E-3</v>
      </c>
      <c r="C87" t="s">
        <v>30</v>
      </c>
      <c r="E87" s="3">
        <f>E76*B87</f>
        <v>0.97199999999999986</v>
      </c>
      <c r="F87" s="8">
        <v>25</v>
      </c>
      <c r="G87" s="8">
        <f t="shared" si="2"/>
        <v>24.299999999999997</v>
      </c>
    </row>
    <row r="88" spans="1:9" x14ac:dyDescent="0.2">
      <c r="A88" t="s">
        <v>4</v>
      </c>
      <c r="B88" s="1">
        <v>0.01</v>
      </c>
      <c r="C88" t="s">
        <v>4</v>
      </c>
      <c r="E88" s="3">
        <f>E76*B88</f>
        <v>8.1</v>
      </c>
      <c r="F88" s="8">
        <v>20</v>
      </c>
      <c r="G88" s="8">
        <f t="shared" si="2"/>
        <v>162</v>
      </c>
    </row>
    <row r="89" spans="1:9" x14ac:dyDescent="0.2">
      <c r="A89" t="s">
        <v>27</v>
      </c>
      <c r="B89" s="1">
        <v>2.5000000000000001E-2</v>
      </c>
      <c r="C89" t="s">
        <v>27</v>
      </c>
      <c r="E89" s="3">
        <f>E76*B89</f>
        <v>20.25</v>
      </c>
      <c r="F89" s="8">
        <v>52.32</v>
      </c>
      <c r="G89" s="8">
        <f t="shared" si="2"/>
        <v>1059.48</v>
      </c>
    </row>
    <row r="90" spans="1:9" x14ac:dyDescent="0.2">
      <c r="A90" t="s">
        <v>9</v>
      </c>
      <c r="B90" s="1">
        <v>3.0000000000000001E-3</v>
      </c>
      <c r="C90" t="s">
        <v>9</v>
      </c>
      <c r="E90" s="3">
        <f>E76*B90</f>
        <v>2.4300000000000002</v>
      </c>
      <c r="F90" s="8">
        <v>181.44</v>
      </c>
      <c r="G90" s="8">
        <f t="shared" si="2"/>
        <v>440.89920000000001</v>
      </c>
    </row>
    <row r="91" spans="1:9" x14ac:dyDescent="0.2">
      <c r="A91" t="s">
        <v>15</v>
      </c>
      <c r="B91" s="1">
        <v>0.2</v>
      </c>
      <c r="C91" t="s">
        <v>15</v>
      </c>
      <c r="E91" s="3">
        <f>E76*B91</f>
        <v>162</v>
      </c>
      <c r="F91" s="8">
        <v>68.8</v>
      </c>
      <c r="G91" s="8">
        <f t="shared" si="2"/>
        <v>11145.6</v>
      </c>
      <c r="I91">
        <f>604.8/25</f>
        <v>24.191999999999997</v>
      </c>
    </row>
    <row r="92" spans="1:9" x14ac:dyDescent="0.2">
      <c r="A92" t="s">
        <v>28</v>
      </c>
      <c r="B92" s="1">
        <v>0.2</v>
      </c>
      <c r="C92" t="s">
        <v>28</v>
      </c>
      <c r="E92" s="3">
        <f>E76*B92</f>
        <v>162</v>
      </c>
      <c r="F92" s="8">
        <v>3</v>
      </c>
      <c r="G92" s="8">
        <f t="shared" si="2"/>
        <v>486</v>
      </c>
    </row>
    <row r="93" spans="1:9" x14ac:dyDescent="0.2">
      <c r="A93" t="s">
        <v>165</v>
      </c>
      <c r="B93" s="1">
        <v>0.15</v>
      </c>
      <c r="C93" t="s">
        <v>165</v>
      </c>
      <c r="E93" s="3">
        <f>E76*B93</f>
        <v>121.5</v>
      </c>
      <c r="F93" s="8">
        <v>26.79</v>
      </c>
      <c r="G93" s="8">
        <f t="shared" si="2"/>
        <v>3254.9849999999997</v>
      </c>
    </row>
    <row r="94" spans="1:9" x14ac:dyDescent="0.2">
      <c r="A94" t="s">
        <v>5</v>
      </c>
      <c r="B94" s="2">
        <v>1E-3</v>
      </c>
      <c r="C94" t="s">
        <v>5</v>
      </c>
      <c r="E94" s="4">
        <f>E76*B94</f>
        <v>0.81</v>
      </c>
      <c r="F94" s="11">
        <v>58.26</v>
      </c>
      <c r="G94" s="11">
        <f t="shared" si="2"/>
        <v>47.190600000000003</v>
      </c>
    </row>
    <row r="95" spans="1:9" x14ac:dyDescent="0.2">
      <c r="B95" s="1">
        <f>SUM(B82:B94)</f>
        <v>1</v>
      </c>
      <c r="E95" s="3">
        <f>E76*B95</f>
        <v>810</v>
      </c>
      <c r="F95" s="8">
        <f>SUM(F82:F94)</f>
        <v>734.04</v>
      </c>
      <c r="G95" s="8">
        <f>SUM(G82:G94)</f>
        <v>20573.919000000002</v>
      </c>
    </row>
    <row r="108" spans="5:7" x14ac:dyDescent="0.2">
      <c r="E108" t="s">
        <v>194</v>
      </c>
    </row>
    <row r="110" spans="5:7" x14ac:dyDescent="0.2">
      <c r="F110" s="13"/>
      <c r="G110" t="s">
        <v>194</v>
      </c>
    </row>
    <row r="113" spans="1:7" x14ac:dyDescent="0.2">
      <c r="E113">
        <f>27*30</f>
        <v>810</v>
      </c>
    </row>
    <row r="114" spans="1:7" x14ac:dyDescent="0.2">
      <c r="A114" s="7"/>
    </row>
    <row r="115" spans="1:7" x14ac:dyDescent="0.2">
      <c r="A115" s="7"/>
    </row>
    <row r="118" spans="1:7" x14ac:dyDescent="0.2">
      <c r="A118" s="15" t="s">
        <v>194</v>
      </c>
    </row>
    <row r="119" spans="1:7" x14ac:dyDescent="0.2">
      <c r="A119" t="s">
        <v>223</v>
      </c>
    </row>
    <row r="120" spans="1:7" x14ac:dyDescent="0.2">
      <c r="A120" t="s">
        <v>31</v>
      </c>
    </row>
    <row r="121" spans="1:7" x14ac:dyDescent="0.2">
      <c r="C121" t="s">
        <v>11</v>
      </c>
      <c r="E121" s="3">
        <v>540</v>
      </c>
    </row>
    <row r="124" spans="1:7" x14ac:dyDescent="0.2">
      <c r="A124" t="s">
        <v>27</v>
      </c>
      <c r="B124" s="1">
        <v>6.4999999999999997E-3</v>
      </c>
      <c r="C124" t="s">
        <v>27</v>
      </c>
      <c r="E124" s="3">
        <f>E121*B124</f>
        <v>3.51</v>
      </c>
      <c r="F124" s="8">
        <v>52.32</v>
      </c>
      <c r="G124" s="8">
        <f>E124*F124</f>
        <v>183.64319999999998</v>
      </c>
    </row>
    <row r="125" spans="1:7" x14ac:dyDescent="0.2">
      <c r="A125" t="s">
        <v>8</v>
      </c>
      <c r="B125" s="1">
        <v>0.2999</v>
      </c>
      <c r="C125" t="s">
        <v>8</v>
      </c>
      <c r="E125" s="3">
        <f>E121*B125</f>
        <v>161.946</v>
      </c>
      <c r="F125" s="8">
        <v>0</v>
      </c>
      <c r="G125" s="12">
        <f>E125*F125</f>
        <v>0</v>
      </c>
    </row>
    <row r="126" spans="1:7" x14ac:dyDescent="0.2">
      <c r="A126" t="s">
        <v>30</v>
      </c>
      <c r="B126" s="1">
        <v>1.1999999999999999E-3</v>
      </c>
      <c r="C126" t="s">
        <v>30</v>
      </c>
      <c r="E126" s="3">
        <f>E121*B126</f>
        <v>0.64799999999999991</v>
      </c>
      <c r="F126" s="8">
        <v>25</v>
      </c>
      <c r="G126" s="8">
        <f>E126*F126</f>
        <v>16.2</v>
      </c>
    </row>
    <row r="127" spans="1:7" x14ac:dyDescent="0.2">
      <c r="A127" t="s">
        <v>7</v>
      </c>
      <c r="B127" s="1">
        <v>6.9999999999999999E-4</v>
      </c>
      <c r="C127" t="s">
        <v>7</v>
      </c>
      <c r="E127" s="3">
        <f>E121*B127</f>
        <v>0.378</v>
      </c>
      <c r="F127" s="8">
        <v>129</v>
      </c>
      <c r="G127" s="8">
        <f>E127*F127</f>
        <v>48.762</v>
      </c>
    </row>
    <row r="128" spans="1:7" x14ac:dyDescent="0.2">
      <c r="A128" t="s">
        <v>6</v>
      </c>
      <c r="B128" s="1">
        <v>2.8999999999999998E-3</v>
      </c>
      <c r="C128" t="s">
        <v>6</v>
      </c>
      <c r="E128" s="3">
        <f>E121*B128</f>
        <v>1.5659999999999998</v>
      </c>
      <c r="F128" s="8">
        <v>58.26</v>
      </c>
      <c r="G128" s="8">
        <f t="shared" ref="G128:G135" si="3">E128*F128</f>
        <v>91.235159999999993</v>
      </c>
    </row>
    <row r="129" spans="1:7" x14ac:dyDescent="0.2">
      <c r="A129" t="s">
        <v>5</v>
      </c>
      <c r="B129" s="1">
        <v>3.0000000000000001E-3</v>
      </c>
      <c r="C129" t="s">
        <v>5</v>
      </c>
      <c r="E129" s="3">
        <f>E121*B129</f>
        <v>1.62</v>
      </c>
      <c r="F129" s="8">
        <v>58.26</v>
      </c>
      <c r="G129" s="8">
        <f t="shared" si="3"/>
        <v>94.381200000000007</v>
      </c>
    </row>
    <row r="130" spans="1:7" x14ac:dyDescent="0.2">
      <c r="A130" t="s">
        <v>32</v>
      </c>
      <c r="B130" s="1">
        <v>5.0000000000000001E-3</v>
      </c>
      <c r="C130" t="s">
        <v>32</v>
      </c>
      <c r="E130" s="3">
        <f>E121*B130</f>
        <v>2.7</v>
      </c>
      <c r="F130" s="8">
        <v>20</v>
      </c>
      <c r="G130" s="8">
        <f t="shared" si="3"/>
        <v>54</v>
      </c>
    </row>
    <row r="131" spans="1:7" x14ac:dyDescent="0.2">
      <c r="A131" t="s">
        <v>3</v>
      </c>
      <c r="B131" s="1">
        <v>1.4E-3</v>
      </c>
      <c r="C131" t="s">
        <v>3</v>
      </c>
      <c r="E131" s="3">
        <f>E121*B131</f>
        <v>0.75600000000000001</v>
      </c>
      <c r="F131" s="8">
        <v>82.14</v>
      </c>
      <c r="G131" s="8">
        <f t="shared" si="3"/>
        <v>62.097839999999998</v>
      </c>
    </row>
    <row r="132" spans="1:7" x14ac:dyDescent="0.2">
      <c r="A132" t="s">
        <v>33</v>
      </c>
      <c r="B132" s="1">
        <v>0.43490000000000001</v>
      </c>
      <c r="C132" t="s">
        <v>33</v>
      </c>
      <c r="E132" s="3">
        <f>E121*B132</f>
        <v>234.846</v>
      </c>
      <c r="F132" s="8">
        <v>3</v>
      </c>
      <c r="G132" s="8">
        <f t="shared" si="3"/>
        <v>704.53800000000001</v>
      </c>
    </row>
    <row r="133" spans="1:7" x14ac:dyDescent="0.2">
      <c r="A133" t="s">
        <v>174</v>
      </c>
      <c r="B133" s="1">
        <v>0.18</v>
      </c>
      <c r="C133" t="s">
        <v>174</v>
      </c>
      <c r="E133" s="3">
        <f>E121*B133</f>
        <v>97.2</v>
      </c>
      <c r="F133" s="8">
        <v>20.54</v>
      </c>
      <c r="G133" s="8">
        <f t="shared" si="3"/>
        <v>1996.4880000000001</v>
      </c>
    </row>
    <row r="134" spans="1:7" x14ac:dyDescent="0.2">
      <c r="A134" t="s">
        <v>15</v>
      </c>
      <c r="B134" s="1">
        <v>6.1800000000000001E-2</v>
      </c>
      <c r="C134" t="s">
        <v>15</v>
      </c>
      <c r="E134" s="3">
        <f>E121*B134</f>
        <v>33.372</v>
      </c>
      <c r="F134" s="8">
        <v>68.8</v>
      </c>
      <c r="G134" s="8">
        <f t="shared" si="3"/>
        <v>2295.9935999999998</v>
      </c>
    </row>
    <row r="135" spans="1:7" x14ac:dyDescent="0.2">
      <c r="A135" t="s">
        <v>9</v>
      </c>
      <c r="B135" s="2">
        <v>2.7000000000000001E-3</v>
      </c>
      <c r="C135" t="s">
        <v>9</v>
      </c>
      <c r="E135" s="4">
        <f>E121*B135</f>
        <v>1.4580000000000002</v>
      </c>
      <c r="F135" s="11">
        <v>181.44</v>
      </c>
      <c r="G135" s="11">
        <f t="shared" si="3"/>
        <v>264.53952000000004</v>
      </c>
    </row>
    <row r="136" spans="1:7" x14ac:dyDescent="0.2">
      <c r="B136" s="1">
        <f>SUM(B124:B135)</f>
        <v>1</v>
      </c>
      <c r="E136" s="3">
        <f>SUM(E124:E135)</f>
        <v>539.99999999999989</v>
      </c>
      <c r="F136" s="8">
        <f>SUM(F124:F135)</f>
        <v>698.76</v>
      </c>
      <c r="G136" s="8">
        <f>SUM(G124:G135)</f>
        <v>5811.8785200000002</v>
      </c>
    </row>
    <row r="139" spans="1:7" x14ac:dyDescent="0.2">
      <c r="A139" t="s">
        <v>216</v>
      </c>
    </row>
    <row r="140" spans="1:7" x14ac:dyDescent="0.2">
      <c r="A140" t="s">
        <v>217</v>
      </c>
    </row>
    <row r="141" spans="1:7" x14ac:dyDescent="0.2">
      <c r="A141" t="s">
        <v>218</v>
      </c>
    </row>
    <row r="155" spans="1:6" x14ac:dyDescent="0.2">
      <c r="A155" t="s">
        <v>219</v>
      </c>
      <c r="F155">
        <f>120*37.5</f>
        <v>4500</v>
      </c>
    </row>
    <row r="156" spans="1:6" x14ac:dyDescent="0.2">
      <c r="A156" s="15">
        <v>45138</v>
      </c>
      <c r="E156" t="s">
        <v>35</v>
      </c>
    </row>
    <row r="159" spans="1:6" x14ac:dyDescent="0.2">
      <c r="A159" t="s">
        <v>215</v>
      </c>
    </row>
    <row r="160" spans="1:6" x14ac:dyDescent="0.2">
      <c r="A160" t="s">
        <v>36</v>
      </c>
      <c r="C160" t="s">
        <v>11</v>
      </c>
      <c r="E160" s="3">
        <v>7.5</v>
      </c>
    </row>
    <row r="163" spans="1:7" x14ac:dyDescent="0.2">
      <c r="A163" t="s">
        <v>177</v>
      </c>
      <c r="B163" s="1">
        <v>4.4999999999999998E-2</v>
      </c>
      <c r="C163" t="s">
        <v>177</v>
      </c>
      <c r="E163" s="3">
        <f>E160*B163</f>
        <v>0.33749999999999997</v>
      </c>
      <c r="F163" s="8">
        <v>29.03</v>
      </c>
      <c r="G163" s="8">
        <f t="shared" ref="G163:G179" si="4">E163*F163</f>
        <v>9.797625</v>
      </c>
    </row>
    <row r="164" spans="1:7" x14ac:dyDescent="0.2">
      <c r="A164" t="s">
        <v>27</v>
      </c>
      <c r="B164" s="1">
        <v>2E-3</v>
      </c>
      <c r="C164" t="s">
        <v>27</v>
      </c>
      <c r="E164" s="3">
        <f>E160*B164</f>
        <v>1.4999999999999999E-2</v>
      </c>
      <c r="F164" s="8">
        <v>52.32</v>
      </c>
      <c r="G164" s="8">
        <f t="shared" si="4"/>
        <v>0.78479999999999994</v>
      </c>
    </row>
    <row r="165" spans="1:7" x14ac:dyDescent="0.2">
      <c r="A165" t="s">
        <v>15</v>
      </c>
      <c r="B165" s="1">
        <v>7.4999999999999997E-3</v>
      </c>
      <c r="C165" t="s">
        <v>15</v>
      </c>
      <c r="E165" s="3">
        <f>E160*B165</f>
        <v>5.6249999999999994E-2</v>
      </c>
      <c r="F165" s="8">
        <v>68.8</v>
      </c>
      <c r="G165" s="8">
        <f t="shared" si="4"/>
        <v>3.8699999999999997</v>
      </c>
    </row>
    <row r="166" spans="1:7" x14ac:dyDescent="0.2">
      <c r="A166" t="s">
        <v>37</v>
      </c>
      <c r="B166" s="1">
        <v>1E-3</v>
      </c>
      <c r="C166" t="s">
        <v>37</v>
      </c>
      <c r="E166" s="3">
        <f>E160*B166</f>
        <v>7.4999999999999997E-3</v>
      </c>
      <c r="F166" s="8">
        <v>32.799999999999997</v>
      </c>
      <c r="G166" s="8">
        <f t="shared" si="4"/>
        <v>0.24599999999999997</v>
      </c>
    </row>
    <row r="167" spans="1:7" x14ac:dyDescent="0.2">
      <c r="A167" t="s">
        <v>8</v>
      </c>
      <c r="B167" s="1">
        <v>0.1171</v>
      </c>
      <c r="C167" t="s">
        <v>8</v>
      </c>
      <c r="E167" s="3">
        <f>E160*B167</f>
        <v>0.87824999999999998</v>
      </c>
      <c r="F167" s="8">
        <v>0</v>
      </c>
      <c r="G167" s="12">
        <f t="shared" si="4"/>
        <v>0</v>
      </c>
    </row>
    <row r="168" spans="1:7" x14ac:dyDescent="0.2">
      <c r="A168" t="s">
        <v>9</v>
      </c>
      <c r="B168" s="1">
        <v>8.9999999999999998E-4</v>
      </c>
      <c r="C168" t="s">
        <v>9</v>
      </c>
      <c r="E168" s="3">
        <f>E160*B168</f>
        <v>6.7499999999999999E-3</v>
      </c>
      <c r="F168" s="8">
        <v>181.44</v>
      </c>
      <c r="G168" s="8">
        <f t="shared" si="4"/>
        <v>1.22472</v>
      </c>
    </row>
    <row r="169" spans="1:7" x14ac:dyDescent="0.2">
      <c r="A169" t="s">
        <v>38</v>
      </c>
      <c r="B169" s="1">
        <v>5.0000000000000001E-4</v>
      </c>
      <c r="C169" t="s">
        <v>38</v>
      </c>
      <c r="E169" s="3">
        <f>E160*B169</f>
        <v>3.7499999999999999E-3</v>
      </c>
      <c r="F169" s="8">
        <v>129</v>
      </c>
      <c r="G169" s="8">
        <f t="shared" si="4"/>
        <v>0.48374999999999996</v>
      </c>
    </row>
    <row r="170" spans="1:7" x14ac:dyDescent="0.2">
      <c r="A170" t="s">
        <v>30</v>
      </c>
      <c r="B170" s="1">
        <v>5.9999999999999995E-4</v>
      </c>
      <c r="C170" t="s">
        <v>30</v>
      </c>
      <c r="E170" s="3">
        <f>E160*B170</f>
        <v>4.4999999999999997E-3</v>
      </c>
      <c r="F170" s="8">
        <v>25</v>
      </c>
      <c r="G170" s="8">
        <f t="shared" si="4"/>
        <v>0.11249999999999999</v>
      </c>
    </row>
    <row r="171" spans="1:7" x14ac:dyDescent="0.2">
      <c r="A171" t="s">
        <v>6</v>
      </c>
      <c r="B171" s="1">
        <v>2E-3</v>
      </c>
      <c r="C171" t="s">
        <v>6</v>
      </c>
      <c r="E171" s="3">
        <f>E160*B171</f>
        <v>1.4999999999999999E-2</v>
      </c>
      <c r="F171" s="8">
        <v>58.26</v>
      </c>
      <c r="G171" s="8">
        <f t="shared" si="4"/>
        <v>0.8738999999999999</v>
      </c>
    </row>
    <row r="172" spans="1:7" x14ac:dyDescent="0.2">
      <c r="A172" t="s">
        <v>39</v>
      </c>
      <c r="B172" s="1">
        <v>4.4999999999999997E-3</v>
      </c>
      <c r="C172" t="s">
        <v>39</v>
      </c>
      <c r="E172" s="3">
        <f>E160*B172</f>
        <v>3.3749999999999995E-2</v>
      </c>
      <c r="F172" s="8">
        <v>41.35</v>
      </c>
      <c r="G172" s="8">
        <f t="shared" si="4"/>
        <v>1.3955624999999998</v>
      </c>
    </row>
    <row r="173" spans="1:7" x14ac:dyDescent="0.2">
      <c r="A173" t="s">
        <v>5</v>
      </c>
      <c r="B173" s="1">
        <v>3.0000000000000001E-3</v>
      </c>
      <c r="C173" t="s">
        <v>5</v>
      </c>
      <c r="E173" s="3">
        <f>E160*B173</f>
        <v>2.2499999999999999E-2</v>
      </c>
      <c r="F173" s="8">
        <v>58.26</v>
      </c>
      <c r="G173" s="8">
        <f t="shared" si="4"/>
        <v>1.3108499999999998</v>
      </c>
    </row>
    <row r="174" spans="1:7" x14ac:dyDescent="0.2">
      <c r="A174" t="s">
        <v>3</v>
      </c>
      <c r="B174" s="1">
        <v>1E-3</v>
      </c>
      <c r="C174" t="s">
        <v>3</v>
      </c>
      <c r="E174" s="3">
        <f>E160*B174</f>
        <v>7.4999999999999997E-3</v>
      </c>
      <c r="F174" s="8">
        <v>82.14</v>
      </c>
      <c r="G174" s="8">
        <f t="shared" si="4"/>
        <v>0.61604999999999999</v>
      </c>
    </row>
    <row r="175" spans="1:7" x14ac:dyDescent="0.2">
      <c r="A175" t="s">
        <v>4</v>
      </c>
      <c r="B175" s="1">
        <v>6.4999999999999997E-3</v>
      </c>
      <c r="C175" t="s">
        <v>4</v>
      </c>
      <c r="E175" s="3">
        <f>E160*B175</f>
        <v>4.8749999999999995E-2</v>
      </c>
      <c r="F175" s="8">
        <v>20</v>
      </c>
      <c r="G175" s="8">
        <f t="shared" si="4"/>
        <v>0.97499999999999987</v>
      </c>
    </row>
    <row r="176" spans="1:7" x14ac:dyDescent="0.2">
      <c r="A176" t="s">
        <v>165</v>
      </c>
      <c r="B176" s="1">
        <v>4.4999999999999998E-2</v>
      </c>
      <c r="C176" t="s">
        <v>165</v>
      </c>
      <c r="E176" s="3">
        <f>E160*B176</f>
        <v>0.33749999999999997</v>
      </c>
      <c r="F176" s="8">
        <v>26.79</v>
      </c>
      <c r="G176" s="8">
        <f t="shared" si="4"/>
        <v>9.041624999999998</v>
      </c>
    </row>
    <row r="177" spans="1:7" x14ac:dyDescent="0.2">
      <c r="A177" t="s">
        <v>40</v>
      </c>
      <c r="B177" s="1">
        <v>0.1</v>
      </c>
      <c r="C177" t="s">
        <v>40</v>
      </c>
      <c r="E177" s="3">
        <f>E160*B177</f>
        <v>0.75</v>
      </c>
      <c r="F177" s="8">
        <v>3</v>
      </c>
      <c r="G177" s="8">
        <f t="shared" si="4"/>
        <v>2.25</v>
      </c>
    </row>
    <row r="178" spans="1:7" x14ac:dyDescent="0.2">
      <c r="A178" t="s">
        <v>41</v>
      </c>
      <c r="B178" s="1">
        <v>0.434</v>
      </c>
      <c r="C178" t="s">
        <v>41</v>
      </c>
      <c r="E178" s="3">
        <f>E160*B178</f>
        <v>3.2549999999999999</v>
      </c>
      <c r="F178" s="8">
        <v>1.1499999999999999</v>
      </c>
      <c r="G178" s="8">
        <f t="shared" si="4"/>
        <v>3.7432499999999997</v>
      </c>
    </row>
    <row r="179" spans="1:7" x14ac:dyDescent="0.2">
      <c r="A179" t="s">
        <v>16</v>
      </c>
      <c r="B179" s="2">
        <v>0.22939999999999999</v>
      </c>
      <c r="C179" t="s">
        <v>16</v>
      </c>
      <c r="E179" s="4">
        <f>E160*B179</f>
        <v>1.7204999999999999</v>
      </c>
      <c r="F179" s="11">
        <v>1.48</v>
      </c>
      <c r="G179" s="11">
        <f t="shared" si="4"/>
        <v>2.5463399999999998</v>
      </c>
    </row>
    <row r="180" spans="1:7" x14ac:dyDescent="0.2">
      <c r="B180" s="1">
        <f>SUM(B163:B179)</f>
        <v>1</v>
      </c>
      <c r="E180" s="3">
        <f>SUM(E162:E179)</f>
        <v>7.5</v>
      </c>
      <c r="F180" s="8">
        <f>SUM(F163:F179)</f>
        <v>810.81999999999994</v>
      </c>
      <c r="G180" s="8">
        <f>SUM(G163:G179)</f>
        <v>39.271972500000004</v>
      </c>
    </row>
    <row r="182" spans="1:7" x14ac:dyDescent="0.2">
      <c r="A182" t="s">
        <v>220</v>
      </c>
    </row>
    <row r="183" spans="1:7" x14ac:dyDescent="0.2">
      <c r="A183" t="s">
        <v>221</v>
      </c>
    </row>
    <row r="184" spans="1:7" x14ac:dyDescent="0.2">
      <c r="A184" t="s">
        <v>222</v>
      </c>
    </row>
    <row r="191" spans="1:7" x14ac:dyDescent="0.2">
      <c r="E191" t="s">
        <v>194</v>
      </c>
    </row>
    <row r="196" spans="1:7" x14ac:dyDescent="0.2">
      <c r="A196" t="s">
        <v>42</v>
      </c>
      <c r="C196" t="s">
        <v>11</v>
      </c>
      <c r="E196" s="3">
        <v>4</v>
      </c>
    </row>
    <row r="204" spans="1:7" x14ac:dyDescent="0.2">
      <c r="A204" t="s">
        <v>8</v>
      </c>
      <c r="B204" s="1">
        <v>5.3999999999999999E-2</v>
      </c>
      <c r="C204" t="s">
        <v>8</v>
      </c>
      <c r="E204" s="3">
        <f>E196*B204</f>
        <v>0.216</v>
      </c>
      <c r="F204" s="8">
        <v>0</v>
      </c>
      <c r="G204" s="12">
        <f t="shared" ref="G204:G212" si="5">E204*F204</f>
        <v>0</v>
      </c>
    </row>
    <row r="205" spans="1:7" x14ac:dyDescent="0.2">
      <c r="A205" t="s">
        <v>43</v>
      </c>
      <c r="B205" s="1">
        <v>0.27029999999999998</v>
      </c>
      <c r="C205" t="s">
        <v>43</v>
      </c>
      <c r="E205" s="3">
        <f>E196*B205</f>
        <v>1.0811999999999999</v>
      </c>
      <c r="F205" s="8">
        <v>1.48</v>
      </c>
      <c r="G205" s="8">
        <f t="shared" si="5"/>
        <v>1.6001759999999998</v>
      </c>
    </row>
    <row r="206" spans="1:7" x14ac:dyDescent="0.2">
      <c r="A206" t="s">
        <v>44</v>
      </c>
      <c r="B206" s="1">
        <v>0.54039999999999999</v>
      </c>
      <c r="C206" t="s">
        <v>44</v>
      </c>
      <c r="E206" s="3">
        <f>E196*B206</f>
        <v>2.1616</v>
      </c>
      <c r="F206" s="8">
        <v>1.1499999999999999</v>
      </c>
      <c r="G206" s="8">
        <f t="shared" si="5"/>
        <v>2.4858399999999996</v>
      </c>
    </row>
    <row r="207" spans="1:7" x14ac:dyDescent="0.2">
      <c r="A207" t="s">
        <v>170</v>
      </c>
      <c r="B207" s="1">
        <v>5.9700000000000003E-2</v>
      </c>
      <c r="C207" t="s">
        <v>170</v>
      </c>
      <c r="E207" s="3">
        <f>E196*B207</f>
        <v>0.23880000000000001</v>
      </c>
      <c r="F207" s="8">
        <v>20.54</v>
      </c>
      <c r="G207" s="8">
        <f t="shared" si="5"/>
        <v>4.9049519999999998</v>
      </c>
    </row>
    <row r="208" spans="1:7" x14ac:dyDescent="0.2">
      <c r="A208" t="s">
        <v>170</v>
      </c>
      <c r="B208" s="1">
        <v>5.9700000000000003E-2</v>
      </c>
      <c r="C208" t="s">
        <v>170</v>
      </c>
      <c r="E208" s="3">
        <f>E196*B208</f>
        <v>0.23880000000000001</v>
      </c>
      <c r="F208" s="8">
        <v>20.54</v>
      </c>
      <c r="G208" s="8">
        <f t="shared" si="5"/>
        <v>4.9049519999999998</v>
      </c>
    </row>
    <row r="209" spans="1:7" x14ac:dyDescent="0.2">
      <c r="A209" t="s">
        <v>15</v>
      </c>
      <c r="B209" s="1">
        <v>1.35E-2</v>
      </c>
      <c r="C209" t="s">
        <v>15</v>
      </c>
      <c r="E209" s="3">
        <f>E196*B209</f>
        <v>5.3999999999999999E-2</v>
      </c>
      <c r="F209" s="8">
        <v>68.8</v>
      </c>
      <c r="G209" s="8">
        <f t="shared" si="5"/>
        <v>3.7151999999999998</v>
      </c>
    </row>
    <row r="210" spans="1:7" x14ac:dyDescent="0.2">
      <c r="A210" t="s">
        <v>4</v>
      </c>
      <c r="B210" s="1">
        <v>1.8E-3</v>
      </c>
      <c r="C210" t="s">
        <v>4</v>
      </c>
      <c r="E210" s="3">
        <f>E196*B210</f>
        <v>7.1999999999999998E-3</v>
      </c>
      <c r="F210" s="8">
        <v>20</v>
      </c>
      <c r="G210" s="8">
        <f t="shared" si="5"/>
        <v>0.14399999999999999</v>
      </c>
    </row>
    <row r="211" spans="1:7" x14ac:dyDescent="0.2">
      <c r="A211" t="s">
        <v>6</v>
      </c>
      <c r="B211" s="1">
        <v>2.9999999999999997E-4</v>
      </c>
      <c r="C211" t="s">
        <v>6</v>
      </c>
      <c r="E211" s="3">
        <f>E196*B211</f>
        <v>1.1999999999999999E-3</v>
      </c>
      <c r="F211" s="8">
        <v>58.26</v>
      </c>
      <c r="G211" s="8">
        <f t="shared" si="5"/>
        <v>6.9911999999999988E-2</v>
      </c>
    </row>
    <row r="212" spans="1:7" x14ac:dyDescent="0.2">
      <c r="A212" t="s">
        <v>3</v>
      </c>
      <c r="B212" s="2">
        <v>2.9999999999999997E-4</v>
      </c>
      <c r="C212" t="s">
        <v>3</v>
      </c>
      <c r="E212" s="4">
        <f>E196*B212</f>
        <v>1.1999999999999999E-3</v>
      </c>
      <c r="F212" s="11">
        <v>82.14</v>
      </c>
      <c r="G212" s="11">
        <f t="shared" si="5"/>
        <v>9.8567999999999989E-2</v>
      </c>
    </row>
    <row r="213" spans="1:7" x14ac:dyDescent="0.2">
      <c r="B213" s="1">
        <f>SUM(B204:B212)</f>
        <v>0.99999999999999989</v>
      </c>
      <c r="E213" s="3">
        <f>SUM(E204:E212)</f>
        <v>3.9999999999999996</v>
      </c>
      <c r="F213" s="8">
        <f>SUM(F204:F212)</f>
        <v>272.90999999999997</v>
      </c>
      <c r="G213" s="12">
        <f>SUM(G204:G212)</f>
        <v>17.923599999999997</v>
      </c>
    </row>
    <row r="226" spans="1:7" x14ac:dyDescent="0.2">
      <c r="E226" t="s">
        <v>45</v>
      </c>
    </row>
    <row r="229" spans="1:7" x14ac:dyDescent="0.2">
      <c r="A229" t="s">
        <v>46</v>
      </c>
      <c r="C229" t="s">
        <v>11</v>
      </c>
      <c r="E229" s="3">
        <v>37.5</v>
      </c>
      <c r="F229" t="s">
        <v>226</v>
      </c>
    </row>
    <row r="234" spans="1:7" x14ac:dyDescent="0.2">
      <c r="A234" t="s">
        <v>15</v>
      </c>
      <c r="B234" s="1">
        <v>0.05</v>
      </c>
      <c r="C234" t="s">
        <v>15</v>
      </c>
      <c r="E234" s="3">
        <f>E229*B234</f>
        <v>1.875</v>
      </c>
      <c r="F234" s="8">
        <v>69.34</v>
      </c>
      <c r="G234" s="8">
        <f t="shared" ref="G234:G247" si="6">E234*F234</f>
        <v>130.01250000000002</v>
      </c>
    </row>
    <row r="235" spans="1:7" x14ac:dyDescent="0.2">
      <c r="A235" t="s">
        <v>47</v>
      </c>
      <c r="B235" s="1">
        <v>0.55600000000000005</v>
      </c>
      <c r="C235" t="s">
        <v>47</v>
      </c>
      <c r="E235" s="3">
        <f>E229*B235</f>
        <v>20.85</v>
      </c>
      <c r="F235" s="8">
        <v>4.0999999999999996</v>
      </c>
      <c r="G235" s="8">
        <f t="shared" si="6"/>
        <v>85.484999999999999</v>
      </c>
    </row>
    <row r="236" spans="1:7" x14ac:dyDescent="0.2">
      <c r="A236" t="s">
        <v>8</v>
      </c>
      <c r="B236" s="1">
        <v>0.1517</v>
      </c>
      <c r="C236" t="s">
        <v>8</v>
      </c>
      <c r="E236" s="3">
        <f>E229*B236</f>
        <v>5.6887499999999998</v>
      </c>
      <c r="F236" s="8">
        <v>0</v>
      </c>
      <c r="G236" s="12">
        <f t="shared" si="6"/>
        <v>0</v>
      </c>
    </row>
    <row r="237" spans="1:7" x14ac:dyDescent="0.2">
      <c r="A237" t="s">
        <v>9</v>
      </c>
      <c r="B237" s="1">
        <v>4.1999999999999997E-3</v>
      </c>
      <c r="C237" t="s">
        <v>9</v>
      </c>
      <c r="E237" s="3">
        <f>E229*B237</f>
        <v>0.1575</v>
      </c>
      <c r="F237" s="8">
        <v>181.44</v>
      </c>
      <c r="G237" s="8">
        <f t="shared" si="6"/>
        <v>28.576799999999999</v>
      </c>
    </row>
    <row r="238" spans="1:7" x14ac:dyDescent="0.2">
      <c r="A238" t="s">
        <v>7</v>
      </c>
      <c r="B238" s="1">
        <v>5.0000000000000001E-4</v>
      </c>
      <c r="C238" t="s">
        <v>7</v>
      </c>
      <c r="E238" s="3">
        <f>E229*B238</f>
        <v>1.8749999999999999E-2</v>
      </c>
      <c r="F238" s="8">
        <v>129</v>
      </c>
      <c r="G238" s="8">
        <f t="shared" si="6"/>
        <v>2.4187499999999997</v>
      </c>
    </row>
    <row r="239" spans="1:7" x14ac:dyDescent="0.2">
      <c r="A239" t="s">
        <v>48</v>
      </c>
      <c r="B239" s="1">
        <v>1.6000000000000001E-3</v>
      </c>
      <c r="C239" t="s">
        <v>48</v>
      </c>
      <c r="E239" s="3">
        <f>E229*B239</f>
        <v>6.0000000000000005E-2</v>
      </c>
      <c r="F239" s="8">
        <v>82.14</v>
      </c>
      <c r="G239" s="8">
        <f t="shared" si="6"/>
        <v>4.9284000000000008</v>
      </c>
    </row>
    <row r="240" spans="1:7" x14ac:dyDescent="0.2">
      <c r="A240" t="s">
        <v>5</v>
      </c>
      <c r="B240" s="1">
        <v>5.1999999999999998E-3</v>
      </c>
      <c r="C240" t="s">
        <v>5</v>
      </c>
      <c r="E240" s="3">
        <f>E229*B240</f>
        <v>0.19499999999999998</v>
      </c>
      <c r="F240" s="8">
        <v>58.26</v>
      </c>
      <c r="G240" s="8">
        <f t="shared" si="6"/>
        <v>11.360699999999998</v>
      </c>
    </row>
    <row r="241" spans="1:7" x14ac:dyDescent="0.2">
      <c r="A241" t="s">
        <v>39</v>
      </c>
      <c r="B241" s="1">
        <v>2.1000000000000001E-2</v>
      </c>
      <c r="C241" t="s">
        <v>39</v>
      </c>
      <c r="E241" s="3">
        <f>E229*B241</f>
        <v>0.78750000000000009</v>
      </c>
      <c r="F241" s="8">
        <v>41.35</v>
      </c>
      <c r="G241" s="8">
        <f t="shared" si="6"/>
        <v>32.563125000000007</v>
      </c>
    </row>
    <row r="242" spans="1:7" x14ac:dyDescent="0.2">
      <c r="A242" t="s">
        <v>4</v>
      </c>
      <c r="B242" s="1">
        <v>1.04E-2</v>
      </c>
      <c r="C242" t="s">
        <v>4</v>
      </c>
      <c r="E242" s="3">
        <f>E229*B242</f>
        <v>0.38999999999999996</v>
      </c>
      <c r="F242" s="8">
        <v>20</v>
      </c>
      <c r="G242" s="8">
        <f t="shared" si="6"/>
        <v>7.7999999999999989</v>
      </c>
    </row>
    <row r="243" spans="1:7" x14ac:dyDescent="0.2">
      <c r="A243" t="s">
        <v>49</v>
      </c>
      <c r="B243" s="1">
        <v>2.1000000000000001E-2</v>
      </c>
      <c r="C243" t="s">
        <v>49</v>
      </c>
      <c r="E243" s="3">
        <f>E229*B243</f>
        <v>0.78750000000000009</v>
      </c>
      <c r="F243" s="8">
        <v>18</v>
      </c>
      <c r="G243" s="8">
        <f t="shared" si="6"/>
        <v>14.175000000000001</v>
      </c>
    </row>
    <row r="244" spans="1:7" x14ac:dyDescent="0.2">
      <c r="A244" t="s">
        <v>50</v>
      </c>
      <c r="B244" s="1">
        <v>4.1700000000000001E-2</v>
      </c>
      <c r="C244" t="s">
        <v>50</v>
      </c>
      <c r="E244" s="3">
        <f>E229*B244</f>
        <v>1.56375</v>
      </c>
      <c r="F244" s="8">
        <v>75.400000000000006</v>
      </c>
      <c r="G244" s="8">
        <f t="shared" si="6"/>
        <v>117.90675</v>
      </c>
    </row>
    <row r="245" spans="1:7" x14ac:dyDescent="0.2">
      <c r="A245" t="s">
        <v>51</v>
      </c>
      <c r="B245" s="1">
        <v>3.1300000000000001E-2</v>
      </c>
      <c r="C245" t="s">
        <v>51</v>
      </c>
      <c r="E245" s="3">
        <f>E229*B245</f>
        <v>1.1737500000000001</v>
      </c>
      <c r="F245" s="8">
        <v>75.400000000000006</v>
      </c>
      <c r="G245" s="8">
        <f t="shared" si="6"/>
        <v>88.500750000000011</v>
      </c>
    </row>
    <row r="246" spans="1:7" x14ac:dyDescent="0.2">
      <c r="A246" t="s">
        <v>30</v>
      </c>
      <c r="B246" s="1">
        <v>5.9999999999999995E-4</v>
      </c>
      <c r="C246" t="s">
        <v>30</v>
      </c>
      <c r="E246" s="3">
        <f>E229*B246</f>
        <v>2.2499999999999999E-2</v>
      </c>
      <c r="F246" s="8">
        <v>25</v>
      </c>
      <c r="G246" s="8">
        <f t="shared" si="6"/>
        <v>0.5625</v>
      </c>
    </row>
    <row r="247" spans="1:7" x14ac:dyDescent="0.2">
      <c r="A247" t="s">
        <v>52</v>
      </c>
      <c r="B247" s="2">
        <v>0.1048</v>
      </c>
      <c r="C247" t="s">
        <v>52</v>
      </c>
      <c r="E247" s="4">
        <f>E229*B247</f>
        <v>3.93</v>
      </c>
      <c r="F247" s="11">
        <v>29.03</v>
      </c>
      <c r="G247" s="11">
        <f t="shared" si="6"/>
        <v>114.0879</v>
      </c>
    </row>
    <row r="248" spans="1:7" x14ac:dyDescent="0.2">
      <c r="B248" s="1">
        <f>SUM(B234:B247)</f>
        <v>1</v>
      </c>
      <c r="E248" s="3">
        <f>SUM(E234:E247)</f>
        <v>37.5</v>
      </c>
      <c r="F248" s="8">
        <f>SUM(F234:F247)</f>
        <v>808.45999999999992</v>
      </c>
      <c r="G248" s="8">
        <f>SUM(G234:G247)</f>
        <v>638.37817500000006</v>
      </c>
    </row>
    <row r="264" spans="1:9" x14ac:dyDescent="0.2">
      <c r="A264" s="14"/>
      <c r="I264">
        <f>5*37.5</f>
        <v>187.5</v>
      </c>
    </row>
    <row r="266" spans="1:9" x14ac:dyDescent="0.2">
      <c r="A266" t="s">
        <v>53</v>
      </c>
      <c r="C266" t="s">
        <v>11</v>
      </c>
      <c r="E266" s="3">
        <v>750</v>
      </c>
    </row>
    <row r="267" spans="1:9" x14ac:dyDescent="0.2">
      <c r="A267" s="7"/>
    </row>
    <row r="268" spans="1:9" x14ac:dyDescent="0.2">
      <c r="A268" s="7"/>
    </row>
    <row r="273" spans="1:7" x14ac:dyDescent="0.2">
      <c r="A273" t="s">
        <v>3</v>
      </c>
      <c r="B273" s="1">
        <v>1.1999999999999999E-3</v>
      </c>
      <c r="C273" t="s">
        <v>3</v>
      </c>
      <c r="E273" s="3">
        <f>E266*B273</f>
        <v>0.89999999999999991</v>
      </c>
      <c r="F273" s="8">
        <v>82.14</v>
      </c>
      <c r="G273" s="8">
        <f t="shared" ref="G273:G282" si="7">E273*F273</f>
        <v>73.925999999999988</v>
      </c>
    </row>
    <row r="274" spans="1:7" x14ac:dyDescent="0.2">
      <c r="A274" t="s">
        <v>30</v>
      </c>
      <c r="B274" s="1">
        <v>5.9999999999999995E-4</v>
      </c>
      <c r="C274" t="s">
        <v>30</v>
      </c>
      <c r="E274" s="3">
        <f>E266*B274</f>
        <v>0.44999999999999996</v>
      </c>
      <c r="F274" s="8">
        <v>25</v>
      </c>
      <c r="G274" s="8">
        <f t="shared" si="7"/>
        <v>11.249999999999998</v>
      </c>
    </row>
    <row r="275" spans="1:7" x14ac:dyDescent="0.2">
      <c r="A275" t="s">
        <v>8</v>
      </c>
      <c r="B275" s="1">
        <v>8.6999999999999994E-2</v>
      </c>
      <c r="C275" t="s">
        <v>8</v>
      </c>
      <c r="E275" s="3">
        <f>E266*B275</f>
        <v>65.25</v>
      </c>
      <c r="F275" s="8">
        <v>0</v>
      </c>
      <c r="G275" s="12">
        <f t="shared" si="7"/>
        <v>0</v>
      </c>
    </row>
    <row r="276" spans="1:7" x14ac:dyDescent="0.2">
      <c r="A276" t="s">
        <v>4</v>
      </c>
      <c r="B276" s="1">
        <v>8.0000000000000002E-3</v>
      </c>
      <c r="C276" t="s">
        <v>4</v>
      </c>
      <c r="E276" s="3">
        <f>E266*B276</f>
        <v>6</v>
      </c>
      <c r="F276" s="8">
        <v>20</v>
      </c>
      <c r="G276" s="8">
        <f t="shared" si="7"/>
        <v>120</v>
      </c>
    </row>
    <row r="277" spans="1:7" x14ac:dyDescent="0.2">
      <c r="A277" t="s">
        <v>6</v>
      </c>
      <c r="B277" s="1">
        <v>1.5E-3</v>
      </c>
      <c r="C277" t="s">
        <v>6</v>
      </c>
      <c r="E277" s="3">
        <f>E266*B277</f>
        <v>1.125</v>
      </c>
      <c r="F277" s="8">
        <v>58.26</v>
      </c>
      <c r="G277" s="8">
        <f t="shared" si="7"/>
        <v>65.542500000000004</v>
      </c>
    </row>
    <row r="278" spans="1:7" x14ac:dyDescent="0.2">
      <c r="A278" t="s">
        <v>5</v>
      </c>
      <c r="B278" s="1">
        <v>1.5E-3</v>
      </c>
      <c r="C278" t="s">
        <v>5</v>
      </c>
      <c r="E278" s="3">
        <f>E266*B278</f>
        <v>1.125</v>
      </c>
      <c r="F278" s="8">
        <v>58.26</v>
      </c>
      <c r="G278" s="8">
        <f t="shared" si="7"/>
        <v>65.542500000000004</v>
      </c>
    </row>
    <row r="279" spans="1:7" x14ac:dyDescent="0.2">
      <c r="A279" t="s">
        <v>9</v>
      </c>
      <c r="B279" s="1">
        <v>8.9999999999999998E-4</v>
      </c>
      <c r="C279" t="s">
        <v>9</v>
      </c>
      <c r="E279" s="3">
        <f>E266*B279</f>
        <v>0.67499999999999993</v>
      </c>
      <c r="F279" s="8">
        <v>181.44</v>
      </c>
      <c r="G279" s="8">
        <f t="shared" si="7"/>
        <v>122.47199999999998</v>
      </c>
    </row>
    <row r="280" spans="1:7" x14ac:dyDescent="0.2">
      <c r="A280" t="s">
        <v>186</v>
      </c>
      <c r="B280" s="1">
        <v>9.0999999999999998E-2</v>
      </c>
      <c r="C280" t="str">
        <f>A280</f>
        <v>RESINA   W-4535</v>
      </c>
      <c r="E280" s="3">
        <f>E266*B280</f>
        <v>68.25</v>
      </c>
      <c r="F280" s="8">
        <v>20.54</v>
      </c>
      <c r="G280" s="8">
        <f t="shared" si="7"/>
        <v>1401.855</v>
      </c>
    </row>
    <row r="281" spans="1:7" x14ac:dyDescent="0.2">
      <c r="A281" t="s">
        <v>43</v>
      </c>
      <c r="B281" s="1">
        <v>0.2964</v>
      </c>
      <c r="C281" t="s">
        <v>43</v>
      </c>
      <c r="E281" s="3">
        <f>E266*B281</f>
        <v>222.3</v>
      </c>
      <c r="F281" s="8">
        <v>1.48</v>
      </c>
      <c r="G281" s="8">
        <f t="shared" si="7"/>
        <v>329.00400000000002</v>
      </c>
    </row>
    <row r="282" spans="1:7" x14ac:dyDescent="0.2">
      <c r="A282" t="s">
        <v>44</v>
      </c>
      <c r="B282" s="2">
        <v>0.51190000000000002</v>
      </c>
      <c r="C282" t="s">
        <v>44</v>
      </c>
      <c r="E282" s="4">
        <f>E266*B282</f>
        <v>383.92500000000001</v>
      </c>
      <c r="F282" s="11">
        <v>1.1499999999999999</v>
      </c>
      <c r="G282" s="11">
        <f t="shared" si="7"/>
        <v>441.51374999999996</v>
      </c>
    </row>
    <row r="283" spans="1:7" x14ac:dyDescent="0.2">
      <c r="B283" s="1">
        <f>SUM(B273:B282)</f>
        <v>1</v>
      </c>
      <c r="E283" s="3">
        <f>SUM(E273:E282)</f>
        <v>750</v>
      </c>
      <c r="F283" s="8">
        <f>SUM(F273:F282)</f>
        <v>448.27000000000004</v>
      </c>
      <c r="G283" s="8">
        <f>SUM(G273:G282)</f>
        <v>2631.1057500000002</v>
      </c>
    </row>
    <row r="296" spans="1:7" x14ac:dyDescent="0.2">
      <c r="E296" t="s">
        <v>54</v>
      </c>
    </row>
    <row r="300" spans="1:7" x14ac:dyDescent="0.2">
      <c r="A300" t="s">
        <v>55</v>
      </c>
    </row>
    <row r="301" spans="1:7" x14ac:dyDescent="0.2">
      <c r="A301" t="s">
        <v>56</v>
      </c>
      <c r="C301" t="s">
        <v>11</v>
      </c>
      <c r="E301" s="3">
        <v>37.5</v>
      </c>
    </row>
    <row r="304" spans="1:7" x14ac:dyDescent="0.2">
      <c r="A304" t="s">
        <v>164</v>
      </c>
      <c r="B304" s="1">
        <v>2.1999999999999999E-2</v>
      </c>
      <c r="C304" t="s">
        <v>164</v>
      </c>
      <c r="E304" s="3">
        <f>E301*B304</f>
        <v>0.82499999999999996</v>
      </c>
      <c r="F304" s="8">
        <v>29.03</v>
      </c>
      <c r="G304" s="8">
        <f t="shared" ref="G304:G316" si="8">E304*F304</f>
        <v>23.949749999999998</v>
      </c>
    </row>
    <row r="305" spans="1:7" x14ac:dyDescent="0.2">
      <c r="A305" t="s">
        <v>15</v>
      </c>
      <c r="B305" s="1">
        <v>8.0000000000000002E-3</v>
      </c>
      <c r="C305" t="s">
        <v>15</v>
      </c>
      <c r="E305" s="3">
        <f>E301*B305</f>
        <v>0.3</v>
      </c>
      <c r="F305" s="8">
        <v>68.8</v>
      </c>
      <c r="G305" s="8">
        <f t="shared" si="8"/>
        <v>20.639999999999997</v>
      </c>
    </row>
    <row r="306" spans="1:7" x14ac:dyDescent="0.2">
      <c r="A306" t="s">
        <v>8</v>
      </c>
      <c r="B306" s="1">
        <v>0.12</v>
      </c>
      <c r="C306" t="s">
        <v>8</v>
      </c>
      <c r="E306" s="3">
        <f>E301*B306</f>
        <v>4.5</v>
      </c>
      <c r="F306" s="8">
        <v>0</v>
      </c>
      <c r="G306" s="12">
        <f t="shared" si="8"/>
        <v>0</v>
      </c>
    </row>
    <row r="307" spans="1:7" x14ac:dyDescent="0.2">
      <c r="A307" t="s">
        <v>43</v>
      </c>
      <c r="B307" s="1">
        <v>0.18</v>
      </c>
      <c r="C307" t="s">
        <v>43</v>
      </c>
      <c r="E307" s="3">
        <f>E301*B307</f>
        <v>6.75</v>
      </c>
      <c r="F307" s="8">
        <v>1.48</v>
      </c>
      <c r="G307" s="8">
        <f t="shared" si="8"/>
        <v>9.99</v>
      </c>
    </row>
    <row r="308" spans="1:7" x14ac:dyDescent="0.2">
      <c r="A308" t="s">
        <v>9</v>
      </c>
      <c r="B308" s="1">
        <v>8.9999999999999998E-4</v>
      </c>
      <c r="C308" t="s">
        <v>9</v>
      </c>
      <c r="E308" s="3">
        <f>E301*B308</f>
        <v>3.3750000000000002E-2</v>
      </c>
      <c r="F308" s="8">
        <v>181.44</v>
      </c>
      <c r="G308" s="8">
        <f t="shared" si="8"/>
        <v>6.1236000000000006</v>
      </c>
    </row>
    <row r="309" spans="1:7" x14ac:dyDescent="0.2">
      <c r="A309" t="s">
        <v>3</v>
      </c>
      <c r="B309" s="1">
        <v>1E-3</v>
      </c>
      <c r="C309" t="s">
        <v>3</v>
      </c>
      <c r="E309" s="3">
        <f>E301*B309</f>
        <v>3.7499999999999999E-2</v>
      </c>
      <c r="F309" s="8">
        <v>82.14</v>
      </c>
      <c r="G309" s="8">
        <f t="shared" si="8"/>
        <v>3.0802499999999999</v>
      </c>
    </row>
    <row r="310" spans="1:7" x14ac:dyDescent="0.2">
      <c r="A310" t="s">
        <v>4</v>
      </c>
      <c r="B310" s="1">
        <v>5.0000000000000001E-3</v>
      </c>
      <c r="C310" t="s">
        <v>4</v>
      </c>
      <c r="E310" s="3">
        <f>E301*B310</f>
        <v>0.1875</v>
      </c>
      <c r="F310" s="8">
        <v>20</v>
      </c>
      <c r="G310" s="8">
        <f t="shared" si="8"/>
        <v>3.75</v>
      </c>
    </row>
    <row r="311" spans="1:7" x14ac:dyDescent="0.2">
      <c r="A311" t="s">
        <v>165</v>
      </c>
      <c r="B311" s="1">
        <v>2.1999999999999999E-2</v>
      </c>
      <c r="C311" t="s">
        <v>165</v>
      </c>
      <c r="E311" s="3">
        <f>E301*B311</f>
        <v>0.82499999999999996</v>
      </c>
      <c r="F311" s="8">
        <v>26.79</v>
      </c>
      <c r="G311" s="8">
        <f t="shared" si="8"/>
        <v>22.101749999999999</v>
      </c>
    </row>
    <row r="312" spans="1:7" x14ac:dyDescent="0.2">
      <c r="A312" t="s">
        <v>6</v>
      </c>
      <c r="B312" s="1">
        <v>1.5E-3</v>
      </c>
      <c r="C312" t="s">
        <v>6</v>
      </c>
      <c r="E312" s="3">
        <f>E301*B312</f>
        <v>5.6250000000000001E-2</v>
      </c>
      <c r="F312" s="8">
        <v>58.26</v>
      </c>
      <c r="G312" s="8">
        <f t="shared" si="8"/>
        <v>3.2771249999999998</v>
      </c>
    </row>
    <row r="313" spans="1:7" x14ac:dyDescent="0.2">
      <c r="A313" t="s">
        <v>5</v>
      </c>
      <c r="B313" s="1">
        <v>1.5E-3</v>
      </c>
      <c r="C313" t="s">
        <v>5</v>
      </c>
      <c r="E313" s="3">
        <f>E301*B313</f>
        <v>5.6250000000000001E-2</v>
      </c>
      <c r="F313" s="8">
        <v>58.26</v>
      </c>
      <c r="G313" s="8">
        <f t="shared" si="8"/>
        <v>3.2771249999999998</v>
      </c>
    </row>
    <row r="314" spans="1:7" x14ac:dyDescent="0.2">
      <c r="A314" t="s">
        <v>58</v>
      </c>
      <c r="B314" s="1">
        <v>3.6999999999999998E-2</v>
      </c>
      <c r="C314" t="s">
        <v>58</v>
      </c>
      <c r="E314" s="3">
        <f>E301*B314</f>
        <v>1.3875</v>
      </c>
      <c r="F314" s="8">
        <v>3</v>
      </c>
      <c r="G314" s="8">
        <f t="shared" si="8"/>
        <v>4.1624999999999996</v>
      </c>
    </row>
    <row r="315" spans="1:7" x14ac:dyDescent="0.2">
      <c r="A315" t="s">
        <v>59</v>
      </c>
      <c r="B315" s="1">
        <v>0.05</v>
      </c>
      <c r="C315" t="s">
        <v>59</v>
      </c>
      <c r="E315" s="3">
        <f>E301*B315</f>
        <v>1.875</v>
      </c>
      <c r="F315" s="8">
        <v>1.8</v>
      </c>
      <c r="G315" s="8">
        <f t="shared" si="8"/>
        <v>3.375</v>
      </c>
    </row>
    <row r="316" spans="1:7" x14ac:dyDescent="0.2">
      <c r="A316" t="s">
        <v>41</v>
      </c>
      <c r="B316" s="2">
        <v>0.57310000000000005</v>
      </c>
      <c r="C316" t="s">
        <v>187</v>
      </c>
      <c r="E316" s="4">
        <f>E301*B316</f>
        <v>21.491250000000001</v>
      </c>
      <c r="F316" s="11">
        <v>1.1499999999999999</v>
      </c>
      <c r="G316" s="11">
        <f t="shared" si="8"/>
        <v>24.714937499999998</v>
      </c>
    </row>
    <row r="317" spans="1:7" x14ac:dyDescent="0.2">
      <c r="B317" s="1">
        <f>SUM(B305:B316)</f>
        <v>1</v>
      </c>
      <c r="E317" s="3">
        <f>SUM(E305:E316)</f>
        <v>37.5</v>
      </c>
      <c r="F317" s="8">
        <f>SUM(F304:F316)</f>
        <v>532.15</v>
      </c>
      <c r="G317" s="8">
        <f>SUM(G304:G316)</f>
        <v>128.4420375</v>
      </c>
    </row>
    <row r="331" spans="1:5" x14ac:dyDescent="0.2">
      <c r="E331" t="s">
        <v>60</v>
      </c>
    </row>
    <row r="332" spans="1:5" x14ac:dyDescent="0.2">
      <c r="A332" s="7"/>
    </row>
    <row r="333" spans="1:5" x14ac:dyDescent="0.2">
      <c r="A333" t="s">
        <v>61</v>
      </c>
      <c r="C333" t="s">
        <v>11</v>
      </c>
      <c r="E333" s="3">
        <v>81</v>
      </c>
    </row>
    <row r="337" spans="1:7" x14ac:dyDescent="0.2">
      <c r="A337" t="s">
        <v>8</v>
      </c>
      <c r="B337" s="1">
        <v>0.1236</v>
      </c>
      <c r="C337" t="s">
        <v>8</v>
      </c>
      <c r="E337" s="3">
        <f>E333*B337</f>
        <v>10.0116</v>
      </c>
      <c r="F337" s="8">
        <v>0</v>
      </c>
      <c r="G337" s="12">
        <f t="shared" ref="G337:G352" si="9">E337*F337</f>
        <v>0</v>
      </c>
    </row>
    <row r="338" spans="1:7" x14ac:dyDescent="0.2">
      <c r="A338" t="s">
        <v>63</v>
      </c>
      <c r="B338" s="1">
        <v>1.4E-3</v>
      </c>
      <c r="C338" t="s">
        <v>63</v>
      </c>
      <c r="E338" s="3">
        <f>E333*B338</f>
        <v>0.1134</v>
      </c>
      <c r="F338" s="8">
        <v>181.44</v>
      </c>
      <c r="G338" s="8">
        <f t="shared" si="9"/>
        <v>20.575296000000002</v>
      </c>
    </row>
    <row r="339" spans="1:7" x14ac:dyDescent="0.2">
      <c r="A339" t="s">
        <v>64</v>
      </c>
      <c r="B339" s="1">
        <v>6.9999999999999999E-4</v>
      </c>
      <c r="C339" t="s">
        <v>64</v>
      </c>
      <c r="E339" s="3">
        <f>E333*B339</f>
        <v>5.67E-2</v>
      </c>
      <c r="F339" s="8">
        <v>158.43</v>
      </c>
      <c r="G339" s="8">
        <f t="shared" si="9"/>
        <v>8.9829810000000005</v>
      </c>
    </row>
    <row r="340" spans="1:7" x14ac:dyDescent="0.2">
      <c r="A340" t="s">
        <v>39</v>
      </c>
      <c r="B340" s="1">
        <v>4.5999999999999999E-3</v>
      </c>
      <c r="C340" t="s">
        <v>39</v>
      </c>
      <c r="E340" s="3">
        <f>E333*B340</f>
        <v>0.37259999999999999</v>
      </c>
      <c r="F340" s="8">
        <v>41.35</v>
      </c>
      <c r="G340" s="8">
        <f t="shared" si="9"/>
        <v>15.40701</v>
      </c>
    </row>
    <row r="341" spans="1:7" x14ac:dyDescent="0.2">
      <c r="A341" t="s">
        <v>6</v>
      </c>
      <c r="B341" s="1">
        <v>2.3E-3</v>
      </c>
      <c r="C341" t="s">
        <v>6</v>
      </c>
      <c r="E341" s="3">
        <f>E333*B341</f>
        <v>0.18629999999999999</v>
      </c>
      <c r="F341" s="8">
        <v>58.26</v>
      </c>
      <c r="G341" s="8">
        <f t="shared" si="9"/>
        <v>10.853838</v>
      </c>
    </row>
    <row r="342" spans="1:7" x14ac:dyDescent="0.2">
      <c r="A342" t="s">
        <v>7</v>
      </c>
      <c r="B342" s="1">
        <v>1.5E-3</v>
      </c>
      <c r="C342" t="s">
        <v>7</v>
      </c>
      <c r="E342" s="3">
        <f>E333*B342</f>
        <v>0.1215</v>
      </c>
      <c r="F342" s="8">
        <v>129</v>
      </c>
      <c r="G342" s="8">
        <f t="shared" si="9"/>
        <v>15.673499999999999</v>
      </c>
    </row>
    <row r="343" spans="1:7" x14ac:dyDescent="0.2">
      <c r="A343" t="s">
        <v>3</v>
      </c>
      <c r="B343" s="1">
        <v>8.9999999999999998E-4</v>
      </c>
      <c r="C343" t="s">
        <v>3</v>
      </c>
      <c r="E343" s="3">
        <f>E333*B343</f>
        <v>7.2899999999999993E-2</v>
      </c>
      <c r="F343" s="8">
        <v>82.14</v>
      </c>
      <c r="G343" s="8">
        <f t="shared" si="9"/>
        <v>5.9880059999999995</v>
      </c>
    </row>
    <row r="344" spans="1:7" x14ac:dyDescent="0.2">
      <c r="A344" t="s">
        <v>5</v>
      </c>
      <c r="B344" s="1">
        <v>4.7999999999999996E-3</v>
      </c>
      <c r="C344" t="s">
        <v>5</v>
      </c>
      <c r="E344" s="3">
        <f>E333*B344</f>
        <v>0.38879999999999998</v>
      </c>
      <c r="F344" s="8">
        <v>58.26</v>
      </c>
      <c r="G344" s="8">
        <f t="shared" si="9"/>
        <v>22.651487999999997</v>
      </c>
    </row>
    <row r="345" spans="1:7" x14ac:dyDescent="0.2">
      <c r="A345" t="s">
        <v>62</v>
      </c>
      <c r="B345" s="1">
        <v>4.3E-3</v>
      </c>
      <c r="C345" t="s">
        <v>62</v>
      </c>
      <c r="E345" s="3">
        <f>E333*B345</f>
        <v>0.3483</v>
      </c>
      <c r="F345" s="8">
        <v>68.3</v>
      </c>
      <c r="G345" s="8">
        <f t="shared" si="9"/>
        <v>23.788889999999999</v>
      </c>
    </row>
    <row r="346" spans="1:7" x14ac:dyDescent="0.2">
      <c r="A346" t="s">
        <v>49</v>
      </c>
      <c r="B346" s="1">
        <v>9.5999999999999992E-3</v>
      </c>
      <c r="C346" t="s">
        <v>49</v>
      </c>
      <c r="E346" s="3">
        <f>E333*B346</f>
        <v>0.77759999999999996</v>
      </c>
      <c r="F346" s="8">
        <v>18</v>
      </c>
      <c r="G346" s="8">
        <f t="shared" si="9"/>
        <v>13.996799999999999</v>
      </c>
    </row>
    <row r="347" spans="1:7" x14ac:dyDescent="0.2">
      <c r="A347" t="s">
        <v>65</v>
      </c>
      <c r="B347" s="1">
        <v>0.23949999999999999</v>
      </c>
      <c r="C347" t="s">
        <v>65</v>
      </c>
      <c r="E347" s="3">
        <f>E333*B347</f>
        <v>19.3995</v>
      </c>
      <c r="F347" s="8">
        <v>1.48</v>
      </c>
      <c r="G347" s="8">
        <f t="shared" si="9"/>
        <v>28.711259999999999</v>
      </c>
    </row>
    <row r="348" spans="1:7" x14ac:dyDescent="0.2">
      <c r="A348" t="s">
        <v>33</v>
      </c>
      <c r="B348" s="1">
        <v>8.2299999999999998E-2</v>
      </c>
      <c r="C348" t="s">
        <v>33</v>
      </c>
      <c r="E348" s="3">
        <f>E333*B348</f>
        <v>6.6662999999999997</v>
      </c>
      <c r="F348" s="8">
        <v>3</v>
      </c>
      <c r="G348" s="8">
        <f t="shared" si="9"/>
        <v>19.998899999999999</v>
      </c>
    </row>
    <row r="349" spans="1:7" x14ac:dyDescent="0.2">
      <c r="A349" t="s">
        <v>66</v>
      </c>
      <c r="B349" s="1">
        <v>0.03</v>
      </c>
      <c r="C349" t="s">
        <v>66</v>
      </c>
      <c r="E349" s="3">
        <f>E333*B349</f>
        <v>2.4299999999999997</v>
      </c>
      <c r="F349" s="8">
        <v>80</v>
      </c>
      <c r="G349" s="8">
        <f t="shared" si="9"/>
        <v>194.39999999999998</v>
      </c>
    </row>
    <row r="350" spans="1:7" x14ac:dyDescent="0.2">
      <c r="A350" t="s">
        <v>67</v>
      </c>
      <c r="B350" s="1">
        <v>0.49230000000000002</v>
      </c>
      <c r="C350" t="s">
        <v>67</v>
      </c>
      <c r="E350" s="3">
        <f>E333*B350</f>
        <v>39.876300000000001</v>
      </c>
      <c r="F350" s="8">
        <v>55.82</v>
      </c>
      <c r="G350" s="8">
        <f t="shared" si="9"/>
        <v>2225.895066</v>
      </c>
    </row>
    <row r="351" spans="1:7" x14ac:dyDescent="0.2">
      <c r="A351" t="s">
        <v>68</v>
      </c>
      <c r="B351" s="1">
        <v>1E-3</v>
      </c>
      <c r="C351" t="s">
        <v>68</v>
      </c>
      <c r="E351" s="3">
        <f>E333*B351</f>
        <v>8.1000000000000003E-2</v>
      </c>
      <c r="F351" s="8">
        <v>69.34</v>
      </c>
      <c r="G351" s="8">
        <f t="shared" si="9"/>
        <v>5.6165400000000005</v>
      </c>
    </row>
    <row r="352" spans="1:7" x14ac:dyDescent="0.2">
      <c r="A352" t="s">
        <v>30</v>
      </c>
      <c r="B352" s="2">
        <v>1.1999999999999999E-3</v>
      </c>
      <c r="C352" t="s">
        <v>30</v>
      </c>
      <c r="E352" s="4">
        <f>E333*B352</f>
        <v>9.7199999999999995E-2</v>
      </c>
      <c r="F352" s="11">
        <v>25</v>
      </c>
      <c r="G352" s="11">
        <f t="shared" si="9"/>
        <v>2.4299999999999997</v>
      </c>
    </row>
    <row r="353" spans="1:10" x14ac:dyDescent="0.2">
      <c r="B353" s="1">
        <f>SUM(B337:B352)</f>
        <v>1</v>
      </c>
      <c r="E353" s="3">
        <f>SUM(E337:E352)</f>
        <v>81</v>
      </c>
      <c r="F353" s="8">
        <f>SUM(F337:F352)</f>
        <v>1029.8200000000002</v>
      </c>
      <c r="G353" s="12">
        <f>SUM(G337:G352)</f>
        <v>2614.9695749999996</v>
      </c>
    </row>
    <row r="366" spans="1:10" x14ac:dyDescent="0.2">
      <c r="E366" t="s">
        <v>69</v>
      </c>
    </row>
    <row r="367" spans="1:10" x14ac:dyDescent="0.2">
      <c r="A367" t="s">
        <v>228</v>
      </c>
    </row>
    <row r="368" spans="1:10" x14ac:dyDescent="0.2">
      <c r="A368" t="s">
        <v>70</v>
      </c>
      <c r="C368" t="s">
        <v>11</v>
      </c>
      <c r="E368" s="3">
        <v>862.5</v>
      </c>
      <c r="G368" t="s">
        <v>194</v>
      </c>
      <c r="H368" t="s">
        <v>194</v>
      </c>
      <c r="I368" t="s">
        <v>194</v>
      </c>
      <c r="J368">
        <v>1</v>
      </c>
    </row>
    <row r="373" spans="1:5" x14ac:dyDescent="0.2">
      <c r="A373" t="s">
        <v>27</v>
      </c>
      <c r="B373" s="1">
        <v>3.5000000000000001E-3</v>
      </c>
      <c r="C373" t="s">
        <v>27</v>
      </c>
      <c r="E373" s="3">
        <f>E368*B373</f>
        <v>3.0187500000000003</v>
      </c>
    </row>
    <row r="374" spans="1:5" x14ac:dyDescent="0.2">
      <c r="A374" t="s">
        <v>3</v>
      </c>
      <c r="B374" s="1">
        <v>1E-3</v>
      </c>
      <c r="C374" t="s">
        <v>3</v>
      </c>
      <c r="E374" s="3">
        <f>E368*B374</f>
        <v>0.86250000000000004</v>
      </c>
    </row>
    <row r="375" spans="1:5" x14ac:dyDescent="0.2">
      <c r="A375" t="s">
        <v>7</v>
      </c>
      <c r="B375" s="1">
        <v>5.0000000000000001E-4</v>
      </c>
      <c r="C375" t="s">
        <v>7</v>
      </c>
      <c r="E375" s="3">
        <f>E368*B375</f>
        <v>0.43125000000000002</v>
      </c>
    </row>
    <row r="376" spans="1:5" x14ac:dyDescent="0.2">
      <c r="A376" t="s">
        <v>39</v>
      </c>
      <c r="B376" s="1">
        <v>3.0000000000000001E-3</v>
      </c>
      <c r="C376" t="s">
        <v>39</v>
      </c>
      <c r="E376" s="3">
        <f>E368*B376</f>
        <v>2.5874999999999999</v>
      </c>
    </row>
    <row r="377" spans="1:5" x14ac:dyDescent="0.2">
      <c r="A377" t="s">
        <v>4</v>
      </c>
      <c r="B377" s="1">
        <v>6.4999999999999997E-3</v>
      </c>
      <c r="C377" t="s">
        <v>4</v>
      </c>
      <c r="E377" s="3">
        <f>E368*B377</f>
        <v>5.6062500000000002</v>
      </c>
    </row>
    <row r="378" spans="1:5" x14ac:dyDescent="0.2">
      <c r="A378" t="s">
        <v>5</v>
      </c>
      <c r="B378" s="1">
        <v>3.0000000000000001E-3</v>
      </c>
      <c r="C378" t="s">
        <v>5</v>
      </c>
      <c r="E378" s="3">
        <f>E368*B378</f>
        <v>2.5874999999999999</v>
      </c>
    </row>
    <row r="379" spans="1:5" x14ac:dyDescent="0.2">
      <c r="A379" t="s">
        <v>6</v>
      </c>
      <c r="B379" s="1">
        <v>2E-3</v>
      </c>
      <c r="C379" t="s">
        <v>6</v>
      </c>
      <c r="E379" s="3">
        <f>E368*B379</f>
        <v>1.7250000000000001</v>
      </c>
    </row>
    <row r="380" spans="1:5" x14ac:dyDescent="0.2">
      <c r="A380" t="s">
        <v>9</v>
      </c>
      <c r="B380" s="1">
        <v>8.9999999999999998E-4</v>
      </c>
      <c r="C380" t="s">
        <v>9</v>
      </c>
      <c r="E380" s="3">
        <f>E368*B380</f>
        <v>0.77625</v>
      </c>
    </row>
    <row r="381" spans="1:5" x14ac:dyDescent="0.2">
      <c r="A381" t="s">
        <v>8</v>
      </c>
      <c r="B381" s="1">
        <v>0.113</v>
      </c>
      <c r="C381" t="s">
        <v>8</v>
      </c>
      <c r="E381" s="3">
        <f>E368*B381</f>
        <v>97.462500000000006</v>
      </c>
    </row>
    <row r="382" spans="1:5" x14ac:dyDescent="0.2">
      <c r="A382" t="s">
        <v>29</v>
      </c>
      <c r="B382" s="1">
        <v>0.09</v>
      </c>
      <c r="C382" t="s">
        <v>29</v>
      </c>
      <c r="E382" s="3">
        <f>E368*B382</f>
        <v>77.625</v>
      </c>
    </row>
    <row r="383" spans="1:5" x14ac:dyDescent="0.2">
      <c r="A383" t="s">
        <v>71</v>
      </c>
      <c r="B383" s="1">
        <v>0.1749</v>
      </c>
      <c r="C383" t="s">
        <v>71</v>
      </c>
      <c r="E383" s="3">
        <f>E368*B383</f>
        <v>150.85124999999999</v>
      </c>
    </row>
    <row r="384" spans="1:5" x14ac:dyDescent="0.2">
      <c r="A384" t="s">
        <v>41</v>
      </c>
      <c r="B384" s="1">
        <v>0.43559999999999999</v>
      </c>
      <c r="C384" t="s">
        <v>41</v>
      </c>
      <c r="E384" s="3">
        <f>E368*B384</f>
        <v>375.70499999999998</v>
      </c>
    </row>
    <row r="385" spans="1:5" x14ac:dyDescent="0.2">
      <c r="A385" t="s">
        <v>30</v>
      </c>
      <c r="B385" s="1">
        <v>5.9999999999999995E-4</v>
      </c>
      <c r="C385" t="s">
        <v>30</v>
      </c>
      <c r="E385" s="3">
        <f>E368*B385</f>
        <v>0.51749999999999996</v>
      </c>
    </row>
    <row r="386" spans="1:5" x14ac:dyDescent="0.2">
      <c r="A386" t="s">
        <v>17</v>
      </c>
      <c r="B386" s="1">
        <v>0.1</v>
      </c>
      <c r="C386" t="s">
        <v>17</v>
      </c>
      <c r="E386" s="3">
        <f>E368*B386</f>
        <v>86.25</v>
      </c>
    </row>
    <row r="387" spans="1:5" x14ac:dyDescent="0.2">
      <c r="A387" t="s">
        <v>59</v>
      </c>
      <c r="B387" s="1">
        <v>5.8000000000000003E-2</v>
      </c>
      <c r="C387" t="s">
        <v>59</v>
      </c>
      <c r="E387" s="3">
        <f>E368*B387</f>
        <v>50.025000000000006</v>
      </c>
    </row>
    <row r="388" spans="1:5" x14ac:dyDescent="0.2">
      <c r="A388" t="s">
        <v>15</v>
      </c>
      <c r="B388" s="2">
        <v>7.4999999999999997E-3</v>
      </c>
      <c r="C388" t="s">
        <v>15</v>
      </c>
      <c r="E388" s="4">
        <f>E368*B388</f>
        <v>6.46875</v>
      </c>
    </row>
    <row r="389" spans="1:5" x14ac:dyDescent="0.2">
      <c r="B389" s="1">
        <f>SUM(B373:B388)</f>
        <v>1</v>
      </c>
      <c r="E389" s="3">
        <f>SUM(E373:E388)</f>
        <v>862.5</v>
      </c>
    </row>
    <row r="401" spans="1:5" x14ac:dyDescent="0.2">
      <c r="E401" t="s">
        <v>72</v>
      </c>
    </row>
    <row r="405" spans="1:5" x14ac:dyDescent="0.2">
      <c r="A405" t="s">
        <v>55</v>
      </c>
    </row>
    <row r="406" spans="1:5" x14ac:dyDescent="0.2">
      <c r="A406" t="s">
        <v>74</v>
      </c>
      <c r="C406" t="s">
        <v>11</v>
      </c>
      <c r="E406" s="3">
        <v>37.5</v>
      </c>
    </row>
    <row r="410" spans="1:5" x14ac:dyDescent="0.2">
      <c r="A410" t="s">
        <v>15</v>
      </c>
      <c r="B410" s="1">
        <v>8.0000000000000002E-3</v>
      </c>
      <c r="C410" t="s">
        <v>15</v>
      </c>
      <c r="E410" s="3">
        <f>E406*B410</f>
        <v>0.3</v>
      </c>
    </row>
    <row r="411" spans="1:5" x14ac:dyDescent="0.2">
      <c r="A411" t="s">
        <v>8</v>
      </c>
      <c r="B411" s="1">
        <v>0.12</v>
      </c>
      <c r="C411" t="s">
        <v>8</v>
      </c>
      <c r="E411" s="3">
        <f>E406*B411</f>
        <v>4.5</v>
      </c>
    </row>
    <row r="412" spans="1:5" x14ac:dyDescent="0.2">
      <c r="A412" t="s">
        <v>43</v>
      </c>
      <c r="B412" s="1">
        <v>0.18</v>
      </c>
      <c r="C412" t="s">
        <v>43</v>
      </c>
      <c r="E412" s="3">
        <f>E406*B412</f>
        <v>6.75</v>
      </c>
    </row>
    <row r="413" spans="1:5" x14ac:dyDescent="0.2">
      <c r="A413" t="s">
        <v>9</v>
      </c>
      <c r="B413" s="1">
        <v>8.9999999999999998E-4</v>
      </c>
      <c r="C413" t="s">
        <v>9</v>
      </c>
      <c r="E413">
        <f>E406*B413</f>
        <v>3.3750000000000002E-2</v>
      </c>
    </row>
    <row r="414" spans="1:5" x14ac:dyDescent="0.2">
      <c r="A414" t="s">
        <v>3</v>
      </c>
      <c r="B414" s="1">
        <v>1E-3</v>
      </c>
      <c r="C414" t="s">
        <v>3</v>
      </c>
      <c r="E414" s="3">
        <f>E406*B414</f>
        <v>3.7499999999999999E-2</v>
      </c>
    </row>
    <row r="415" spans="1:5" x14ac:dyDescent="0.2">
      <c r="A415" t="s">
        <v>4</v>
      </c>
      <c r="B415" s="1">
        <v>5.0000000000000001E-3</v>
      </c>
      <c r="C415" t="s">
        <v>4</v>
      </c>
      <c r="E415" s="3">
        <f>E406*B415</f>
        <v>0.1875</v>
      </c>
    </row>
    <row r="416" spans="1:5" x14ac:dyDescent="0.2">
      <c r="A416" t="s">
        <v>57</v>
      </c>
      <c r="B416" s="1">
        <v>4.3999999999999997E-2</v>
      </c>
      <c r="C416" t="s">
        <v>57</v>
      </c>
      <c r="E416" s="3">
        <f>E406*B416</f>
        <v>1.65</v>
      </c>
    </row>
    <row r="417" spans="1:5" x14ac:dyDescent="0.2">
      <c r="A417" t="s">
        <v>6</v>
      </c>
      <c r="B417" s="1">
        <v>1.5E-3</v>
      </c>
      <c r="C417" t="s">
        <v>6</v>
      </c>
      <c r="E417">
        <f>E406*B417</f>
        <v>5.6250000000000001E-2</v>
      </c>
    </row>
    <row r="418" spans="1:5" x14ac:dyDescent="0.2">
      <c r="A418" t="s">
        <v>5</v>
      </c>
      <c r="B418" s="1">
        <v>1.5E-3</v>
      </c>
      <c r="C418" t="s">
        <v>5</v>
      </c>
      <c r="E418">
        <f>E406*B418</f>
        <v>5.6250000000000001E-2</v>
      </c>
    </row>
    <row r="419" spans="1:5" x14ac:dyDescent="0.2">
      <c r="A419" t="s">
        <v>58</v>
      </c>
      <c r="B419" s="1">
        <v>3.6999999999999998E-2</v>
      </c>
      <c r="C419" t="s">
        <v>58</v>
      </c>
      <c r="E419" s="3">
        <f>E406*B419</f>
        <v>1.3875</v>
      </c>
    </row>
    <row r="420" spans="1:5" x14ac:dyDescent="0.2">
      <c r="A420" t="s">
        <v>73</v>
      </c>
      <c r="B420" s="2">
        <v>0.60109999999999997</v>
      </c>
      <c r="C420" t="s">
        <v>44</v>
      </c>
      <c r="E420" s="4">
        <f>E406*B420</f>
        <v>22.541249999999998</v>
      </c>
    </row>
    <row r="421" spans="1:5" x14ac:dyDescent="0.2">
      <c r="B421" s="1">
        <f>SUM(B410:B420)</f>
        <v>1</v>
      </c>
      <c r="E421" s="3">
        <f>SUM(E410:E420)</f>
        <v>37.5</v>
      </c>
    </row>
    <row r="422" spans="1:5" x14ac:dyDescent="0.2">
      <c r="B422" s="1"/>
      <c r="E422" s="3"/>
    </row>
    <row r="436" spans="1:6" x14ac:dyDescent="0.2">
      <c r="E436" t="s">
        <v>75</v>
      </c>
    </row>
    <row r="438" spans="1:6" x14ac:dyDescent="0.2">
      <c r="A438" t="s">
        <v>76</v>
      </c>
      <c r="C438" t="s">
        <v>11</v>
      </c>
      <c r="E438" s="3">
        <v>22</v>
      </c>
      <c r="F438" t="s">
        <v>227</v>
      </c>
    </row>
    <row r="441" spans="1:6" x14ac:dyDescent="0.2">
      <c r="A441" t="s">
        <v>8</v>
      </c>
      <c r="B441" s="1">
        <v>0.11650000000000001</v>
      </c>
      <c r="C441" t="s">
        <v>8</v>
      </c>
      <c r="E441">
        <f>E438*B441</f>
        <v>2.5630000000000002</v>
      </c>
    </row>
    <row r="442" spans="1:6" x14ac:dyDescent="0.2">
      <c r="A442" t="s">
        <v>7</v>
      </c>
      <c r="B442" s="1">
        <v>1E-3</v>
      </c>
      <c r="C442" t="s">
        <v>7</v>
      </c>
      <c r="E442" s="3">
        <f>E438*B442</f>
        <v>2.1999999999999999E-2</v>
      </c>
    </row>
    <row r="443" spans="1:6" x14ac:dyDescent="0.2">
      <c r="A443" t="s">
        <v>3</v>
      </c>
      <c r="B443" s="1">
        <v>1.4E-3</v>
      </c>
      <c r="C443" t="s">
        <v>3</v>
      </c>
      <c r="E443">
        <f>E438*B443</f>
        <v>3.0800000000000001E-2</v>
      </c>
    </row>
    <row r="444" spans="1:6" x14ac:dyDescent="0.2">
      <c r="A444" t="s">
        <v>5</v>
      </c>
      <c r="B444" s="1">
        <v>5.0000000000000001E-3</v>
      </c>
      <c r="C444" t="s">
        <v>5</v>
      </c>
      <c r="E444" s="3">
        <f>E438*B444</f>
        <v>0.11</v>
      </c>
    </row>
    <row r="445" spans="1:6" x14ac:dyDescent="0.2">
      <c r="A445" t="s">
        <v>6</v>
      </c>
      <c r="B445" s="1">
        <v>1E-3</v>
      </c>
      <c r="C445" t="s">
        <v>6</v>
      </c>
      <c r="E445" s="3">
        <f>E438*B445</f>
        <v>2.1999999999999999E-2</v>
      </c>
    </row>
    <row r="446" spans="1:6" x14ac:dyDescent="0.2">
      <c r="A446" t="s">
        <v>77</v>
      </c>
      <c r="B446" s="1">
        <v>8.0000000000000004E-4</v>
      </c>
      <c r="C446" t="s">
        <v>77</v>
      </c>
      <c r="E446">
        <f>E438*B446</f>
        <v>1.7600000000000001E-2</v>
      </c>
    </row>
    <row r="447" spans="1:6" x14ac:dyDescent="0.2">
      <c r="A447" t="s">
        <v>39</v>
      </c>
      <c r="B447" s="1">
        <v>5.0000000000000001E-3</v>
      </c>
      <c r="C447" t="s">
        <v>39</v>
      </c>
      <c r="E447" s="3">
        <f>E438*B447</f>
        <v>0.11</v>
      </c>
    </row>
    <row r="448" spans="1:6" x14ac:dyDescent="0.2">
      <c r="A448" t="s">
        <v>15</v>
      </c>
      <c r="B448" s="1">
        <v>3.7999999999999999E-2</v>
      </c>
      <c r="C448" t="s">
        <v>15</v>
      </c>
      <c r="E448" s="3">
        <f>E438*B448</f>
        <v>0.83599999999999997</v>
      </c>
    </row>
    <row r="449" spans="1:5" x14ac:dyDescent="0.2">
      <c r="A449" t="s">
        <v>1</v>
      </c>
      <c r="B449" s="1">
        <v>0.55000000000000004</v>
      </c>
      <c r="C449" t="s">
        <v>1</v>
      </c>
      <c r="E449" s="3">
        <f>E438*B449</f>
        <v>12.100000000000001</v>
      </c>
    </row>
    <row r="450" spans="1:5" x14ac:dyDescent="0.2">
      <c r="A450" t="s">
        <v>78</v>
      </c>
      <c r="B450" s="1">
        <v>0.19500000000000001</v>
      </c>
      <c r="C450" t="s">
        <v>78</v>
      </c>
      <c r="E450" s="3">
        <f>E438*B450</f>
        <v>4.29</v>
      </c>
    </row>
    <row r="451" spans="1:5" x14ac:dyDescent="0.2">
      <c r="A451" t="s">
        <v>79</v>
      </c>
      <c r="B451" s="1">
        <v>5.3E-3</v>
      </c>
      <c r="C451" t="s">
        <v>79</v>
      </c>
      <c r="E451">
        <f>E438*B451</f>
        <v>0.1166</v>
      </c>
    </row>
    <row r="452" spans="1:5" x14ac:dyDescent="0.2">
      <c r="A452" t="s">
        <v>80</v>
      </c>
      <c r="B452" s="1">
        <v>2.1000000000000001E-2</v>
      </c>
      <c r="C452" t="s">
        <v>80</v>
      </c>
      <c r="E452" s="3">
        <f>E438*B452</f>
        <v>0.46200000000000002</v>
      </c>
    </row>
    <row r="453" spans="1:5" x14ac:dyDescent="0.2">
      <c r="A453" t="s">
        <v>81</v>
      </c>
      <c r="B453" s="2">
        <v>0.06</v>
      </c>
      <c r="C453" t="s">
        <v>81</v>
      </c>
      <c r="E453" s="4">
        <f>E438*B453</f>
        <v>1.3199999999999998</v>
      </c>
    </row>
    <row r="454" spans="1:5" x14ac:dyDescent="0.2">
      <c r="B454" s="1">
        <f>SUM(B441:B453)</f>
        <v>1.0000000000000002</v>
      </c>
      <c r="E454" s="3">
        <f>SUM(E441:E453)</f>
        <v>22</v>
      </c>
    </row>
    <row r="471" spans="1:5" x14ac:dyDescent="0.2">
      <c r="E471" t="s">
        <v>82</v>
      </c>
    </row>
    <row r="472" spans="1:5" x14ac:dyDescent="0.2">
      <c r="A472" t="s">
        <v>83</v>
      </c>
      <c r="C472" t="s">
        <v>11</v>
      </c>
      <c r="E472" s="3">
        <v>5</v>
      </c>
    </row>
    <row r="476" spans="1:5" x14ac:dyDescent="0.2">
      <c r="A476" t="s">
        <v>27</v>
      </c>
      <c r="B476" s="1">
        <v>3.0000000000000001E-3</v>
      </c>
      <c r="C476" t="s">
        <v>27</v>
      </c>
      <c r="E476" s="3">
        <f>E472*B476</f>
        <v>1.4999999999999999E-2</v>
      </c>
    </row>
    <row r="477" spans="1:5" x14ac:dyDescent="0.2">
      <c r="A477" t="s">
        <v>8</v>
      </c>
      <c r="B477" s="1">
        <v>0.11269999999999999</v>
      </c>
      <c r="C477" t="s">
        <v>8</v>
      </c>
      <c r="E477" s="3">
        <f>E472*B477</f>
        <v>0.5635</v>
      </c>
    </row>
    <row r="478" spans="1:5" x14ac:dyDescent="0.2">
      <c r="A478" t="s">
        <v>43</v>
      </c>
      <c r="B478" s="1">
        <v>0.33</v>
      </c>
      <c r="C478" t="s">
        <v>43</v>
      </c>
      <c r="E478" s="3">
        <f>E472*B478</f>
        <v>1.6500000000000001</v>
      </c>
    </row>
    <row r="479" spans="1:5" x14ac:dyDescent="0.2">
      <c r="A479" t="s">
        <v>44</v>
      </c>
      <c r="B479" s="1">
        <v>0.43</v>
      </c>
      <c r="C479" t="s">
        <v>44</v>
      </c>
      <c r="E479" s="3">
        <f>E472*B479</f>
        <v>2.15</v>
      </c>
    </row>
    <row r="480" spans="1:5" x14ac:dyDescent="0.2">
      <c r="A480" t="s">
        <v>84</v>
      </c>
      <c r="B480" s="1">
        <v>0.09</v>
      </c>
      <c r="C480" t="s">
        <v>84</v>
      </c>
      <c r="E480" s="3">
        <f>E472*B480</f>
        <v>0.44999999999999996</v>
      </c>
    </row>
    <row r="481" spans="1:5" x14ac:dyDescent="0.2">
      <c r="A481" t="s">
        <v>85</v>
      </c>
      <c r="B481" s="1">
        <v>1.1999999999999999E-3</v>
      </c>
      <c r="C481" t="s">
        <v>85</v>
      </c>
      <c r="E481" s="3">
        <f>E472*B481</f>
        <v>5.9999999999999993E-3</v>
      </c>
    </row>
    <row r="482" spans="1:5" x14ac:dyDescent="0.2">
      <c r="A482" t="s">
        <v>3</v>
      </c>
      <c r="B482" s="1">
        <v>1.5E-3</v>
      </c>
      <c r="C482" t="s">
        <v>3</v>
      </c>
      <c r="E482" s="3">
        <f>E472*B482</f>
        <v>7.4999999999999997E-3</v>
      </c>
    </row>
    <row r="483" spans="1:5" x14ac:dyDescent="0.2">
      <c r="A483" t="s">
        <v>7</v>
      </c>
      <c r="B483" s="1">
        <v>1E-3</v>
      </c>
      <c r="C483" t="s">
        <v>7</v>
      </c>
      <c r="E483" s="3">
        <f>E472*B483</f>
        <v>5.0000000000000001E-3</v>
      </c>
    </row>
    <row r="484" spans="1:5" x14ac:dyDescent="0.2">
      <c r="A484" t="s">
        <v>39</v>
      </c>
      <c r="B484" s="1">
        <v>3.5000000000000001E-3</v>
      </c>
      <c r="C484" t="s">
        <v>39</v>
      </c>
      <c r="E484" s="3">
        <f>E472*B484</f>
        <v>1.7500000000000002E-2</v>
      </c>
    </row>
    <row r="485" spans="1:5" x14ac:dyDescent="0.2">
      <c r="A485" t="s">
        <v>4</v>
      </c>
      <c r="B485" s="1">
        <v>3.0000000000000001E-3</v>
      </c>
      <c r="C485" t="s">
        <v>4</v>
      </c>
      <c r="E485" s="3">
        <f>E472*B485</f>
        <v>1.4999999999999999E-2</v>
      </c>
    </row>
    <row r="486" spans="1:5" x14ac:dyDescent="0.2">
      <c r="A486" t="s">
        <v>5</v>
      </c>
      <c r="B486" s="1">
        <v>4.1000000000000003E-3</v>
      </c>
      <c r="C486" t="s">
        <v>5</v>
      </c>
      <c r="E486" s="3">
        <f>E472*B486</f>
        <v>2.0500000000000001E-2</v>
      </c>
    </row>
    <row r="487" spans="1:5" x14ac:dyDescent="0.2">
      <c r="A487" t="s">
        <v>86</v>
      </c>
      <c r="B487" s="1">
        <v>2E-3</v>
      </c>
      <c r="C487" t="s">
        <v>86</v>
      </c>
      <c r="E487" s="3">
        <f>E472*B487</f>
        <v>0.01</v>
      </c>
    </row>
    <row r="488" spans="1:5" x14ac:dyDescent="0.2">
      <c r="A488" t="s">
        <v>87</v>
      </c>
      <c r="B488" s="1">
        <v>1E-3</v>
      </c>
      <c r="C488" t="s">
        <v>87</v>
      </c>
      <c r="E488" s="3">
        <f>E472*B488</f>
        <v>5.0000000000000001E-3</v>
      </c>
    </row>
    <row r="489" spans="1:5" x14ac:dyDescent="0.2">
      <c r="A489" t="s">
        <v>15</v>
      </c>
      <c r="B489" s="2">
        <v>1.7000000000000001E-2</v>
      </c>
      <c r="C489" t="s">
        <v>15</v>
      </c>
      <c r="E489" s="4">
        <f>E472*B489</f>
        <v>8.5000000000000006E-2</v>
      </c>
    </row>
    <row r="490" spans="1:5" x14ac:dyDescent="0.2">
      <c r="B490" s="1">
        <f>SUM(B476:B489)</f>
        <v>0.99999999999999978</v>
      </c>
      <c r="E490" s="3">
        <f>E472*B490</f>
        <v>4.9999999999999991</v>
      </c>
    </row>
    <row r="506" spans="1:5" x14ac:dyDescent="0.2">
      <c r="A506" s="7">
        <v>44914</v>
      </c>
      <c r="E506" t="s">
        <v>88</v>
      </c>
    </row>
    <row r="507" spans="1:5" x14ac:dyDescent="0.2">
      <c r="A507" t="s">
        <v>209</v>
      </c>
    </row>
    <row r="508" spans="1:5" x14ac:dyDescent="0.2">
      <c r="A508" t="s">
        <v>42</v>
      </c>
      <c r="C508" t="s">
        <v>11</v>
      </c>
      <c r="E508" s="3">
        <v>37</v>
      </c>
    </row>
    <row r="509" spans="1:5" x14ac:dyDescent="0.2">
      <c r="A509" t="s">
        <v>210</v>
      </c>
    </row>
    <row r="512" spans="1:5" x14ac:dyDescent="0.2">
      <c r="A512" t="s">
        <v>89</v>
      </c>
      <c r="B512" s="1">
        <v>0.06</v>
      </c>
      <c r="C512" t="s">
        <v>89</v>
      </c>
      <c r="E512" s="3">
        <f>E508*B512</f>
        <v>2.2199999999999998</v>
      </c>
    </row>
    <row r="513" spans="1:5" x14ac:dyDescent="0.2">
      <c r="A513" t="s">
        <v>15</v>
      </c>
      <c r="B513" s="1">
        <v>1.43E-2</v>
      </c>
      <c r="C513" t="s">
        <v>15</v>
      </c>
      <c r="E513">
        <f>E508*B513</f>
        <v>0.52910000000000001</v>
      </c>
    </row>
    <row r="514" spans="1:5" x14ac:dyDescent="0.2">
      <c r="A514" t="s">
        <v>22</v>
      </c>
      <c r="B514" s="1">
        <v>5.5E-2</v>
      </c>
      <c r="C514" t="s">
        <v>22</v>
      </c>
      <c r="E514" s="3">
        <f>E508*B514</f>
        <v>2.0350000000000001</v>
      </c>
    </row>
    <row r="515" spans="1:5" x14ac:dyDescent="0.2">
      <c r="A515" t="s">
        <v>23</v>
      </c>
      <c r="B515" s="1">
        <v>5.5E-2</v>
      </c>
      <c r="C515" t="s">
        <v>23</v>
      </c>
      <c r="E515" s="3">
        <f>E508*B515</f>
        <v>2.0350000000000001</v>
      </c>
    </row>
    <row r="516" spans="1:5" x14ac:dyDescent="0.2">
      <c r="A516" t="s">
        <v>1</v>
      </c>
      <c r="B516" s="1">
        <v>0.29099999999999998</v>
      </c>
      <c r="C516" t="s">
        <v>1</v>
      </c>
      <c r="E516" s="3">
        <f>E508*B516</f>
        <v>10.766999999999999</v>
      </c>
    </row>
    <row r="517" spans="1:5" x14ac:dyDescent="0.2">
      <c r="A517" t="s">
        <v>3</v>
      </c>
      <c r="B517" s="1">
        <v>2.9999999999999997E-4</v>
      </c>
      <c r="C517" t="s">
        <v>3</v>
      </c>
      <c r="E517">
        <f>E508*B517</f>
        <v>1.1099999999999999E-2</v>
      </c>
    </row>
    <row r="518" spans="1:5" x14ac:dyDescent="0.2">
      <c r="A518" t="s">
        <v>44</v>
      </c>
      <c r="B518" s="1">
        <v>0.5222</v>
      </c>
      <c r="C518" t="s">
        <v>44</v>
      </c>
      <c r="E518" s="3">
        <f>E508*B518</f>
        <v>19.321400000000001</v>
      </c>
    </row>
    <row r="519" spans="1:5" x14ac:dyDescent="0.2">
      <c r="A519" t="s">
        <v>4</v>
      </c>
      <c r="B519" s="1">
        <v>1.9E-3</v>
      </c>
      <c r="C519" t="s">
        <v>4</v>
      </c>
      <c r="E519" s="3">
        <f>E508*B519</f>
        <v>7.0300000000000001E-2</v>
      </c>
    </row>
    <row r="520" spans="1:5" x14ac:dyDescent="0.2">
      <c r="A520" t="s">
        <v>6</v>
      </c>
      <c r="B520" s="2">
        <v>2.9999999999999997E-4</v>
      </c>
      <c r="C520" t="s">
        <v>6</v>
      </c>
      <c r="E520" s="4">
        <f>E508*B520</f>
        <v>1.1099999999999999E-2</v>
      </c>
    </row>
    <row r="521" spans="1:5" x14ac:dyDescent="0.2">
      <c r="B521" s="1">
        <f>SUM(B512:B520)</f>
        <v>1</v>
      </c>
      <c r="E521" s="3">
        <f>E508*B521</f>
        <v>37</v>
      </c>
    </row>
    <row r="541" spans="1:5" x14ac:dyDescent="0.2">
      <c r="E541" t="s">
        <v>90</v>
      </c>
    </row>
    <row r="544" spans="1:5" x14ac:dyDescent="0.2">
      <c r="A544" t="s">
        <v>91</v>
      </c>
      <c r="C544" t="s">
        <v>11</v>
      </c>
      <c r="E544" s="3">
        <v>30</v>
      </c>
    </row>
    <row r="547" spans="1:5" x14ac:dyDescent="0.2">
      <c r="A547" t="s">
        <v>92</v>
      </c>
      <c r="B547" s="1">
        <v>0.60250000000000004</v>
      </c>
      <c r="C547" t="s">
        <v>92</v>
      </c>
      <c r="E547">
        <f>E544*B547</f>
        <v>18.075000000000003</v>
      </c>
    </row>
    <row r="548" spans="1:5" x14ac:dyDescent="0.2">
      <c r="A548" t="s">
        <v>8</v>
      </c>
      <c r="B548" s="1">
        <v>0.1517</v>
      </c>
      <c r="C548" t="s">
        <v>8</v>
      </c>
      <c r="E548">
        <f>E544*B548</f>
        <v>4.5510000000000002</v>
      </c>
    </row>
    <row r="549" spans="1:5" x14ac:dyDescent="0.2">
      <c r="A549" t="s">
        <v>85</v>
      </c>
      <c r="B549" s="1">
        <v>4.1999999999999997E-3</v>
      </c>
      <c r="C549" t="s">
        <v>85</v>
      </c>
      <c r="E549">
        <f>E544*B549</f>
        <v>0.126</v>
      </c>
    </row>
    <row r="550" spans="1:5" x14ac:dyDescent="0.2">
      <c r="A550" t="s">
        <v>93</v>
      </c>
      <c r="B550" s="1">
        <v>3.5000000000000001E-3</v>
      </c>
      <c r="C550" t="s">
        <v>93</v>
      </c>
      <c r="E550">
        <f>E544*B550</f>
        <v>0.105</v>
      </c>
    </row>
    <row r="551" spans="1:5" x14ac:dyDescent="0.2">
      <c r="A551" t="s">
        <v>7</v>
      </c>
      <c r="B551" s="1">
        <v>5.0000000000000001E-4</v>
      </c>
      <c r="C551" t="s">
        <v>7</v>
      </c>
      <c r="E551">
        <f>E544*B551</f>
        <v>1.4999999999999999E-2</v>
      </c>
    </row>
    <row r="552" spans="1:5" x14ac:dyDescent="0.2">
      <c r="A552" t="s">
        <v>3</v>
      </c>
      <c r="B552" s="1">
        <v>1.6000000000000001E-3</v>
      </c>
      <c r="C552" t="s">
        <v>3</v>
      </c>
      <c r="E552">
        <f>E544*B552</f>
        <v>4.8000000000000001E-2</v>
      </c>
    </row>
    <row r="553" spans="1:5" x14ac:dyDescent="0.2">
      <c r="A553" t="s">
        <v>5</v>
      </c>
      <c r="B553" s="1">
        <v>5.1999999999999998E-3</v>
      </c>
      <c r="C553" t="s">
        <v>5</v>
      </c>
      <c r="E553" s="3">
        <f>E53</f>
        <v>134.4</v>
      </c>
    </row>
    <row r="554" spans="1:5" x14ac:dyDescent="0.2">
      <c r="A554" t="s">
        <v>39</v>
      </c>
      <c r="B554" s="1">
        <v>2.1000000000000001E-2</v>
      </c>
      <c r="C554" t="s">
        <v>39</v>
      </c>
      <c r="E554" s="3">
        <f>E544*B554</f>
        <v>0.63</v>
      </c>
    </row>
    <row r="555" spans="1:5" x14ac:dyDescent="0.2">
      <c r="A555" t="s">
        <v>4</v>
      </c>
      <c r="B555" s="1">
        <v>1.04E-2</v>
      </c>
      <c r="C555" t="s">
        <v>4</v>
      </c>
      <c r="E555">
        <f>E544*B555</f>
        <v>0.312</v>
      </c>
    </row>
    <row r="556" spans="1:5" x14ac:dyDescent="0.2">
      <c r="A556" t="s">
        <v>49</v>
      </c>
      <c r="B556" s="1">
        <v>2.1000000000000001E-2</v>
      </c>
      <c r="C556" t="s">
        <v>49</v>
      </c>
      <c r="E556" s="3">
        <f>E544*B556</f>
        <v>0.63</v>
      </c>
    </row>
    <row r="557" spans="1:5" x14ac:dyDescent="0.2">
      <c r="A557" t="s">
        <v>94</v>
      </c>
      <c r="B557" s="1">
        <v>4.1700000000000001E-2</v>
      </c>
      <c r="C557" t="s">
        <v>94</v>
      </c>
      <c r="E557">
        <f>E544*B557</f>
        <v>1.2510000000000001</v>
      </c>
    </row>
    <row r="558" spans="1:5" x14ac:dyDescent="0.2">
      <c r="A558" t="s">
        <v>95</v>
      </c>
      <c r="B558" s="1">
        <v>3.1300000000000001E-2</v>
      </c>
      <c r="C558" t="s">
        <v>95</v>
      </c>
      <c r="E558">
        <f>E544*B558</f>
        <v>0.93900000000000006</v>
      </c>
    </row>
    <row r="559" spans="1:5" x14ac:dyDescent="0.2">
      <c r="A559" t="s">
        <v>30</v>
      </c>
      <c r="B559" s="1">
        <v>5.9999999999999995E-4</v>
      </c>
      <c r="C559" t="s">
        <v>30</v>
      </c>
      <c r="E559">
        <f>E544*B559</f>
        <v>1.7999999999999999E-2</v>
      </c>
    </row>
    <row r="560" spans="1:5" x14ac:dyDescent="0.2">
      <c r="A560" t="s">
        <v>84</v>
      </c>
      <c r="B560" s="2">
        <v>0.1048</v>
      </c>
      <c r="C560" t="s">
        <v>84</v>
      </c>
      <c r="E560" s="5">
        <f>E544*B560</f>
        <v>3.1440000000000001</v>
      </c>
    </row>
    <row r="561" spans="1:5" x14ac:dyDescent="0.2">
      <c r="B561" s="1">
        <f>SUM(B547:B560)</f>
        <v>0.99999999999999989</v>
      </c>
      <c r="E561" s="3">
        <f>E544*B561</f>
        <v>29.999999999999996</v>
      </c>
    </row>
    <row r="576" spans="1:5" x14ac:dyDescent="0.2">
      <c r="A576" t="s">
        <v>97</v>
      </c>
      <c r="E576" t="s">
        <v>96</v>
      </c>
    </row>
    <row r="579" spans="1:5" x14ac:dyDescent="0.2">
      <c r="A579" t="s">
        <v>25</v>
      </c>
      <c r="C579" t="s">
        <v>11</v>
      </c>
      <c r="E579" s="3">
        <v>270</v>
      </c>
    </row>
    <row r="580" spans="1:5" x14ac:dyDescent="0.2">
      <c r="A580" t="s">
        <v>98</v>
      </c>
    </row>
    <row r="583" spans="1:5" x14ac:dyDescent="0.2">
      <c r="A583" t="s">
        <v>99</v>
      </c>
      <c r="B583" s="1">
        <v>2.5000000000000001E-3</v>
      </c>
      <c r="C583" t="s">
        <v>99</v>
      </c>
      <c r="E583" s="3">
        <f>E579*B583</f>
        <v>0.67500000000000004</v>
      </c>
    </row>
    <row r="584" spans="1:5" x14ac:dyDescent="0.2">
      <c r="A584" t="s">
        <v>7</v>
      </c>
      <c r="B584" s="1">
        <v>1E-3</v>
      </c>
      <c r="C584" t="s">
        <v>7</v>
      </c>
      <c r="E584">
        <f>E579*B584</f>
        <v>0.27</v>
      </c>
    </row>
    <row r="585" spans="1:5" x14ac:dyDescent="0.2">
      <c r="A585" t="s">
        <v>6</v>
      </c>
      <c r="B585" s="1">
        <v>1.5E-3</v>
      </c>
      <c r="C585" t="s">
        <v>6</v>
      </c>
      <c r="E585" s="3">
        <f>E579*B585</f>
        <v>0.40500000000000003</v>
      </c>
    </row>
    <row r="586" spans="1:5" x14ac:dyDescent="0.2">
      <c r="A586" t="s">
        <v>3</v>
      </c>
      <c r="B586" s="1">
        <v>2E-3</v>
      </c>
      <c r="C586" t="s">
        <v>3</v>
      </c>
      <c r="E586">
        <f>E579*B586</f>
        <v>0.54</v>
      </c>
    </row>
    <row r="587" spans="1:5" x14ac:dyDescent="0.2">
      <c r="A587" t="s">
        <v>5</v>
      </c>
      <c r="B587" s="1">
        <v>3.5000000000000001E-3</v>
      </c>
      <c r="C587" t="s">
        <v>5</v>
      </c>
      <c r="E587" s="3">
        <f>E579*B587</f>
        <v>0.94500000000000006</v>
      </c>
    </row>
    <row r="588" spans="1:5" x14ac:dyDescent="0.2">
      <c r="A588" t="s">
        <v>27</v>
      </c>
      <c r="B588" s="1">
        <v>1.7999999999999999E-2</v>
      </c>
      <c r="C588" t="s">
        <v>27</v>
      </c>
      <c r="E588">
        <f>E579*B588</f>
        <v>4.8599999999999994</v>
      </c>
    </row>
    <row r="589" spans="1:5" x14ac:dyDescent="0.2">
      <c r="A589" t="s">
        <v>100</v>
      </c>
      <c r="B589" s="1">
        <v>4.4999999999999997E-3</v>
      </c>
      <c r="C589" t="s">
        <v>100</v>
      </c>
      <c r="E589" s="3">
        <f>E579*B589</f>
        <v>1.2149999999999999</v>
      </c>
    </row>
    <row r="590" spans="1:5" x14ac:dyDescent="0.2">
      <c r="A590" t="s">
        <v>101</v>
      </c>
      <c r="B590" s="1">
        <v>5.0000000000000001E-3</v>
      </c>
      <c r="C590" t="s">
        <v>101</v>
      </c>
      <c r="E590" s="3">
        <f>E579*B590</f>
        <v>1.35</v>
      </c>
    </row>
    <row r="591" spans="1:5" x14ac:dyDescent="0.2">
      <c r="A591" t="s">
        <v>102</v>
      </c>
      <c r="B591" s="1">
        <v>0.06</v>
      </c>
      <c r="C591" t="s">
        <v>102</v>
      </c>
      <c r="E591" s="3">
        <f>E579*B591</f>
        <v>16.2</v>
      </c>
    </row>
    <row r="592" spans="1:5" x14ac:dyDescent="0.2">
      <c r="A592" t="s">
        <v>103</v>
      </c>
      <c r="B592" s="1">
        <v>0.11</v>
      </c>
      <c r="C592" t="s">
        <v>103</v>
      </c>
      <c r="E592" s="3">
        <f>E579*B592</f>
        <v>29.7</v>
      </c>
    </row>
    <row r="593" spans="1:5" x14ac:dyDescent="0.2">
      <c r="A593" t="s">
        <v>15</v>
      </c>
      <c r="B593" s="1">
        <v>0.16</v>
      </c>
      <c r="C593" t="s">
        <v>15</v>
      </c>
      <c r="E593" s="3">
        <f>E579*B593</f>
        <v>43.2</v>
      </c>
    </row>
    <row r="594" spans="1:5" x14ac:dyDescent="0.2">
      <c r="A594" t="s">
        <v>104</v>
      </c>
      <c r="B594" s="1">
        <v>0.13500000000000001</v>
      </c>
      <c r="C594" t="s">
        <v>104</v>
      </c>
      <c r="E594">
        <f>E579*B594</f>
        <v>36.450000000000003</v>
      </c>
    </row>
    <row r="595" spans="1:5" x14ac:dyDescent="0.2">
      <c r="A595" t="s">
        <v>105</v>
      </c>
      <c r="B595" s="1">
        <v>0.13500000000000001</v>
      </c>
      <c r="C595" t="s">
        <v>105</v>
      </c>
      <c r="E595">
        <f>E579*B595</f>
        <v>36.450000000000003</v>
      </c>
    </row>
    <row r="596" spans="1:5" x14ac:dyDescent="0.2">
      <c r="A596" t="s">
        <v>8</v>
      </c>
      <c r="B596" s="2">
        <v>0.36199999999999999</v>
      </c>
      <c r="C596" t="s">
        <v>8</v>
      </c>
      <c r="E596" s="5">
        <f>E579*B596</f>
        <v>97.74</v>
      </c>
    </row>
    <row r="597" spans="1:5" x14ac:dyDescent="0.2">
      <c r="B597" s="1">
        <f>SUM(B583:B596)</f>
        <v>1</v>
      </c>
      <c r="E597" s="3">
        <f>E579*B597</f>
        <v>270</v>
      </c>
    </row>
    <row r="611" spans="1:5" x14ac:dyDescent="0.2">
      <c r="E611" t="s">
        <v>106</v>
      </c>
    </row>
    <row r="614" spans="1:5" x14ac:dyDescent="0.2">
      <c r="A614" t="s">
        <v>25</v>
      </c>
      <c r="C614" t="s">
        <v>11</v>
      </c>
      <c r="E614" s="3">
        <v>13.5</v>
      </c>
    </row>
    <row r="620" spans="1:5" x14ac:dyDescent="0.2">
      <c r="A620" t="s">
        <v>8</v>
      </c>
      <c r="B620" s="1">
        <v>0.25280000000000002</v>
      </c>
      <c r="C620" t="s">
        <v>8</v>
      </c>
      <c r="E620" s="3">
        <f>E614*B620</f>
        <v>3.4128000000000003</v>
      </c>
    </row>
    <row r="621" spans="1:5" x14ac:dyDescent="0.2">
      <c r="A621" t="s">
        <v>7</v>
      </c>
      <c r="B621" s="1">
        <v>1E-3</v>
      </c>
      <c r="C621" t="s">
        <v>7</v>
      </c>
      <c r="E621" s="3">
        <f>E614*B621</f>
        <v>1.35E-2</v>
      </c>
    </row>
    <row r="622" spans="1:5" x14ac:dyDescent="0.2">
      <c r="A622" t="s">
        <v>6</v>
      </c>
      <c r="B622" s="1">
        <v>4.0000000000000001E-3</v>
      </c>
      <c r="C622" t="s">
        <v>6</v>
      </c>
      <c r="E622">
        <f>E614*B622</f>
        <v>5.3999999999999999E-2</v>
      </c>
    </row>
    <row r="623" spans="1:5" x14ac:dyDescent="0.2">
      <c r="A623" t="s">
        <v>3</v>
      </c>
      <c r="B623" s="1">
        <v>2E-3</v>
      </c>
      <c r="C623" t="s">
        <v>3</v>
      </c>
      <c r="E623">
        <f>E614*B623</f>
        <v>2.7E-2</v>
      </c>
    </row>
    <row r="624" spans="1:5" x14ac:dyDescent="0.2">
      <c r="A624" t="s">
        <v>30</v>
      </c>
      <c r="B624" s="1">
        <v>1.1999999999999999E-3</v>
      </c>
      <c r="C624" t="s">
        <v>30</v>
      </c>
      <c r="E624" s="3">
        <f>E614*B624</f>
        <v>1.6199999999999999E-2</v>
      </c>
    </row>
    <row r="625" spans="1:5" x14ac:dyDescent="0.2">
      <c r="A625" t="s">
        <v>4</v>
      </c>
      <c r="B625" s="1">
        <v>0.01</v>
      </c>
      <c r="C625" t="s">
        <v>4</v>
      </c>
      <c r="E625" s="3">
        <f>E614*B625</f>
        <v>0.13500000000000001</v>
      </c>
    </row>
    <row r="626" spans="1:5" x14ac:dyDescent="0.2">
      <c r="A626" t="s">
        <v>27</v>
      </c>
      <c r="B626" s="1">
        <v>2.5000000000000001E-2</v>
      </c>
      <c r="C626" t="s">
        <v>27</v>
      </c>
      <c r="E626" s="3">
        <f>E614*B626</f>
        <v>0.33750000000000002</v>
      </c>
    </row>
    <row r="627" spans="1:5" x14ac:dyDescent="0.2">
      <c r="A627" t="s">
        <v>9</v>
      </c>
      <c r="B627" s="1">
        <v>3.0000000000000001E-3</v>
      </c>
      <c r="C627" t="s">
        <v>9</v>
      </c>
      <c r="E627" s="3">
        <f>E614*B627</f>
        <v>4.0500000000000001E-2</v>
      </c>
    </row>
    <row r="628" spans="1:5" x14ac:dyDescent="0.2">
      <c r="A628" t="s">
        <v>15</v>
      </c>
      <c r="B628" s="1">
        <v>0.2</v>
      </c>
      <c r="C628" t="s">
        <v>15</v>
      </c>
      <c r="E628" s="3">
        <f>E614*B628</f>
        <v>2.7</v>
      </c>
    </row>
    <row r="629" spans="1:5" x14ac:dyDescent="0.2">
      <c r="A629" t="s">
        <v>103</v>
      </c>
      <c r="B629" s="1">
        <v>0.2</v>
      </c>
      <c r="C629" t="s">
        <v>103</v>
      </c>
      <c r="E629" s="3">
        <f>E614*B629</f>
        <v>2.7</v>
      </c>
    </row>
    <row r="630" spans="1:5" x14ac:dyDescent="0.2">
      <c r="A630" t="s">
        <v>190</v>
      </c>
      <c r="B630" s="1">
        <v>0.15</v>
      </c>
      <c r="C630" t="s">
        <v>165</v>
      </c>
      <c r="E630" s="3">
        <f>E614*B630</f>
        <v>2.0249999999999999</v>
      </c>
    </row>
    <row r="631" spans="1:5" x14ac:dyDescent="0.2">
      <c r="A631" t="s">
        <v>104</v>
      </c>
      <c r="B631" s="1">
        <v>0.15</v>
      </c>
      <c r="C631" t="s">
        <v>104</v>
      </c>
      <c r="E631" s="3">
        <f>E614*B631</f>
        <v>2.0249999999999999</v>
      </c>
    </row>
    <row r="632" spans="1:5" x14ac:dyDescent="0.2">
      <c r="A632" t="s">
        <v>5</v>
      </c>
      <c r="B632" s="2">
        <v>1E-3</v>
      </c>
      <c r="C632" t="s">
        <v>5</v>
      </c>
      <c r="E632" s="4">
        <f>E614*B632</f>
        <v>1.35E-2</v>
      </c>
    </row>
    <row r="633" spans="1:5" x14ac:dyDescent="0.2">
      <c r="B633" s="1">
        <f>SUM(B620:B632)</f>
        <v>1</v>
      </c>
      <c r="E633" s="3">
        <f>E614*B633</f>
        <v>13.5</v>
      </c>
    </row>
    <row r="646" spans="1:5" x14ac:dyDescent="0.2">
      <c r="E646" t="s">
        <v>107</v>
      </c>
    </row>
    <row r="648" spans="1:5" x14ac:dyDescent="0.2">
      <c r="A648" t="s">
        <v>108</v>
      </c>
      <c r="C648" t="s">
        <v>11</v>
      </c>
      <c r="E648" s="3">
        <v>750</v>
      </c>
    </row>
    <row r="649" spans="1:5" x14ac:dyDescent="0.2">
      <c r="A649" t="s">
        <v>109</v>
      </c>
    </row>
    <row r="650" spans="1:5" x14ac:dyDescent="0.2">
      <c r="A650" t="s">
        <v>110</v>
      </c>
    </row>
    <row r="654" spans="1:5" x14ac:dyDescent="0.2">
      <c r="A654" t="s">
        <v>15</v>
      </c>
      <c r="B654" s="1">
        <v>8.0000000000000002E-3</v>
      </c>
      <c r="C654" t="s">
        <v>15</v>
      </c>
      <c r="E654" s="3">
        <f>E648*B654</f>
        <v>6</v>
      </c>
    </row>
    <row r="655" spans="1:5" x14ac:dyDescent="0.2">
      <c r="A655" t="s">
        <v>8</v>
      </c>
      <c r="B655" s="1">
        <v>0.1197</v>
      </c>
      <c r="C655" t="s">
        <v>8</v>
      </c>
      <c r="E655" s="3">
        <f>E648*B655</f>
        <v>89.775000000000006</v>
      </c>
    </row>
    <row r="656" spans="1:5" x14ac:dyDescent="0.2">
      <c r="A656" t="s">
        <v>43</v>
      </c>
      <c r="B656" s="1">
        <v>0.18</v>
      </c>
      <c r="C656" t="s">
        <v>43</v>
      </c>
      <c r="E656" s="3">
        <f>E648*B656</f>
        <v>135</v>
      </c>
    </row>
    <row r="657" spans="1:5" x14ac:dyDescent="0.2">
      <c r="A657" t="s">
        <v>9</v>
      </c>
      <c r="B657" s="1">
        <v>8.9999999999999998E-4</v>
      </c>
      <c r="C657" t="s">
        <v>9</v>
      </c>
      <c r="E657" s="3">
        <f>E648*B657</f>
        <v>0.67499999999999993</v>
      </c>
    </row>
    <row r="658" spans="1:5" x14ac:dyDescent="0.2">
      <c r="A658" t="s">
        <v>3</v>
      </c>
      <c r="B658" s="1">
        <v>1E-3</v>
      </c>
      <c r="C658" t="s">
        <v>3</v>
      </c>
      <c r="E658" s="3">
        <f>E648*B658</f>
        <v>0.75</v>
      </c>
    </row>
    <row r="659" spans="1:5" x14ac:dyDescent="0.2">
      <c r="A659" t="s">
        <v>4</v>
      </c>
      <c r="B659" s="1">
        <v>5.0000000000000001E-3</v>
      </c>
      <c r="C659" t="s">
        <v>4</v>
      </c>
      <c r="E659" s="3">
        <f>E648*B659</f>
        <v>3.75</v>
      </c>
    </row>
    <row r="660" spans="1:5" x14ac:dyDescent="0.2">
      <c r="A660" t="s">
        <v>104</v>
      </c>
      <c r="B660" s="1">
        <v>2.1999999999999999E-2</v>
      </c>
      <c r="C660" t="s">
        <v>104</v>
      </c>
      <c r="E660" s="3">
        <f>E648*B660</f>
        <v>16.5</v>
      </c>
    </row>
    <row r="661" spans="1:5" x14ac:dyDescent="0.2">
      <c r="A661" t="s">
        <v>105</v>
      </c>
      <c r="B661" s="1">
        <v>2.1999999999999999E-2</v>
      </c>
      <c r="C661" t="s">
        <v>105</v>
      </c>
      <c r="E661" s="3">
        <f>E648*B661</f>
        <v>16.5</v>
      </c>
    </row>
    <row r="662" spans="1:5" x14ac:dyDescent="0.2">
      <c r="A662" t="s">
        <v>6</v>
      </c>
      <c r="B662" s="1">
        <v>1.5E-3</v>
      </c>
      <c r="C662" t="s">
        <v>6</v>
      </c>
      <c r="E662" s="3">
        <f>E648*B662</f>
        <v>1.125</v>
      </c>
    </row>
    <row r="663" spans="1:5" x14ac:dyDescent="0.2">
      <c r="A663" t="s">
        <v>5</v>
      </c>
      <c r="B663" s="1">
        <v>1.5E-3</v>
      </c>
      <c r="C663" t="s">
        <v>5</v>
      </c>
      <c r="E663" s="3">
        <f>E648*B663</f>
        <v>1.125</v>
      </c>
    </row>
    <row r="664" spans="1:5" x14ac:dyDescent="0.2">
      <c r="A664" t="s">
        <v>103</v>
      </c>
      <c r="B664" s="1">
        <v>3.6999999999999998E-2</v>
      </c>
      <c r="C664" t="s">
        <v>103</v>
      </c>
      <c r="E664" s="3">
        <f>E648*B664</f>
        <v>27.75</v>
      </c>
    </row>
    <row r="665" spans="1:5" x14ac:dyDescent="0.2">
      <c r="A665" t="s">
        <v>59</v>
      </c>
      <c r="B665" s="1">
        <v>0.05</v>
      </c>
      <c r="C665" t="s">
        <v>59</v>
      </c>
      <c r="E665">
        <f>E648*B665</f>
        <v>37.5</v>
      </c>
    </row>
    <row r="666" spans="1:5" x14ac:dyDescent="0.2">
      <c r="A666" t="s">
        <v>44</v>
      </c>
      <c r="B666" s="1">
        <v>0.55110000000000003</v>
      </c>
      <c r="C666" t="s">
        <v>44</v>
      </c>
      <c r="E666" s="3">
        <f>E648*B666</f>
        <v>413.32500000000005</v>
      </c>
    </row>
    <row r="667" spans="1:5" x14ac:dyDescent="0.2">
      <c r="A667" t="s">
        <v>87</v>
      </c>
      <c r="B667" s="2">
        <v>2.9999999999999997E-4</v>
      </c>
      <c r="C667" t="s">
        <v>87</v>
      </c>
      <c r="E667" s="4">
        <f>E648*B667</f>
        <v>0.22499999999999998</v>
      </c>
    </row>
    <row r="668" spans="1:5" x14ac:dyDescent="0.2">
      <c r="B668" s="1">
        <f>SUM(B654:B667)</f>
        <v>1</v>
      </c>
      <c r="E668" s="3">
        <f>E648*B668</f>
        <v>750</v>
      </c>
    </row>
    <row r="681" spans="1:5" x14ac:dyDescent="0.2">
      <c r="A681" t="s">
        <v>112</v>
      </c>
      <c r="E681" t="s">
        <v>111</v>
      </c>
    </row>
    <row r="682" spans="1:5" x14ac:dyDescent="0.2">
      <c r="A682" t="s">
        <v>113</v>
      </c>
    </row>
    <row r="683" spans="1:5" x14ac:dyDescent="0.2">
      <c r="A683" t="s">
        <v>114</v>
      </c>
      <c r="C683" t="s">
        <v>11</v>
      </c>
      <c r="E683" s="3">
        <v>29</v>
      </c>
    </row>
    <row r="687" spans="1:5" x14ac:dyDescent="0.2">
      <c r="A687" t="s">
        <v>115</v>
      </c>
      <c r="B687" s="1">
        <v>2E-3</v>
      </c>
      <c r="C687" t="s">
        <v>115</v>
      </c>
      <c r="E687" s="3">
        <f>E683*B687</f>
        <v>5.8000000000000003E-2</v>
      </c>
    </row>
    <row r="688" spans="1:5" x14ac:dyDescent="0.2">
      <c r="A688" t="s">
        <v>26</v>
      </c>
      <c r="B688" s="1">
        <v>1E-3</v>
      </c>
      <c r="C688" t="s">
        <v>26</v>
      </c>
      <c r="E688" s="3">
        <f>E683*B688</f>
        <v>2.9000000000000001E-2</v>
      </c>
    </row>
    <row r="689" spans="1:5" x14ac:dyDescent="0.2">
      <c r="A689" t="s">
        <v>6</v>
      </c>
      <c r="B689" s="1">
        <v>1.5E-3</v>
      </c>
      <c r="C689" t="s">
        <v>6</v>
      </c>
      <c r="E689" s="3">
        <f>E683*B689</f>
        <v>4.3500000000000004E-2</v>
      </c>
    </row>
    <row r="690" spans="1:5" x14ac:dyDescent="0.2">
      <c r="A690" t="s">
        <v>99</v>
      </c>
      <c r="B690" s="1">
        <v>2.5000000000000001E-3</v>
      </c>
      <c r="C690" t="s">
        <v>99</v>
      </c>
      <c r="E690" s="3">
        <f>E683*B690</f>
        <v>7.2499999999999995E-2</v>
      </c>
    </row>
    <row r="691" spans="1:5" x14ac:dyDescent="0.2">
      <c r="A691" t="s">
        <v>5</v>
      </c>
      <c r="B691" s="1">
        <v>3.5000000000000001E-3</v>
      </c>
      <c r="C691" t="s">
        <v>5</v>
      </c>
      <c r="E691" s="3">
        <f>E683*B691</f>
        <v>0.10150000000000001</v>
      </c>
    </row>
    <row r="692" spans="1:5" x14ac:dyDescent="0.2">
      <c r="A692" t="s">
        <v>101</v>
      </c>
      <c r="B692" s="1">
        <v>5.0000000000000001E-3</v>
      </c>
      <c r="C692" t="s">
        <v>101</v>
      </c>
      <c r="E692">
        <f>E683*B692</f>
        <v>0.14499999999999999</v>
      </c>
    </row>
    <row r="693" spans="1:5" x14ac:dyDescent="0.2">
      <c r="A693" t="s">
        <v>100</v>
      </c>
      <c r="B693" s="1">
        <v>4.0000000000000001E-3</v>
      </c>
      <c r="C693" t="s">
        <v>100</v>
      </c>
      <c r="E693" s="3">
        <f>E683*B693</f>
        <v>0.11600000000000001</v>
      </c>
    </row>
    <row r="694" spans="1:5" x14ac:dyDescent="0.2">
      <c r="A694" t="s">
        <v>39</v>
      </c>
      <c r="B694" s="1">
        <v>4.0000000000000001E-3</v>
      </c>
      <c r="C694" t="s">
        <v>39</v>
      </c>
      <c r="E694" s="3">
        <f>E683*B694</f>
        <v>0.11600000000000001</v>
      </c>
    </row>
    <row r="695" spans="1:5" x14ac:dyDescent="0.2">
      <c r="A695" t="s">
        <v>4</v>
      </c>
      <c r="B695" s="1">
        <v>1.6E-2</v>
      </c>
      <c r="C695" t="s">
        <v>4</v>
      </c>
      <c r="E695" s="3">
        <f>E683*B695</f>
        <v>0.46400000000000002</v>
      </c>
    </row>
    <row r="696" spans="1:5" x14ac:dyDescent="0.2">
      <c r="A696" t="s">
        <v>15</v>
      </c>
      <c r="B696" s="1">
        <v>7.1999999999999995E-2</v>
      </c>
      <c r="C696" t="s">
        <v>15</v>
      </c>
      <c r="E696" s="3">
        <f>E683*B696</f>
        <v>2.0879999999999996</v>
      </c>
    </row>
    <row r="697" spans="1:5" x14ac:dyDescent="0.2">
      <c r="A697" t="s">
        <v>104</v>
      </c>
      <c r="B697" s="1">
        <v>0.06</v>
      </c>
      <c r="C697" t="s">
        <v>104</v>
      </c>
      <c r="E697">
        <f>E683*B697</f>
        <v>1.74</v>
      </c>
    </row>
    <row r="698" spans="1:5" x14ac:dyDescent="0.2">
      <c r="A698" t="s">
        <v>105</v>
      </c>
      <c r="B698" s="1">
        <v>0.06</v>
      </c>
      <c r="C698" t="s">
        <v>105</v>
      </c>
      <c r="E698">
        <f>E683*B698</f>
        <v>1.74</v>
      </c>
    </row>
    <row r="699" spans="1:5" x14ac:dyDescent="0.2">
      <c r="A699" t="s">
        <v>103</v>
      </c>
      <c r="B699" s="1">
        <v>0.2</v>
      </c>
      <c r="C699" t="s">
        <v>103</v>
      </c>
      <c r="E699" s="3">
        <f>E683*B699</f>
        <v>5.8000000000000007</v>
      </c>
    </row>
    <row r="700" spans="1:5" x14ac:dyDescent="0.2">
      <c r="A700" t="s">
        <v>102</v>
      </c>
      <c r="B700" s="1">
        <v>0.2</v>
      </c>
      <c r="C700" t="s">
        <v>102</v>
      </c>
      <c r="E700" s="3">
        <f>E683*B700</f>
        <v>5.8000000000000007</v>
      </c>
    </row>
    <row r="701" spans="1:5" x14ac:dyDescent="0.2">
      <c r="A701" t="s">
        <v>8</v>
      </c>
      <c r="B701" s="2">
        <v>0.36849999999999999</v>
      </c>
      <c r="C701" t="s">
        <v>8</v>
      </c>
      <c r="E701" s="4">
        <f>E683*B701</f>
        <v>10.686500000000001</v>
      </c>
    </row>
    <row r="702" spans="1:5" x14ac:dyDescent="0.2">
      <c r="B702" s="1">
        <f>SUM(B687:B701)</f>
        <v>1</v>
      </c>
      <c r="E702" s="3">
        <f>E683*B702</f>
        <v>29</v>
      </c>
    </row>
    <row r="716" spans="1:5" x14ac:dyDescent="0.2">
      <c r="E716" t="s">
        <v>116</v>
      </c>
    </row>
    <row r="717" spans="1:5" x14ac:dyDescent="0.2">
      <c r="A717" t="s">
        <v>205</v>
      </c>
    </row>
    <row r="718" spans="1:5" x14ac:dyDescent="0.2">
      <c r="A718" t="s">
        <v>117</v>
      </c>
      <c r="C718" t="s">
        <v>11</v>
      </c>
      <c r="E718" s="3">
        <v>5.6</v>
      </c>
    </row>
    <row r="719" spans="1:5" x14ac:dyDescent="0.2">
      <c r="A719" t="s">
        <v>206</v>
      </c>
    </row>
    <row r="720" spans="1:5" x14ac:dyDescent="0.2">
      <c r="A720" t="s">
        <v>207</v>
      </c>
    </row>
    <row r="721" spans="1:6" x14ac:dyDescent="0.2">
      <c r="B721" s="1"/>
    </row>
    <row r="722" spans="1:6" x14ac:dyDescent="0.2">
      <c r="B722" s="1"/>
      <c r="E722" s="3"/>
    </row>
    <row r="723" spans="1:6" x14ac:dyDescent="0.2">
      <c r="A723" t="s">
        <v>8</v>
      </c>
      <c r="B723" s="1">
        <v>0.28100000000000003</v>
      </c>
      <c r="C723" t="s">
        <v>8</v>
      </c>
      <c r="E723" s="3">
        <f>E718*B723</f>
        <v>1.5736000000000001</v>
      </c>
      <c r="F723" s="8"/>
    </row>
    <row r="724" spans="1:6" x14ac:dyDescent="0.2">
      <c r="A724" t="s">
        <v>85</v>
      </c>
      <c r="B724" s="1">
        <v>2.5000000000000001E-3</v>
      </c>
      <c r="C724" t="s">
        <v>85</v>
      </c>
      <c r="E724" s="3">
        <f>E718*B724</f>
        <v>1.3999999999999999E-2</v>
      </c>
      <c r="F724" s="8"/>
    </row>
    <row r="725" spans="1:6" x14ac:dyDescent="0.2">
      <c r="A725" t="s">
        <v>101</v>
      </c>
      <c r="B725" s="1">
        <v>5.0000000000000001E-3</v>
      </c>
      <c r="C725" t="s">
        <v>101</v>
      </c>
      <c r="E725" s="3">
        <f>E718*B725</f>
        <v>2.7999999999999997E-2</v>
      </c>
    </row>
    <row r="726" spans="1:6" x14ac:dyDescent="0.2">
      <c r="A726" t="s">
        <v>7</v>
      </c>
      <c r="B726" s="1">
        <v>1E-3</v>
      </c>
      <c r="C726" t="s">
        <v>7</v>
      </c>
      <c r="E726" s="3">
        <f>E718*B726</f>
        <v>5.5999999999999999E-3</v>
      </c>
    </row>
    <row r="727" spans="1:6" x14ac:dyDescent="0.2">
      <c r="A727" t="s">
        <v>86</v>
      </c>
      <c r="B727" s="1">
        <v>1.5E-3</v>
      </c>
      <c r="C727" t="s">
        <v>86</v>
      </c>
      <c r="E727">
        <f>E718*B727</f>
        <v>8.3999999999999995E-3</v>
      </c>
    </row>
    <row r="728" spans="1:6" x14ac:dyDescent="0.2">
      <c r="A728" t="s">
        <v>3</v>
      </c>
      <c r="B728" s="1">
        <v>2E-3</v>
      </c>
      <c r="C728" t="s">
        <v>3</v>
      </c>
      <c r="E728" s="3">
        <f>E718*B728</f>
        <v>1.12E-2</v>
      </c>
    </row>
    <row r="729" spans="1:6" x14ac:dyDescent="0.2">
      <c r="A729" t="s">
        <v>5</v>
      </c>
      <c r="B729" s="1">
        <v>3.5000000000000001E-3</v>
      </c>
      <c r="C729" t="s">
        <v>5</v>
      </c>
      <c r="E729" s="3">
        <f>E718*B729</f>
        <v>1.9599999999999999E-2</v>
      </c>
    </row>
    <row r="730" spans="1:6" x14ac:dyDescent="0.2">
      <c r="A730" t="s">
        <v>100</v>
      </c>
      <c r="B730" s="1">
        <v>3.5000000000000001E-3</v>
      </c>
      <c r="C730" t="s">
        <v>100</v>
      </c>
      <c r="E730" s="3">
        <f>E718*B730</f>
        <v>1.9599999999999999E-2</v>
      </c>
    </row>
    <row r="731" spans="1:6" x14ac:dyDescent="0.2">
      <c r="A731" t="s">
        <v>27</v>
      </c>
      <c r="B731" s="1">
        <v>0.02</v>
      </c>
      <c r="C731" t="s">
        <v>27</v>
      </c>
      <c r="E731" s="3">
        <f>E718*B731</f>
        <v>0.11199999999999999</v>
      </c>
    </row>
    <row r="732" spans="1:6" x14ac:dyDescent="0.2">
      <c r="A732" t="s">
        <v>103</v>
      </c>
      <c r="B732" s="1">
        <v>0.05</v>
      </c>
      <c r="C732" t="s">
        <v>103</v>
      </c>
      <c r="E732" s="3">
        <f>E718*B732</f>
        <v>0.27999999999999997</v>
      </c>
    </row>
    <row r="733" spans="1:6" x14ac:dyDescent="0.2">
      <c r="A733" t="s">
        <v>102</v>
      </c>
      <c r="B733" s="1">
        <v>0.05</v>
      </c>
      <c r="C733" t="s">
        <v>102</v>
      </c>
      <c r="E733" s="3">
        <f>E718*B733</f>
        <v>0.27999999999999997</v>
      </c>
    </row>
    <row r="734" spans="1:6" x14ac:dyDescent="0.2">
      <c r="A734" t="s">
        <v>15</v>
      </c>
      <c r="B734" s="1">
        <v>0.2</v>
      </c>
      <c r="C734" t="s">
        <v>15</v>
      </c>
      <c r="E734" s="3">
        <f>E718*B734</f>
        <v>1.1199999999999999</v>
      </c>
    </row>
    <row r="735" spans="1:6" x14ac:dyDescent="0.2">
      <c r="A735" t="s">
        <v>104</v>
      </c>
      <c r="B735" s="1">
        <v>0.19</v>
      </c>
      <c r="C735" t="s">
        <v>104</v>
      </c>
      <c r="E735" s="3">
        <f>E718*B735</f>
        <v>1.0639999999999998</v>
      </c>
    </row>
    <row r="736" spans="1:6" x14ac:dyDescent="0.2">
      <c r="A736" t="s">
        <v>105</v>
      </c>
      <c r="B736" s="2">
        <v>0.19</v>
      </c>
      <c r="C736" t="s">
        <v>105</v>
      </c>
      <c r="E736" s="4">
        <f>E718*B736</f>
        <v>1.0639999999999998</v>
      </c>
    </row>
    <row r="737" spans="2:5" x14ac:dyDescent="0.2">
      <c r="B737" s="1">
        <f>SUM(B723:B736)</f>
        <v>1</v>
      </c>
      <c r="E737" s="3">
        <f>E718*B737</f>
        <v>5.6</v>
      </c>
    </row>
    <row r="751" spans="2:5" x14ac:dyDescent="0.2">
      <c r="E751" t="s">
        <v>118</v>
      </c>
    </row>
    <row r="754" spans="1:5" x14ac:dyDescent="0.2">
      <c r="A754" t="s">
        <v>117</v>
      </c>
      <c r="C754" t="s">
        <v>11</v>
      </c>
      <c r="E754" s="3">
        <v>5.6</v>
      </c>
    </row>
    <row r="755" spans="1:5" x14ac:dyDescent="0.2">
      <c r="A755" t="s">
        <v>119</v>
      </c>
    </row>
    <row r="756" spans="1:5" x14ac:dyDescent="0.2">
      <c r="A756" t="s">
        <v>120</v>
      </c>
    </row>
    <row r="761" spans="1:5" x14ac:dyDescent="0.2">
      <c r="A761" t="s">
        <v>89</v>
      </c>
      <c r="B761" s="1">
        <v>0.24440000000000001</v>
      </c>
      <c r="C761" t="s">
        <v>89</v>
      </c>
      <c r="E761" s="3">
        <f>E754*B761</f>
        <v>1.3686399999999999</v>
      </c>
    </row>
    <row r="762" spans="1:5" x14ac:dyDescent="0.2">
      <c r="A762" t="s">
        <v>121</v>
      </c>
      <c r="B762" s="1">
        <v>4.0000000000000001E-3</v>
      </c>
      <c r="C762" t="s">
        <v>121</v>
      </c>
      <c r="E762">
        <f>E754*B762</f>
        <v>2.24E-2</v>
      </c>
    </row>
    <row r="763" spans="1:5" x14ac:dyDescent="0.2">
      <c r="A763" t="s">
        <v>86</v>
      </c>
      <c r="B763" s="1">
        <v>4.0000000000000001E-3</v>
      </c>
      <c r="C763" t="s">
        <v>86</v>
      </c>
      <c r="E763">
        <f>E754*B763</f>
        <v>2.24E-2</v>
      </c>
    </row>
    <row r="764" spans="1:5" x14ac:dyDescent="0.2">
      <c r="A764" t="s">
        <v>3</v>
      </c>
      <c r="B764" s="1">
        <v>2E-3</v>
      </c>
      <c r="C764" t="s">
        <v>3</v>
      </c>
      <c r="E764">
        <f>E754*B764</f>
        <v>1.12E-2</v>
      </c>
    </row>
    <row r="765" spans="1:5" x14ac:dyDescent="0.2">
      <c r="A765" t="s">
        <v>30</v>
      </c>
      <c r="B765" s="1">
        <v>1E-3</v>
      </c>
      <c r="C765" t="s">
        <v>30</v>
      </c>
      <c r="E765">
        <f>E754*B765</f>
        <v>5.5999999999999999E-3</v>
      </c>
    </row>
    <row r="766" spans="1:5" x14ac:dyDescent="0.2">
      <c r="A766" t="s">
        <v>4</v>
      </c>
      <c r="B766" s="1">
        <v>0.01</v>
      </c>
      <c r="C766" t="s">
        <v>4</v>
      </c>
      <c r="E766" s="3">
        <f>E754*B766</f>
        <v>5.5999999999999994E-2</v>
      </c>
    </row>
    <row r="767" spans="1:5" x14ac:dyDescent="0.2">
      <c r="A767" t="s">
        <v>27</v>
      </c>
      <c r="B767" s="1">
        <v>2.5000000000000001E-2</v>
      </c>
      <c r="C767" t="s">
        <v>27</v>
      </c>
      <c r="E767" s="3">
        <f>E754*B767</f>
        <v>0.13999999999999999</v>
      </c>
    </row>
    <row r="768" spans="1:5" x14ac:dyDescent="0.2">
      <c r="A768" t="s">
        <v>122</v>
      </c>
      <c r="B768" s="1">
        <v>3.5999999999999999E-3</v>
      </c>
      <c r="C768" t="s">
        <v>122</v>
      </c>
      <c r="E768" s="3">
        <f>E754*B768</f>
        <v>2.0159999999999997E-2</v>
      </c>
    </row>
    <row r="769" spans="1:5" x14ac:dyDescent="0.2">
      <c r="A769" t="s">
        <v>15</v>
      </c>
      <c r="B769" s="1">
        <v>0.22</v>
      </c>
      <c r="C769" t="s">
        <v>15</v>
      </c>
      <c r="E769" s="3">
        <f>E754*B769</f>
        <v>1.232</v>
      </c>
    </row>
    <row r="770" spans="1:5" x14ac:dyDescent="0.2">
      <c r="A770" t="s">
        <v>123</v>
      </c>
      <c r="B770" s="1">
        <v>5.0000000000000001E-3</v>
      </c>
      <c r="C770" t="s">
        <v>123</v>
      </c>
      <c r="E770" s="3">
        <f>E754*B770</f>
        <v>2.7999999999999997E-2</v>
      </c>
    </row>
    <row r="771" spans="1:5" x14ac:dyDescent="0.2">
      <c r="A771" t="s">
        <v>124</v>
      </c>
      <c r="B771" s="1">
        <v>0.1</v>
      </c>
      <c r="C771" t="s">
        <v>124</v>
      </c>
      <c r="E771" s="3">
        <f>E754*B771</f>
        <v>0.55999999999999994</v>
      </c>
    </row>
    <row r="772" spans="1:5" x14ac:dyDescent="0.2">
      <c r="A772" t="s">
        <v>105</v>
      </c>
      <c r="B772" s="1">
        <v>0.19</v>
      </c>
      <c r="C772" t="s">
        <v>105</v>
      </c>
      <c r="E772" s="3">
        <f>E754*B772</f>
        <v>1.0639999999999998</v>
      </c>
    </row>
    <row r="773" spans="1:5" x14ac:dyDescent="0.2">
      <c r="A773" t="s">
        <v>104</v>
      </c>
      <c r="B773" s="1">
        <v>0.19</v>
      </c>
      <c r="C773" t="s">
        <v>104</v>
      </c>
      <c r="E773" s="3">
        <f>E754*B773</f>
        <v>1.0639999999999998</v>
      </c>
    </row>
    <row r="774" spans="1:5" x14ac:dyDescent="0.2">
      <c r="A774" t="s">
        <v>5</v>
      </c>
      <c r="B774" s="2">
        <v>1E-3</v>
      </c>
      <c r="C774" t="s">
        <v>5</v>
      </c>
      <c r="E774" s="5">
        <f>E754*B774</f>
        <v>5.5999999999999999E-3</v>
      </c>
    </row>
    <row r="775" spans="1:5" x14ac:dyDescent="0.2">
      <c r="B775" s="1">
        <f>SUM(B761:B774)</f>
        <v>0.99999999999999989</v>
      </c>
      <c r="E775" s="3">
        <f>E754*B775</f>
        <v>5.5999999999999988</v>
      </c>
    </row>
    <row r="786" spans="1:5" x14ac:dyDescent="0.2">
      <c r="E786" t="s">
        <v>125</v>
      </c>
    </row>
    <row r="788" spans="1:5" x14ac:dyDescent="0.2">
      <c r="A788" t="s">
        <v>126</v>
      </c>
      <c r="C788" t="s">
        <v>11</v>
      </c>
      <c r="E788" s="3">
        <v>19</v>
      </c>
    </row>
    <row r="791" spans="1:5" x14ac:dyDescent="0.2">
      <c r="A791" t="s">
        <v>8</v>
      </c>
      <c r="B791" s="1">
        <v>0.61980000000000002</v>
      </c>
      <c r="C791" t="s">
        <v>8</v>
      </c>
      <c r="E791" s="3">
        <f>E788*B791</f>
        <v>11.776200000000001</v>
      </c>
    </row>
    <row r="792" spans="1:5" x14ac:dyDescent="0.2">
      <c r="A792" t="s">
        <v>5</v>
      </c>
      <c r="B792" s="1">
        <v>2.8E-3</v>
      </c>
      <c r="C792" t="s">
        <v>5</v>
      </c>
      <c r="E792" s="3">
        <f>E788*B792</f>
        <v>5.3199999999999997E-2</v>
      </c>
    </row>
    <row r="793" spans="1:5" x14ac:dyDescent="0.2">
      <c r="A793" t="s">
        <v>3</v>
      </c>
      <c r="B793" s="1">
        <v>1.5E-3</v>
      </c>
      <c r="C793" t="s">
        <v>3</v>
      </c>
      <c r="E793" s="3">
        <f>E788*B793</f>
        <v>2.8500000000000001E-2</v>
      </c>
    </row>
    <row r="794" spans="1:5" x14ac:dyDescent="0.2">
      <c r="A794" t="s">
        <v>26</v>
      </c>
      <c r="B794" s="1">
        <v>8.9999999999999993E-3</v>
      </c>
      <c r="C794" t="s">
        <v>26</v>
      </c>
      <c r="E794">
        <f>E788*B794</f>
        <v>0.17099999999999999</v>
      </c>
    </row>
    <row r="795" spans="1:5" x14ac:dyDescent="0.2">
      <c r="A795" t="s">
        <v>85</v>
      </c>
      <c r="B795" s="1">
        <v>4.3E-3</v>
      </c>
      <c r="C795" t="s">
        <v>85</v>
      </c>
      <c r="E795" s="3">
        <f>E788*B795</f>
        <v>8.1699999999999995E-2</v>
      </c>
    </row>
    <row r="796" spans="1:5" x14ac:dyDescent="0.2">
      <c r="A796" t="s">
        <v>127</v>
      </c>
      <c r="B796" s="1">
        <v>0.01</v>
      </c>
      <c r="C796" t="s">
        <v>127</v>
      </c>
      <c r="E796" s="3">
        <f>E788*B796</f>
        <v>0.19</v>
      </c>
    </row>
    <row r="797" spans="1:5" x14ac:dyDescent="0.2">
      <c r="A797" t="s">
        <v>4</v>
      </c>
      <c r="B797" s="1">
        <v>0.01</v>
      </c>
      <c r="C797" t="s">
        <v>4</v>
      </c>
      <c r="E797" s="3">
        <f>E788*B797</f>
        <v>0.19</v>
      </c>
    </row>
    <row r="798" spans="1:5" x14ac:dyDescent="0.2">
      <c r="A798" t="s">
        <v>30</v>
      </c>
      <c r="B798" s="1">
        <v>1.06E-2</v>
      </c>
      <c r="C798" t="s">
        <v>30</v>
      </c>
      <c r="E798" s="3">
        <f>E788*B798</f>
        <v>0.2014</v>
      </c>
    </row>
    <row r="799" spans="1:5" x14ac:dyDescent="0.2">
      <c r="A799" t="s">
        <v>15</v>
      </c>
      <c r="B799" s="1">
        <v>0.05</v>
      </c>
      <c r="C799" t="s">
        <v>15</v>
      </c>
      <c r="E799" s="3">
        <f>E788*B799</f>
        <v>0.95000000000000007</v>
      </c>
    </row>
    <row r="800" spans="1:5" x14ac:dyDescent="0.2">
      <c r="A800" t="s">
        <v>47</v>
      </c>
      <c r="B800" s="1">
        <v>3.4000000000000002E-2</v>
      </c>
      <c r="C800" t="s">
        <v>47</v>
      </c>
      <c r="E800">
        <f>E788*B800</f>
        <v>0.64600000000000002</v>
      </c>
    </row>
    <row r="801" spans="1:5" x14ac:dyDescent="0.2">
      <c r="A801" t="s">
        <v>128</v>
      </c>
      <c r="B801" s="1">
        <v>0.21</v>
      </c>
      <c r="C801" t="s">
        <v>128</v>
      </c>
      <c r="E801" s="3">
        <f>E788*B801</f>
        <v>3.9899999999999998</v>
      </c>
    </row>
    <row r="802" spans="1:5" x14ac:dyDescent="0.2">
      <c r="A802" t="s">
        <v>39</v>
      </c>
      <c r="B802" s="2">
        <v>3.7999999999999999E-2</v>
      </c>
      <c r="C802" t="s">
        <v>39</v>
      </c>
      <c r="E802" s="5">
        <f>E788*B802</f>
        <v>0.72199999999999998</v>
      </c>
    </row>
    <row r="803" spans="1:5" x14ac:dyDescent="0.2">
      <c r="B803" s="1">
        <f>SUM(B791:B802)</f>
        <v>1</v>
      </c>
      <c r="E803" s="3">
        <f>E788*B803</f>
        <v>19</v>
      </c>
    </row>
    <row r="821" spans="1:5" x14ac:dyDescent="0.2">
      <c r="A821" t="s">
        <v>136</v>
      </c>
      <c r="E821" t="s">
        <v>129</v>
      </c>
    </row>
    <row r="823" spans="1:5" x14ac:dyDescent="0.2">
      <c r="C823" t="s">
        <v>11</v>
      </c>
      <c r="E823" s="3">
        <v>270</v>
      </c>
    </row>
    <row r="827" spans="1:5" x14ac:dyDescent="0.2">
      <c r="A827" t="s">
        <v>130</v>
      </c>
      <c r="B827" s="1">
        <v>3.0000000000000001E-3</v>
      </c>
      <c r="C827" t="s">
        <v>130</v>
      </c>
      <c r="E827" s="3">
        <f>E823*B827</f>
        <v>0.81</v>
      </c>
    </row>
    <row r="828" spans="1:5" x14ac:dyDescent="0.2">
      <c r="A828" t="s">
        <v>7</v>
      </c>
      <c r="B828" s="1">
        <v>1E-3</v>
      </c>
      <c r="C828" t="s">
        <v>7</v>
      </c>
      <c r="E828" s="3">
        <f>E823*B828</f>
        <v>0.27</v>
      </c>
    </row>
    <row r="829" spans="1:5" x14ac:dyDescent="0.2">
      <c r="A829" t="s">
        <v>6</v>
      </c>
      <c r="B829" s="1">
        <v>0.01</v>
      </c>
      <c r="C829" t="s">
        <v>6</v>
      </c>
      <c r="E829" s="3">
        <f>E823*B829</f>
        <v>2.7</v>
      </c>
    </row>
    <row r="830" spans="1:5" x14ac:dyDescent="0.2">
      <c r="A830" t="s">
        <v>3</v>
      </c>
      <c r="B830" s="1">
        <v>2E-3</v>
      </c>
      <c r="C830" t="s">
        <v>3</v>
      </c>
      <c r="E830" s="3">
        <f>E823*B830</f>
        <v>0.54</v>
      </c>
    </row>
    <row r="831" spans="1:5" x14ac:dyDescent="0.2">
      <c r="A831" t="s">
        <v>27</v>
      </c>
      <c r="B831" s="1">
        <v>2.5000000000000001E-2</v>
      </c>
      <c r="C831" t="s">
        <v>27</v>
      </c>
      <c r="E831" s="3">
        <f>E823*B831</f>
        <v>6.75</v>
      </c>
    </row>
    <row r="832" spans="1:5" x14ac:dyDescent="0.2">
      <c r="A832" t="s">
        <v>4</v>
      </c>
      <c r="B832" s="1">
        <v>0.01</v>
      </c>
      <c r="C832" t="s">
        <v>4</v>
      </c>
      <c r="E832" s="3">
        <f>E823*B832</f>
        <v>2.7</v>
      </c>
    </row>
    <row r="833" spans="1:5" x14ac:dyDescent="0.2">
      <c r="A833" t="s">
        <v>15</v>
      </c>
      <c r="B833" s="1">
        <v>0.2</v>
      </c>
      <c r="C833" t="s">
        <v>15</v>
      </c>
      <c r="E833" s="3">
        <f>E823*B833</f>
        <v>54</v>
      </c>
    </row>
    <row r="834" spans="1:5" x14ac:dyDescent="0.2">
      <c r="A834" t="s">
        <v>103</v>
      </c>
      <c r="B834" s="1">
        <v>0.11</v>
      </c>
      <c r="C834" t="s">
        <v>103</v>
      </c>
      <c r="E834" s="3">
        <f>E823*B834</f>
        <v>29.7</v>
      </c>
    </row>
    <row r="835" spans="1:5" x14ac:dyDescent="0.2">
      <c r="A835" t="s">
        <v>128</v>
      </c>
      <c r="B835" s="1">
        <v>0.3</v>
      </c>
      <c r="C835" t="s">
        <v>128</v>
      </c>
      <c r="E835" s="3">
        <f>E823*B835</f>
        <v>81</v>
      </c>
    </row>
    <row r="836" spans="1:5" x14ac:dyDescent="0.2">
      <c r="A836" t="s">
        <v>5</v>
      </c>
      <c r="B836" s="1">
        <v>3.5000000000000001E-3</v>
      </c>
      <c r="C836" t="s">
        <v>5</v>
      </c>
      <c r="E836">
        <f>E823*B836</f>
        <v>0.94500000000000006</v>
      </c>
    </row>
    <row r="837" spans="1:5" x14ac:dyDescent="0.2">
      <c r="A837" t="s">
        <v>102</v>
      </c>
      <c r="B837" s="1">
        <v>0.06</v>
      </c>
      <c r="C837" t="s">
        <v>102</v>
      </c>
      <c r="E837" s="3">
        <f>E823*B837</f>
        <v>16.2</v>
      </c>
    </row>
    <row r="838" spans="1:5" x14ac:dyDescent="0.2">
      <c r="A838" t="s">
        <v>100</v>
      </c>
      <c r="B838" s="1">
        <v>4.4999999999999997E-3</v>
      </c>
      <c r="C838" t="s">
        <v>100</v>
      </c>
      <c r="E838">
        <f>E823*B838</f>
        <v>1.2149999999999999</v>
      </c>
    </row>
    <row r="839" spans="1:5" x14ac:dyDescent="0.2">
      <c r="A839" t="s">
        <v>101</v>
      </c>
      <c r="B839" s="1">
        <v>5.0000000000000001E-3</v>
      </c>
      <c r="C839" t="s">
        <v>101</v>
      </c>
      <c r="E839" s="3">
        <f>E823*B839</f>
        <v>1.35</v>
      </c>
    </row>
    <row r="840" spans="1:5" x14ac:dyDescent="0.2">
      <c r="A840" t="s">
        <v>8</v>
      </c>
      <c r="B840" s="2">
        <v>0.26600000000000001</v>
      </c>
      <c r="C840" t="s">
        <v>8</v>
      </c>
      <c r="E840" s="4">
        <f>E823*B840</f>
        <v>71.820000000000007</v>
      </c>
    </row>
    <row r="841" spans="1:5" x14ac:dyDescent="0.2">
      <c r="B841" s="1">
        <f>SUM(B827:B840)</f>
        <v>0.99999999999999989</v>
      </c>
      <c r="E841" s="3">
        <f>E823*B841</f>
        <v>269.99999999999994</v>
      </c>
    </row>
    <row r="856" spans="1:5" x14ac:dyDescent="0.2">
      <c r="E856" t="s">
        <v>133</v>
      </c>
    </row>
    <row r="857" spans="1:5" x14ac:dyDescent="0.2">
      <c r="A857" t="s">
        <v>131</v>
      </c>
      <c r="E857" s="3"/>
    </row>
    <row r="858" spans="1:5" x14ac:dyDescent="0.2">
      <c r="A858" t="s">
        <v>132</v>
      </c>
    </row>
    <row r="859" spans="1:5" x14ac:dyDescent="0.2">
      <c r="C859" t="s">
        <v>11</v>
      </c>
      <c r="E859" s="3">
        <v>750</v>
      </c>
    </row>
    <row r="862" spans="1:5" x14ac:dyDescent="0.2">
      <c r="A862" t="s">
        <v>27</v>
      </c>
      <c r="B862" s="1">
        <v>1.2999999999999999E-2</v>
      </c>
      <c r="C862" t="s">
        <v>27</v>
      </c>
      <c r="E862" s="3">
        <f>E859*B862</f>
        <v>9.75</v>
      </c>
    </row>
    <row r="863" spans="1:5" x14ac:dyDescent="0.2">
      <c r="A863" t="s">
        <v>8</v>
      </c>
      <c r="B863" s="1">
        <v>0.11269999999999999</v>
      </c>
      <c r="C863" t="s">
        <v>8</v>
      </c>
      <c r="E863" s="3">
        <f>E859*B863</f>
        <v>84.524999999999991</v>
      </c>
    </row>
    <row r="864" spans="1:5" x14ac:dyDescent="0.2">
      <c r="A864" t="s">
        <v>43</v>
      </c>
      <c r="B864" s="1">
        <v>0.33</v>
      </c>
      <c r="C864" t="s">
        <v>43</v>
      </c>
      <c r="E864" s="3">
        <f>E859*B864</f>
        <v>247.5</v>
      </c>
    </row>
    <row r="865" spans="1:5" x14ac:dyDescent="0.2">
      <c r="A865" t="s">
        <v>44</v>
      </c>
      <c r="B865" s="1">
        <v>0.47</v>
      </c>
      <c r="C865" t="s">
        <v>44</v>
      </c>
      <c r="E865" s="3">
        <f>E859*B865</f>
        <v>352.5</v>
      </c>
    </row>
    <row r="866" spans="1:5" x14ac:dyDescent="0.2">
      <c r="A866" t="s">
        <v>84</v>
      </c>
      <c r="B866" s="1">
        <v>4.3999999999999997E-2</v>
      </c>
      <c r="C866" t="s">
        <v>84</v>
      </c>
      <c r="E866" s="3">
        <f>E859*B866</f>
        <v>33</v>
      </c>
    </row>
    <row r="867" spans="1:5" x14ac:dyDescent="0.2">
      <c r="A867" t="s">
        <v>9</v>
      </c>
      <c r="B867" s="1">
        <v>1.1999999999999999E-3</v>
      </c>
      <c r="C867" t="s">
        <v>9</v>
      </c>
      <c r="E867" s="3">
        <f>E859*B867</f>
        <v>0.89999999999999991</v>
      </c>
    </row>
    <row r="868" spans="1:5" x14ac:dyDescent="0.2">
      <c r="A868" t="s">
        <v>3</v>
      </c>
      <c r="B868" s="1">
        <v>1.5E-3</v>
      </c>
      <c r="C868" t="s">
        <v>3</v>
      </c>
      <c r="E868" s="3">
        <f>E859*B868</f>
        <v>1.125</v>
      </c>
    </row>
    <row r="869" spans="1:5" x14ac:dyDescent="0.2">
      <c r="A869" t="s">
        <v>7</v>
      </c>
      <c r="B869" s="1">
        <v>1E-3</v>
      </c>
      <c r="C869" t="s">
        <v>7</v>
      </c>
      <c r="E869" s="3">
        <f>E859*B869</f>
        <v>0.75</v>
      </c>
    </row>
    <row r="870" spans="1:5" x14ac:dyDescent="0.2">
      <c r="A870" t="s">
        <v>134</v>
      </c>
      <c r="B870" s="1">
        <v>5.4999999999999997E-3</v>
      </c>
      <c r="C870" t="s">
        <v>134</v>
      </c>
      <c r="E870" s="3">
        <f>E859*B870</f>
        <v>4.125</v>
      </c>
    </row>
    <row r="871" spans="1:5" x14ac:dyDescent="0.2">
      <c r="A871" t="s">
        <v>4</v>
      </c>
      <c r="B871" s="1">
        <v>5.0000000000000001E-3</v>
      </c>
      <c r="C871" t="s">
        <v>4</v>
      </c>
      <c r="E871" s="3">
        <f>E859*B871</f>
        <v>3.75</v>
      </c>
    </row>
    <row r="872" spans="1:5" x14ac:dyDescent="0.2">
      <c r="A872" t="s">
        <v>135</v>
      </c>
      <c r="B872" s="1">
        <v>4.1000000000000003E-3</v>
      </c>
      <c r="C872" t="s">
        <v>135</v>
      </c>
      <c r="E872" s="3">
        <f>E859*B872</f>
        <v>3.0750000000000002</v>
      </c>
    </row>
    <row r="873" spans="1:5" x14ac:dyDescent="0.2">
      <c r="A873" t="s">
        <v>6</v>
      </c>
      <c r="B873" s="1">
        <v>2E-3</v>
      </c>
      <c r="C873" t="s">
        <v>6</v>
      </c>
      <c r="E873" s="3">
        <f>E859*B873</f>
        <v>1.5</v>
      </c>
    </row>
    <row r="874" spans="1:5" x14ac:dyDescent="0.2">
      <c r="A874" t="s">
        <v>87</v>
      </c>
      <c r="B874" s="1">
        <v>2E-3</v>
      </c>
      <c r="C874" t="s">
        <v>87</v>
      </c>
      <c r="E874" s="3">
        <f>E859*B874</f>
        <v>1.5</v>
      </c>
    </row>
    <row r="875" spans="1:5" x14ac:dyDescent="0.2">
      <c r="A875" t="s">
        <v>15</v>
      </c>
      <c r="B875" s="2">
        <v>8.0000000000000002E-3</v>
      </c>
      <c r="C875" t="s">
        <v>15</v>
      </c>
      <c r="E875" s="4">
        <f>E859*B875</f>
        <v>6</v>
      </c>
    </row>
    <row r="876" spans="1:5" x14ac:dyDescent="0.2">
      <c r="B876" s="1">
        <f>SUM(B862:B875)</f>
        <v>0.99999999999999989</v>
      </c>
      <c r="E876" s="3">
        <f>E859*B876</f>
        <v>749.99999999999989</v>
      </c>
    </row>
    <row r="891" spans="1:5" x14ac:dyDescent="0.2">
      <c r="A891" t="s">
        <v>136</v>
      </c>
      <c r="E891" t="s">
        <v>137</v>
      </c>
    </row>
    <row r="893" spans="1:5" x14ac:dyDescent="0.2">
      <c r="C893" t="s">
        <v>11</v>
      </c>
      <c r="E893" s="3">
        <v>270</v>
      </c>
    </row>
    <row r="896" spans="1:5" x14ac:dyDescent="0.2">
      <c r="A896" t="s">
        <v>87</v>
      </c>
      <c r="B896" s="1">
        <v>4.1999999999999997E-3</v>
      </c>
      <c r="C896" t="s">
        <v>87</v>
      </c>
      <c r="E896">
        <f>E893*B896</f>
        <v>1.1339999999999999</v>
      </c>
    </row>
    <row r="897" spans="1:5" x14ac:dyDescent="0.2">
      <c r="A897" t="s">
        <v>130</v>
      </c>
      <c r="B897" s="1">
        <v>3.0000000000000001E-3</v>
      </c>
      <c r="C897" t="s">
        <v>130</v>
      </c>
      <c r="E897" s="3">
        <f>E893*B897</f>
        <v>0.81</v>
      </c>
    </row>
    <row r="898" spans="1:5" x14ac:dyDescent="0.2">
      <c r="A898" t="s">
        <v>7</v>
      </c>
      <c r="B898" s="1">
        <v>1E-3</v>
      </c>
      <c r="C898" t="s">
        <v>7</v>
      </c>
      <c r="E898" s="3">
        <f>E893*B898</f>
        <v>0.27</v>
      </c>
    </row>
    <row r="899" spans="1:5" x14ac:dyDescent="0.2">
      <c r="A899" t="s">
        <v>6</v>
      </c>
      <c r="B899" s="1">
        <v>0.01</v>
      </c>
      <c r="C899" t="s">
        <v>6</v>
      </c>
      <c r="E899" s="3">
        <f>E893*B899</f>
        <v>2.7</v>
      </c>
    </row>
    <row r="900" spans="1:5" x14ac:dyDescent="0.2">
      <c r="A900" t="s">
        <v>3</v>
      </c>
      <c r="B900" s="1">
        <v>2E-3</v>
      </c>
      <c r="C900" t="s">
        <v>3</v>
      </c>
      <c r="E900" s="3">
        <f>E893*B900</f>
        <v>0.54</v>
      </c>
    </row>
    <row r="901" spans="1:5" x14ac:dyDescent="0.2">
      <c r="A901" t="s">
        <v>27</v>
      </c>
      <c r="B901" s="1">
        <v>2.5000000000000001E-2</v>
      </c>
      <c r="C901" t="s">
        <v>27</v>
      </c>
      <c r="E901" s="3">
        <f>E893*B901</f>
        <v>6.75</v>
      </c>
    </row>
    <row r="902" spans="1:5" x14ac:dyDescent="0.2">
      <c r="A902" t="s">
        <v>4</v>
      </c>
      <c r="B902" s="1">
        <v>0.01</v>
      </c>
      <c r="C902" t="s">
        <v>4</v>
      </c>
      <c r="E902" s="3">
        <f>E893*B902</f>
        <v>2.7</v>
      </c>
    </row>
    <row r="903" spans="1:5" x14ac:dyDescent="0.2">
      <c r="A903" t="s">
        <v>15</v>
      </c>
      <c r="B903" s="1">
        <v>0.18429999999999999</v>
      </c>
      <c r="C903" t="s">
        <v>15</v>
      </c>
      <c r="E903" s="3">
        <f>E893*B903</f>
        <v>49.760999999999996</v>
      </c>
    </row>
    <row r="904" spans="1:5" x14ac:dyDescent="0.2">
      <c r="A904" t="s">
        <v>103</v>
      </c>
      <c r="B904" s="1">
        <v>0.11</v>
      </c>
      <c r="C904" t="s">
        <v>103</v>
      </c>
      <c r="E904" s="3">
        <f>E893*B904</f>
        <v>29.7</v>
      </c>
    </row>
    <row r="905" spans="1:5" x14ac:dyDescent="0.2">
      <c r="A905" t="s">
        <v>128</v>
      </c>
      <c r="B905" s="1">
        <v>0.3</v>
      </c>
      <c r="C905" t="s">
        <v>128</v>
      </c>
      <c r="E905" s="3">
        <f>E893*B905</f>
        <v>81</v>
      </c>
    </row>
    <row r="906" spans="1:5" x14ac:dyDescent="0.2">
      <c r="A906" t="s">
        <v>5</v>
      </c>
      <c r="B906" s="1">
        <v>1.0500000000000001E-2</v>
      </c>
      <c r="C906" t="s">
        <v>5</v>
      </c>
      <c r="E906">
        <f>E893*B906</f>
        <v>2.835</v>
      </c>
    </row>
    <row r="907" spans="1:5" x14ac:dyDescent="0.2">
      <c r="A907" t="s">
        <v>102</v>
      </c>
      <c r="B907" s="1">
        <v>0.06</v>
      </c>
      <c r="C907" t="s">
        <v>102</v>
      </c>
      <c r="E907" s="3">
        <f>E893*B907</f>
        <v>16.2</v>
      </c>
    </row>
    <row r="908" spans="1:5" x14ac:dyDescent="0.2">
      <c r="A908" t="s">
        <v>100</v>
      </c>
      <c r="B908" s="1">
        <v>8.9999999999999993E-3</v>
      </c>
      <c r="C908" t="s">
        <v>100</v>
      </c>
      <c r="E908">
        <f>E893*B908</f>
        <v>2.4299999999999997</v>
      </c>
    </row>
    <row r="909" spans="1:5" x14ac:dyDescent="0.2">
      <c r="A909" t="s">
        <v>101</v>
      </c>
      <c r="B909" s="1">
        <v>5.0000000000000001E-3</v>
      </c>
      <c r="C909" t="s">
        <v>101</v>
      </c>
      <c r="E909" s="3">
        <f>E893*B909</f>
        <v>1.35</v>
      </c>
    </row>
    <row r="910" spans="1:5" x14ac:dyDescent="0.2">
      <c r="A910" t="s">
        <v>8</v>
      </c>
      <c r="B910" s="2">
        <v>0.26600000000000001</v>
      </c>
      <c r="C910" t="s">
        <v>8</v>
      </c>
      <c r="E910" s="4">
        <f>E893*B910</f>
        <v>71.820000000000007</v>
      </c>
    </row>
    <row r="911" spans="1:5" x14ac:dyDescent="0.2">
      <c r="B911" s="1">
        <f>SUM(B896:B910)</f>
        <v>1</v>
      </c>
      <c r="E911" s="3">
        <f>E893*B911</f>
        <v>270</v>
      </c>
    </row>
    <row r="926" spans="1:5" x14ac:dyDescent="0.2">
      <c r="A926" t="s">
        <v>141</v>
      </c>
      <c r="E926" t="s">
        <v>139</v>
      </c>
    </row>
    <row r="928" spans="1:5" x14ac:dyDescent="0.2">
      <c r="C928" t="s">
        <v>11</v>
      </c>
      <c r="E928" s="3">
        <v>270</v>
      </c>
    </row>
    <row r="931" spans="1:5" x14ac:dyDescent="0.2">
      <c r="A931" t="s">
        <v>87</v>
      </c>
      <c r="B931" s="1">
        <v>4.1999999999999997E-3</v>
      </c>
      <c r="C931" t="s">
        <v>87</v>
      </c>
      <c r="E931" s="3">
        <f>E928*B931</f>
        <v>1.1339999999999999</v>
      </c>
    </row>
    <row r="932" spans="1:5" x14ac:dyDescent="0.2">
      <c r="A932" t="s">
        <v>130</v>
      </c>
      <c r="B932" s="1">
        <v>3.0000000000000001E-3</v>
      </c>
      <c r="C932" t="s">
        <v>130</v>
      </c>
      <c r="E932" s="3">
        <f>E928*B932</f>
        <v>0.81</v>
      </c>
    </row>
    <row r="933" spans="1:5" x14ac:dyDescent="0.2">
      <c r="A933" t="s">
        <v>7</v>
      </c>
      <c r="B933" s="1">
        <v>1E-3</v>
      </c>
      <c r="C933" t="s">
        <v>7</v>
      </c>
      <c r="E933" s="3">
        <f>E928*B933</f>
        <v>0.27</v>
      </c>
    </row>
    <row r="934" spans="1:5" x14ac:dyDescent="0.2">
      <c r="A934" t="s">
        <v>6</v>
      </c>
      <c r="B934" s="1">
        <v>0.01</v>
      </c>
      <c r="C934" t="s">
        <v>6</v>
      </c>
      <c r="E934" s="3">
        <f>E928*B934</f>
        <v>2.7</v>
      </c>
    </row>
    <row r="935" spans="1:5" x14ac:dyDescent="0.2">
      <c r="A935" t="s">
        <v>3</v>
      </c>
      <c r="B935" s="1">
        <v>2E-3</v>
      </c>
      <c r="C935" t="s">
        <v>3</v>
      </c>
      <c r="E935" s="3">
        <f>E928*B935</f>
        <v>0.54</v>
      </c>
    </row>
    <row r="936" spans="1:5" x14ac:dyDescent="0.2">
      <c r="A936" t="s">
        <v>27</v>
      </c>
      <c r="B936" s="1">
        <v>2.5000000000000001E-2</v>
      </c>
      <c r="C936" t="s">
        <v>27</v>
      </c>
      <c r="E936" s="3">
        <f>E928*B936</f>
        <v>6.75</v>
      </c>
    </row>
    <row r="937" spans="1:5" x14ac:dyDescent="0.2">
      <c r="A937" t="s">
        <v>4</v>
      </c>
      <c r="B937" s="1">
        <v>0.01</v>
      </c>
      <c r="C937" t="s">
        <v>4</v>
      </c>
      <c r="E937" s="3">
        <f>E928*B937</f>
        <v>2.7</v>
      </c>
    </row>
    <row r="938" spans="1:5" x14ac:dyDescent="0.2">
      <c r="A938" t="s">
        <v>15</v>
      </c>
      <c r="B938" s="1">
        <v>0.17280000000000001</v>
      </c>
      <c r="C938" t="s">
        <v>15</v>
      </c>
      <c r="E938" s="3">
        <f>E928*B938</f>
        <v>46.656000000000006</v>
      </c>
    </row>
    <row r="939" spans="1:5" x14ac:dyDescent="0.2">
      <c r="A939" t="s">
        <v>103</v>
      </c>
      <c r="B939" s="1">
        <v>0.18149999999999999</v>
      </c>
      <c r="C939" t="s">
        <v>103</v>
      </c>
      <c r="E939" s="3">
        <f>E928*B939</f>
        <v>49.004999999999995</v>
      </c>
    </row>
    <row r="940" spans="1:5" x14ac:dyDescent="0.2">
      <c r="A940" t="s">
        <v>128</v>
      </c>
      <c r="B940" s="1">
        <v>0.3</v>
      </c>
      <c r="C940" t="s">
        <v>128</v>
      </c>
      <c r="E940" s="3">
        <f>E928*B940</f>
        <v>81</v>
      </c>
    </row>
    <row r="941" spans="1:5" x14ac:dyDescent="0.2">
      <c r="A941" t="s">
        <v>5</v>
      </c>
      <c r="B941" s="1">
        <v>1.0500000000000001E-2</v>
      </c>
      <c r="C941" t="s">
        <v>5</v>
      </c>
      <c r="E941">
        <f>E928*B941</f>
        <v>2.835</v>
      </c>
    </row>
    <row r="942" spans="1:5" x14ac:dyDescent="0.2">
      <c r="A942" t="s">
        <v>100</v>
      </c>
      <c r="B942" s="1">
        <v>8.9999999999999993E-3</v>
      </c>
      <c r="C942" t="s">
        <v>100</v>
      </c>
      <c r="E942" s="3">
        <f>E928*B942</f>
        <v>2.4299999999999997</v>
      </c>
    </row>
    <row r="943" spans="1:5" x14ac:dyDescent="0.2">
      <c r="A943" t="s">
        <v>101</v>
      </c>
      <c r="B943" s="1">
        <v>5.0000000000000001E-3</v>
      </c>
      <c r="C943" t="s">
        <v>101</v>
      </c>
      <c r="E943" s="3">
        <f>E928*B943</f>
        <v>1.35</v>
      </c>
    </row>
    <row r="944" spans="1:5" x14ac:dyDescent="0.2">
      <c r="A944" t="s">
        <v>8</v>
      </c>
      <c r="B944" s="2">
        <v>0.26600000000000001</v>
      </c>
      <c r="C944" t="s">
        <v>8</v>
      </c>
      <c r="E944" s="4">
        <f>E928*B944</f>
        <v>71.820000000000007</v>
      </c>
    </row>
    <row r="945" spans="2:5" x14ac:dyDescent="0.2">
      <c r="B945" s="1">
        <f>SUM(B931:B944)</f>
        <v>1</v>
      </c>
      <c r="E945" s="3">
        <f>E928*B945</f>
        <v>270</v>
      </c>
    </row>
    <row r="946" spans="2:5" x14ac:dyDescent="0.2">
      <c r="B946" s="1"/>
      <c r="E946" s="3"/>
    </row>
    <row r="961" spans="1:5" x14ac:dyDescent="0.2">
      <c r="A961" t="s">
        <v>138</v>
      </c>
      <c r="E961" t="s">
        <v>142</v>
      </c>
    </row>
    <row r="963" spans="1:5" x14ac:dyDescent="0.2">
      <c r="C963" t="s">
        <v>11</v>
      </c>
      <c r="E963" s="3">
        <v>270</v>
      </c>
    </row>
    <row r="966" spans="1:5" x14ac:dyDescent="0.2">
      <c r="A966" t="s">
        <v>87</v>
      </c>
      <c r="B966" s="1">
        <v>4.1999999999999997E-3</v>
      </c>
      <c r="C966" t="s">
        <v>87</v>
      </c>
      <c r="E966" s="3">
        <f>E963*B966</f>
        <v>1.1339999999999999</v>
      </c>
    </row>
    <row r="967" spans="1:5" x14ac:dyDescent="0.2">
      <c r="A967" t="s">
        <v>130</v>
      </c>
      <c r="B967" s="1">
        <v>3.0000000000000001E-3</v>
      </c>
      <c r="C967" t="s">
        <v>130</v>
      </c>
      <c r="E967" s="3">
        <f>E963*B967</f>
        <v>0.81</v>
      </c>
    </row>
    <row r="968" spans="1:5" x14ac:dyDescent="0.2">
      <c r="A968" t="s">
        <v>7</v>
      </c>
      <c r="B968" s="1">
        <v>1E-3</v>
      </c>
      <c r="C968" t="s">
        <v>7</v>
      </c>
      <c r="E968" s="3">
        <f>E963*B968</f>
        <v>0.27</v>
      </c>
    </row>
    <row r="969" spans="1:5" x14ac:dyDescent="0.2">
      <c r="A969" t="s">
        <v>6</v>
      </c>
      <c r="B969" s="1">
        <v>0.01</v>
      </c>
      <c r="C969" t="s">
        <v>6</v>
      </c>
      <c r="E969" s="3">
        <f>E963*B969</f>
        <v>2.7</v>
      </c>
    </row>
    <row r="970" spans="1:5" x14ac:dyDescent="0.2">
      <c r="A970" t="s">
        <v>3</v>
      </c>
      <c r="B970" s="1">
        <v>2E-3</v>
      </c>
      <c r="C970" t="s">
        <v>3</v>
      </c>
      <c r="E970" s="3">
        <f>E963*B970</f>
        <v>0.54</v>
      </c>
    </row>
    <row r="971" spans="1:5" x14ac:dyDescent="0.2">
      <c r="A971" t="s">
        <v>27</v>
      </c>
      <c r="B971" s="1">
        <v>2.5000000000000001E-2</v>
      </c>
      <c r="C971" t="s">
        <v>27</v>
      </c>
      <c r="E971" s="3">
        <f>E963*B971</f>
        <v>6.75</v>
      </c>
    </row>
    <row r="972" spans="1:5" x14ac:dyDescent="0.2">
      <c r="A972" t="s">
        <v>4</v>
      </c>
      <c r="B972" s="1">
        <v>0.01</v>
      </c>
      <c r="C972" t="s">
        <v>4</v>
      </c>
      <c r="E972" s="3">
        <f>E963*B972</f>
        <v>2.7</v>
      </c>
    </row>
    <row r="973" spans="1:5" x14ac:dyDescent="0.2">
      <c r="A973" t="s">
        <v>15</v>
      </c>
      <c r="B973" s="1">
        <v>0.17280000000000001</v>
      </c>
      <c r="C973" t="s">
        <v>15</v>
      </c>
      <c r="E973" s="3">
        <f>E963*B973</f>
        <v>46.656000000000006</v>
      </c>
    </row>
    <row r="974" spans="1:5" x14ac:dyDescent="0.2">
      <c r="A974" t="s">
        <v>140</v>
      </c>
      <c r="B974" s="1">
        <v>0.18149999999999999</v>
      </c>
      <c r="C974" t="s">
        <v>140</v>
      </c>
      <c r="E974" s="3">
        <f>E963*B974</f>
        <v>49.004999999999995</v>
      </c>
    </row>
    <row r="975" spans="1:5" x14ac:dyDescent="0.2">
      <c r="A975" t="s">
        <v>128</v>
      </c>
      <c r="B975" s="1">
        <v>0.3</v>
      </c>
      <c r="C975" t="s">
        <v>128</v>
      </c>
      <c r="E975" s="3">
        <f>E963*B975</f>
        <v>81</v>
      </c>
    </row>
    <row r="976" spans="1:5" x14ac:dyDescent="0.2">
      <c r="A976" t="s">
        <v>5</v>
      </c>
      <c r="B976" s="1">
        <v>1.0500000000000001E-2</v>
      </c>
      <c r="C976" t="s">
        <v>5</v>
      </c>
      <c r="E976">
        <f>E963*B976</f>
        <v>2.835</v>
      </c>
    </row>
    <row r="977" spans="1:5" x14ac:dyDescent="0.2">
      <c r="A977" t="s">
        <v>100</v>
      </c>
      <c r="B977" s="1">
        <v>8.9999999999999993E-3</v>
      </c>
      <c r="C977" t="s">
        <v>100</v>
      </c>
      <c r="E977" s="3">
        <f>E963*B977</f>
        <v>2.4299999999999997</v>
      </c>
    </row>
    <row r="978" spans="1:5" x14ac:dyDescent="0.2">
      <c r="A978" t="s">
        <v>101</v>
      </c>
      <c r="B978" s="1">
        <v>5.0000000000000001E-3</v>
      </c>
      <c r="C978" t="s">
        <v>101</v>
      </c>
      <c r="E978" s="3">
        <f>E963*B978</f>
        <v>1.35</v>
      </c>
    </row>
    <row r="979" spans="1:5" x14ac:dyDescent="0.2">
      <c r="A979" t="s">
        <v>8</v>
      </c>
      <c r="B979" s="2">
        <v>0.26600000000000001</v>
      </c>
      <c r="C979" t="s">
        <v>8</v>
      </c>
      <c r="E979" s="4">
        <f>E963*B979</f>
        <v>71.820000000000007</v>
      </c>
    </row>
    <row r="980" spans="1:5" x14ac:dyDescent="0.2">
      <c r="B980" s="1">
        <f>SUM(B966:B979)</f>
        <v>1</v>
      </c>
      <c r="E980" s="3">
        <f>E963*B980</f>
        <v>270</v>
      </c>
    </row>
    <row r="981" spans="1:5" x14ac:dyDescent="0.2">
      <c r="B981" s="1"/>
      <c r="E981" s="3"/>
    </row>
    <row r="996" spans="1:5" x14ac:dyDescent="0.2">
      <c r="A996" t="s">
        <v>143</v>
      </c>
      <c r="E996" t="s">
        <v>142</v>
      </c>
    </row>
    <row r="998" spans="1:5" x14ac:dyDescent="0.2">
      <c r="C998" t="s">
        <v>11</v>
      </c>
      <c r="E998" s="3">
        <v>54</v>
      </c>
    </row>
    <row r="1001" spans="1:5" x14ac:dyDescent="0.2">
      <c r="A1001" t="s">
        <v>87</v>
      </c>
      <c r="B1001" s="1">
        <v>4.1999999999999997E-3</v>
      </c>
      <c r="C1001" t="s">
        <v>87</v>
      </c>
      <c r="E1001" s="3">
        <f>E998*B1001</f>
        <v>0.22679999999999997</v>
      </c>
    </row>
    <row r="1002" spans="1:5" x14ac:dyDescent="0.2">
      <c r="A1002" t="s">
        <v>130</v>
      </c>
      <c r="B1002" s="1">
        <v>3.0000000000000001E-3</v>
      </c>
      <c r="C1002" t="s">
        <v>130</v>
      </c>
      <c r="E1002" s="3">
        <f>E998*B1002</f>
        <v>0.16200000000000001</v>
      </c>
    </row>
    <row r="1003" spans="1:5" x14ac:dyDescent="0.2">
      <c r="A1003" t="s">
        <v>7</v>
      </c>
      <c r="B1003" s="1">
        <v>1E-3</v>
      </c>
      <c r="C1003" t="s">
        <v>7</v>
      </c>
      <c r="E1003" s="3">
        <f>E998*B1003</f>
        <v>5.3999999999999999E-2</v>
      </c>
    </row>
    <row r="1004" spans="1:5" x14ac:dyDescent="0.2">
      <c r="A1004" t="s">
        <v>6</v>
      </c>
      <c r="B1004" s="1">
        <v>0.01</v>
      </c>
      <c r="C1004" t="s">
        <v>6</v>
      </c>
      <c r="E1004" s="3">
        <f>E998*B1004</f>
        <v>0.54</v>
      </c>
    </row>
    <row r="1005" spans="1:5" x14ac:dyDescent="0.2">
      <c r="A1005" t="s">
        <v>3</v>
      </c>
      <c r="B1005" s="1">
        <v>2E-3</v>
      </c>
      <c r="C1005" t="s">
        <v>3</v>
      </c>
      <c r="E1005" s="3">
        <f>E998*B1005</f>
        <v>0.108</v>
      </c>
    </row>
    <row r="1006" spans="1:5" x14ac:dyDescent="0.2">
      <c r="A1006" t="s">
        <v>27</v>
      </c>
      <c r="B1006" s="1">
        <v>0.03</v>
      </c>
      <c r="C1006" t="s">
        <v>27</v>
      </c>
      <c r="E1006" s="3">
        <f>E998*B1006</f>
        <v>1.6199999999999999</v>
      </c>
    </row>
    <row r="1007" spans="1:5" x14ac:dyDescent="0.2">
      <c r="A1007" t="s">
        <v>4</v>
      </c>
      <c r="B1007" s="1">
        <v>0.02</v>
      </c>
      <c r="C1007" t="s">
        <v>4</v>
      </c>
      <c r="E1007" s="3">
        <f>E998*B1007</f>
        <v>1.08</v>
      </c>
    </row>
    <row r="1008" spans="1:5" x14ac:dyDescent="0.2">
      <c r="A1008" t="s">
        <v>15</v>
      </c>
      <c r="B1008" s="1">
        <v>0.14729999999999999</v>
      </c>
      <c r="C1008" t="s">
        <v>15</v>
      </c>
      <c r="E1008" s="3">
        <f>E998*B1008</f>
        <v>7.9541999999999993</v>
      </c>
    </row>
    <row r="1009" spans="1:5" x14ac:dyDescent="0.2">
      <c r="A1009" t="s">
        <v>140</v>
      </c>
      <c r="B1009" s="1">
        <v>0.18149999999999999</v>
      </c>
      <c r="C1009" t="s">
        <v>140</v>
      </c>
      <c r="E1009" s="3">
        <f>E998*B1009</f>
        <v>9.8010000000000002</v>
      </c>
    </row>
    <row r="1010" spans="1:5" x14ac:dyDescent="0.2">
      <c r="A1010" t="s">
        <v>128</v>
      </c>
      <c r="B1010" s="1">
        <v>0.3</v>
      </c>
      <c r="C1010" t="s">
        <v>128</v>
      </c>
      <c r="E1010" s="3">
        <f>E998*B1010</f>
        <v>16.2</v>
      </c>
    </row>
    <row r="1011" spans="1:5" x14ac:dyDescent="0.2">
      <c r="A1011" t="s">
        <v>5</v>
      </c>
      <c r="B1011" s="1">
        <v>2.1000000000000001E-2</v>
      </c>
      <c r="C1011" t="s">
        <v>5</v>
      </c>
      <c r="E1011">
        <f>E998*B1011</f>
        <v>1.1340000000000001</v>
      </c>
    </row>
    <row r="1012" spans="1:5" x14ac:dyDescent="0.2">
      <c r="A1012" t="s">
        <v>100</v>
      </c>
      <c r="B1012" s="1">
        <v>8.9999999999999993E-3</v>
      </c>
      <c r="C1012" t="s">
        <v>100</v>
      </c>
      <c r="E1012" s="3">
        <f>E998*B1012</f>
        <v>0.48599999999999999</v>
      </c>
    </row>
    <row r="1013" spans="1:5" x14ac:dyDescent="0.2">
      <c r="A1013" t="s">
        <v>101</v>
      </c>
      <c r="B1013" s="1">
        <v>5.0000000000000001E-3</v>
      </c>
      <c r="C1013" t="s">
        <v>101</v>
      </c>
      <c r="E1013" s="3">
        <f>E998*B1013</f>
        <v>0.27</v>
      </c>
    </row>
    <row r="1014" spans="1:5" x14ac:dyDescent="0.2">
      <c r="A1014" t="s">
        <v>8</v>
      </c>
      <c r="B1014" s="2">
        <v>0.26600000000000001</v>
      </c>
      <c r="C1014" t="s">
        <v>8</v>
      </c>
      <c r="E1014" s="4">
        <f>E998*B1014</f>
        <v>14.364000000000001</v>
      </c>
    </row>
    <row r="1015" spans="1:5" x14ac:dyDescent="0.2">
      <c r="B1015" s="1">
        <f>SUM(B1001:B1014)</f>
        <v>1</v>
      </c>
      <c r="E1015" s="3">
        <f>E998*B1015</f>
        <v>54</v>
      </c>
    </row>
    <row r="1016" spans="1:5" x14ac:dyDescent="0.2">
      <c r="B1016" s="1"/>
      <c r="E1016" s="3"/>
    </row>
    <row r="1031" spans="1:5" x14ac:dyDescent="0.2">
      <c r="A1031" t="s">
        <v>145</v>
      </c>
      <c r="E1031" t="s">
        <v>142</v>
      </c>
    </row>
    <row r="1033" spans="1:5" x14ac:dyDescent="0.2">
      <c r="C1033" t="s">
        <v>11</v>
      </c>
      <c r="E1033" s="3">
        <v>270</v>
      </c>
    </row>
    <row r="1036" spans="1:5" x14ac:dyDescent="0.2">
      <c r="A1036" t="s">
        <v>87</v>
      </c>
      <c r="B1036" s="1">
        <v>4.1999999999999997E-3</v>
      </c>
      <c r="C1036" t="s">
        <v>87</v>
      </c>
      <c r="E1036" s="3">
        <f>E1033*B1036</f>
        <v>1.1339999999999999</v>
      </c>
    </row>
    <row r="1037" spans="1:5" x14ac:dyDescent="0.2">
      <c r="A1037" t="s">
        <v>130</v>
      </c>
      <c r="B1037" s="1">
        <v>3.0000000000000001E-3</v>
      </c>
      <c r="C1037" t="s">
        <v>130</v>
      </c>
      <c r="E1037" s="3">
        <f>E1033*B1037</f>
        <v>0.81</v>
      </c>
    </row>
    <row r="1038" spans="1:5" x14ac:dyDescent="0.2">
      <c r="A1038" t="s">
        <v>7</v>
      </c>
      <c r="B1038" s="1">
        <v>1E-3</v>
      </c>
      <c r="C1038" t="s">
        <v>7</v>
      </c>
      <c r="E1038" s="3">
        <f>E1033*B1038</f>
        <v>0.27</v>
      </c>
    </row>
    <row r="1039" spans="1:5" x14ac:dyDescent="0.2">
      <c r="A1039" t="s">
        <v>6</v>
      </c>
      <c r="B1039" s="1">
        <v>0.01</v>
      </c>
      <c r="C1039" t="s">
        <v>6</v>
      </c>
      <c r="E1039" s="3">
        <f>E1033*B1039</f>
        <v>2.7</v>
      </c>
    </row>
    <row r="1040" spans="1:5" x14ac:dyDescent="0.2">
      <c r="A1040" t="s">
        <v>3</v>
      </c>
      <c r="B1040" s="1">
        <v>2E-3</v>
      </c>
      <c r="C1040" t="s">
        <v>3</v>
      </c>
      <c r="E1040" s="3">
        <f>E1033*B1040</f>
        <v>0.54</v>
      </c>
    </row>
    <row r="1041" spans="1:5" x14ac:dyDescent="0.2">
      <c r="A1041" t="s">
        <v>27</v>
      </c>
      <c r="B1041" s="1">
        <v>0.03</v>
      </c>
      <c r="C1041" t="s">
        <v>27</v>
      </c>
      <c r="E1041" s="3">
        <f>E1033*B1041</f>
        <v>8.1</v>
      </c>
    </row>
    <row r="1042" spans="1:5" x14ac:dyDescent="0.2">
      <c r="A1042" t="s">
        <v>4</v>
      </c>
      <c r="B1042" s="1">
        <v>0.02</v>
      </c>
      <c r="C1042" t="s">
        <v>4</v>
      </c>
      <c r="E1042" s="3">
        <f>E1033*B1042</f>
        <v>5.4</v>
      </c>
    </row>
    <row r="1043" spans="1:5" x14ac:dyDescent="0.2">
      <c r="A1043" t="s">
        <v>15</v>
      </c>
      <c r="B1043" s="1">
        <v>0.13830000000000001</v>
      </c>
      <c r="C1043" t="s">
        <v>15</v>
      </c>
      <c r="E1043" s="3">
        <f>E1033*B1043</f>
        <v>37.341000000000001</v>
      </c>
    </row>
    <row r="1044" spans="1:5" x14ac:dyDescent="0.2">
      <c r="A1044" t="s">
        <v>140</v>
      </c>
      <c r="B1044" s="1">
        <v>0.18149999999999999</v>
      </c>
      <c r="C1044" t="s">
        <v>140</v>
      </c>
      <c r="E1044" s="3">
        <f>E1033*B1044</f>
        <v>49.004999999999995</v>
      </c>
    </row>
    <row r="1045" spans="1:5" x14ac:dyDescent="0.2">
      <c r="A1045" t="s">
        <v>128</v>
      </c>
      <c r="B1045" s="1">
        <v>0.3</v>
      </c>
      <c r="C1045" t="s">
        <v>128</v>
      </c>
      <c r="E1045" s="3">
        <f>E1033*B1045</f>
        <v>81</v>
      </c>
    </row>
    <row r="1046" spans="1:5" x14ac:dyDescent="0.2">
      <c r="A1046" t="s">
        <v>5</v>
      </c>
      <c r="B1046" s="1">
        <v>2.1000000000000001E-2</v>
      </c>
      <c r="C1046" t="s">
        <v>5</v>
      </c>
      <c r="E1046">
        <f>E1033*B1046</f>
        <v>5.67</v>
      </c>
    </row>
    <row r="1047" spans="1:5" x14ac:dyDescent="0.2">
      <c r="A1047" t="s">
        <v>100</v>
      </c>
      <c r="B1047" s="1">
        <v>8.9999999999999993E-3</v>
      </c>
      <c r="C1047" t="s">
        <v>100</v>
      </c>
      <c r="E1047" s="3">
        <f>E1033*B1047</f>
        <v>2.4299999999999997</v>
      </c>
    </row>
    <row r="1048" spans="1:5" x14ac:dyDescent="0.2">
      <c r="A1048" t="s">
        <v>101</v>
      </c>
      <c r="B1048" s="1">
        <v>5.0000000000000001E-3</v>
      </c>
      <c r="C1048" t="s">
        <v>101</v>
      </c>
      <c r="E1048" s="3">
        <f>E1033*B1048</f>
        <v>1.35</v>
      </c>
    </row>
    <row r="1049" spans="1:5" x14ac:dyDescent="0.2">
      <c r="A1049" t="s">
        <v>8</v>
      </c>
      <c r="B1049" s="1">
        <v>0.26600000000000001</v>
      </c>
      <c r="C1049" t="s">
        <v>8</v>
      </c>
      <c r="E1049" s="3">
        <f>E1033*B1049</f>
        <v>71.820000000000007</v>
      </c>
    </row>
    <row r="1050" spans="1:5" x14ac:dyDescent="0.2">
      <c r="A1050" t="s">
        <v>121</v>
      </c>
      <c r="B1050" s="1">
        <v>4.0000000000000001E-3</v>
      </c>
      <c r="C1050" t="s">
        <v>121</v>
      </c>
      <c r="E1050" s="3">
        <f>E1033*B1050</f>
        <v>1.08</v>
      </c>
    </row>
    <row r="1051" spans="1:5" x14ac:dyDescent="0.2">
      <c r="A1051" t="s">
        <v>123</v>
      </c>
      <c r="B1051" s="2">
        <v>5.0000000000000001E-3</v>
      </c>
      <c r="C1051" t="s">
        <v>144</v>
      </c>
      <c r="E1051" s="4">
        <f>E1033*B1051</f>
        <v>1.35</v>
      </c>
    </row>
    <row r="1052" spans="1:5" x14ac:dyDescent="0.2">
      <c r="B1052" s="1">
        <f>SUM(B1036:B1051)</f>
        <v>1</v>
      </c>
      <c r="E1052" s="3">
        <f>E1033*B1052</f>
        <v>270</v>
      </c>
    </row>
    <row r="1065" spans="1:5" x14ac:dyDescent="0.2">
      <c r="D1065" t="s">
        <v>13</v>
      </c>
    </row>
    <row r="1066" spans="1:5" x14ac:dyDescent="0.2">
      <c r="E1066" t="s">
        <v>146</v>
      </c>
    </row>
    <row r="1068" spans="1:5" x14ac:dyDescent="0.2">
      <c r="A1068" t="s">
        <v>132</v>
      </c>
      <c r="B1068" t="s">
        <v>151</v>
      </c>
    </row>
    <row r="1069" spans="1:5" x14ac:dyDescent="0.2">
      <c r="A1069" t="s">
        <v>14</v>
      </c>
      <c r="C1069" t="s">
        <v>11</v>
      </c>
      <c r="D1069" s="3">
        <v>1280</v>
      </c>
      <c r="E1069" s="3">
        <v>960</v>
      </c>
    </row>
    <row r="1073" spans="1:5" x14ac:dyDescent="0.2">
      <c r="A1073" t="s">
        <v>147</v>
      </c>
      <c r="B1073" s="1">
        <v>1E-3</v>
      </c>
      <c r="C1073" t="s">
        <v>147</v>
      </c>
      <c r="E1073" s="3">
        <f>E1069*B1073</f>
        <v>0.96</v>
      </c>
    </row>
    <row r="1074" spans="1:5" x14ac:dyDescent="0.2">
      <c r="A1074" t="s">
        <v>15</v>
      </c>
      <c r="B1074" s="1">
        <v>0.1067</v>
      </c>
      <c r="C1074" t="s">
        <v>15</v>
      </c>
      <c r="E1074" s="3">
        <f>E1069*B1074</f>
        <v>102.432</v>
      </c>
    </row>
    <row r="1075" spans="1:5" x14ac:dyDescent="0.2">
      <c r="A1075" t="s">
        <v>16</v>
      </c>
      <c r="B1075" s="1">
        <v>0.58730000000000004</v>
      </c>
      <c r="C1075" t="s">
        <v>16</v>
      </c>
      <c r="E1075" s="3">
        <f>E1069*B1075</f>
        <v>563.80799999999999</v>
      </c>
    </row>
    <row r="1076" spans="1:5" x14ac:dyDescent="0.2">
      <c r="A1076" t="s">
        <v>17</v>
      </c>
      <c r="B1076" s="1">
        <v>0.05</v>
      </c>
      <c r="C1076" t="s">
        <v>17</v>
      </c>
      <c r="E1076" s="3">
        <f>E1069*B1076</f>
        <v>48</v>
      </c>
    </row>
    <row r="1077" spans="1:5" x14ac:dyDescent="0.2">
      <c r="A1077" t="s">
        <v>3</v>
      </c>
      <c r="B1077" s="1">
        <v>1.5E-3</v>
      </c>
      <c r="C1077" t="s">
        <v>3</v>
      </c>
      <c r="E1077" s="3">
        <f>E1069*B1077</f>
        <v>1.44</v>
      </c>
    </row>
    <row r="1078" spans="1:5" x14ac:dyDescent="0.2">
      <c r="A1078" t="s">
        <v>18</v>
      </c>
      <c r="B1078" s="1">
        <v>8.0000000000000002E-3</v>
      </c>
      <c r="C1078" t="s">
        <v>18</v>
      </c>
      <c r="E1078" s="3">
        <f>E1069*B1078</f>
        <v>7.68</v>
      </c>
    </row>
    <row r="1079" spans="1:5" x14ac:dyDescent="0.2">
      <c r="A1079" t="s">
        <v>5</v>
      </c>
      <c r="B1079" s="1">
        <v>1.4E-3</v>
      </c>
      <c r="C1079" t="s">
        <v>5</v>
      </c>
      <c r="E1079">
        <f>E1069*B1079</f>
        <v>1.3440000000000001</v>
      </c>
    </row>
    <row r="1080" spans="1:5" x14ac:dyDescent="0.2">
      <c r="A1080" t="s">
        <v>7</v>
      </c>
      <c r="B1080" s="1">
        <v>5.0000000000000001E-4</v>
      </c>
      <c r="C1080" t="s">
        <v>7</v>
      </c>
      <c r="E1080" s="3">
        <f>E1069*B1080</f>
        <v>0.48</v>
      </c>
    </row>
    <row r="1081" spans="1:5" x14ac:dyDescent="0.2">
      <c r="A1081" t="s">
        <v>8</v>
      </c>
      <c r="B1081" s="1">
        <v>7.0000000000000007E-2</v>
      </c>
      <c r="C1081" t="s">
        <v>8</v>
      </c>
      <c r="E1081" s="3">
        <f>E1069*B1081</f>
        <v>67.2</v>
      </c>
    </row>
    <row r="1082" spans="1:5" x14ac:dyDescent="0.2">
      <c r="A1082" t="s">
        <v>23</v>
      </c>
      <c r="B1082" s="1">
        <v>0.11</v>
      </c>
      <c r="C1082" t="s">
        <v>19</v>
      </c>
      <c r="E1082" s="3">
        <f>E1069*B1082</f>
        <v>105.6</v>
      </c>
    </row>
    <row r="1083" spans="1:5" x14ac:dyDescent="0.2">
      <c r="A1083" t="s">
        <v>22</v>
      </c>
      <c r="B1083" s="1">
        <v>5.9299999999999999E-2</v>
      </c>
      <c r="C1083" t="s">
        <v>20</v>
      </c>
      <c r="E1083" s="3">
        <f>E1069*B1083</f>
        <v>56.927999999999997</v>
      </c>
    </row>
    <row r="1084" spans="1:5" x14ac:dyDescent="0.2">
      <c r="A1084" t="s">
        <v>21</v>
      </c>
      <c r="B1084" s="1">
        <v>1.5E-3</v>
      </c>
      <c r="C1084" t="s">
        <v>21</v>
      </c>
      <c r="E1084" s="3">
        <f>E1069*B1084</f>
        <v>1.44</v>
      </c>
    </row>
    <row r="1085" spans="1:5" x14ac:dyDescent="0.2">
      <c r="A1085" t="s">
        <v>6</v>
      </c>
      <c r="B1085" s="2">
        <v>2.8E-3</v>
      </c>
      <c r="C1085" t="s">
        <v>6</v>
      </c>
      <c r="E1085" s="4">
        <f>E1069*B1085</f>
        <v>2.6880000000000002</v>
      </c>
    </row>
    <row r="1086" spans="1:5" x14ac:dyDescent="0.2">
      <c r="B1086" s="1">
        <f>SUM(B1073:B1085)</f>
        <v>1</v>
      </c>
      <c r="E1086" s="3">
        <f>SUM(E1073:E1085)</f>
        <v>960.00000000000023</v>
      </c>
    </row>
    <row r="1101" spans="1:5" x14ac:dyDescent="0.2">
      <c r="E1101" t="s">
        <v>148</v>
      </c>
    </row>
    <row r="1103" spans="1:5" x14ac:dyDescent="0.2">
      <c r="A1103" t="s">
        <v>150</v>
      </c>
    </row>
    <row r="1104" spans="1:5" x14ac:dyDescent="0.2">
      <c r="A1104" t="s">
        <v>132</v>
      </c>
      <c r="B1104" t="s">
        <v>149</v>
      </c>
    </row>
    <row r="1105" spans="1:5" x14ac:dyDescent="0.2">
      <c r="A1105" t="s">
        <v>31</v>
      </c>
      <c r="C1105" t="s">
        <v>11</v>
      </c>
      <c r="E1105" s="3">
        <v>800</v>
      </c>
    </row>
    <row r="1111" spans="1:5" x14ac:dyDescent="0.2">
      <c r="A1111" t="s">
        <v>27</v>
      </c>
      <c r="B1111" s="1">
        <v>6.4999999999999997E-3</v>
      </c>
      <c r="C1111" t="s">
        <v>27</v>
      </c>
      <c r="E1111" s="3">
        <f>E1105*B1111</f>
        <v>5.2</v>
      </c>
    </row>
    <row r="1112" spans="1:5" x14ac:dyDescent="0.2">
      <c r="A1112" t="s">
        <v>8</v>
      </c>
      <c r="B1112" s="1">
        <v>0.32219999999999999</v>
      </c>
      <c r="C1112" t="s">
        <v>8</v>
      </c>
      <c r="E1112" s="3">
        <f>E1105*B1112</f>
        <v>257.76</v>
      </c>
    </row>
    <row r="1113" spans="1:5" x14ac:dyDescent="0.2">
      <c r="A1113" t="s">
        <v>30</v>
      </c>
      <c r="B1113" s="1">
        <v>1.1999999999999999E-3</v>
      </c>
      <c r="C1113" t="s">
        <v>30</v>
      </c>
      <c r="E1113" s="3">
        <f>E1105*B1113</f>
        <v>0.96</v>
      </c>
    </row>
    <row r="1114" spans="1:5" x14ac:dyDescent="0.2">
      <c r="A1114" t="s">
        <v>7</v>
      </c>
      <c r="B1114" s="1">
        <v>6.9999999999999999E-4</v>
      </c>
      <c r="C1114" t="s">
        <v>7</v>
      </c>
      <c r="E1114" s="3">
        <f>E1105*B1114</f>
        <v>0.55999999999999994</v>
      </c>
    </row>
    <row r="1115" spans="1:5" x14ac:dyDescent="0.2">
      <c r="A1115" t="s">
        <v>6</v>
      </c>
      <c r="B1115" s="1">
        <v>2.8999999999999998E-3</v>
      </c>
      <c r="C1115" t="s">
        <v>6</v>
      </c>
      <c r="E1115" s="3">
        <f>E1105*B1115</f>
        <v>2.3199999999999998</v>
      </c>
    </row>
    <row r="1116" spans="1:5" x14ac:dyDescent="0.2">
      <c r="A1116" t="s">
        <v>5</v>
      </c>
      <c r="B1116" s="1">
        <v>1.0500000000000001E-2</v>
      </c>
      <c r="C1116" t="s">
        <v>5</v>
      </c>
      <c r="E1116" s="3">
        <f>E1105*B1116</f>
        <v>8.4</v>
      </c>
    </row>
    <row r="1117" spans="1:5" x14ac:dyDescent="0.2">
      <c r="A1117" t="s">
        <v>32</v>
      </c>
      <c r="B1117" s="1">
        <v>5.0000000000000001E-3</v>
      </c>
      <c r="C1117" t="s">
        <v>32</v>
      </c>
      <c r="E1117" s="3">
        <f>E1105*B1117</f>
        <v>4</v>
      </c>
    </row>
    <row r="1118" spans="1:5" x14ac:dyDescent="0.2">
      <c r="A1118" t="s">
        <v>3</v>
      </c>
      <c r="B1118" s="1">
        <v>1.4E-3</v>
      </c>
      <c r="C1118" t="s">
        <v>3</v>
      </c>
      <c r="E1118" s="3">
        <f>E1105*B1118</f>
        <v>1.1199999999999999</v>
      </c>
    </row>
    <row r="1119" spans="1:5" x14ac:dyDescent="0.2">
      <c r="A1119" t="s">
        <v>33</v>
      </c>
      <c r="B1119" s="1">
        <v>0.4274</v>
      </c>
      <c r="C1119" t="s">
        <v>33</v>
      </c>
      <c r="E1119" s="3">
        <f>E1105*B1119</f>
        <v>341.92</v>
      </c>
    </row>
    <row r="1120" spans="1:5" x14ac:dyDescent="0.2">
      <c r="A1120" t="s">
        <v>34</v>
      </c>
      <c r="B1120" s="1">
        <v>0.14949999999999999</v>
      </c>
      <c r="C1120" t="s">
        <v>34</v>
      </c>
      <c r="E1120" s="3">
        <f>E1105*B1120</f>
        <v>119.6</v>
      </c>
    </row>
    <row r="1121" spans="1:5" x14ac:dyDescent="0.2">
      <c r="A1121" t="s">
        <v>15</v>
      </c>
      <c r="B1121" s="1">
        <v>7.0000000000000007E-2</v>
      </c>
      <c r="C1121" t="s">
        <v>15</v>
      </c>
      <c r="E1121" s="3">
        <f>E1105*B1121</f>
        <v>56.000000000000007</v>
      </c>
    </row>
    <row r="1122" spans="1:5" x14ac:dyDescent="0.2">
      <c r="A1122" t="s">
        <v>9</v>
      </c>
      <c r="B1122" s="2">
        <v>2.7000000000000001E-3</v>
      </c>
      <c r="C1122" t="s">
        <v>9</v>
      </c>
      <c r="E1122" s="4">
        <f>E1105*B1122</f>
        <v>2.16</v>
      </c>
    </row>
    <row r="1123" spans="1:5" x14ac:dyDescent="0.2">
      <c r="B1123" s="1">
        <f>SUM(B1111:B1122)</f>
        <v>1</v>
      </c>
      <c r="E1123" s="3">
        <f>SUM(E1111:E1122)</f>
        <v>800</v>
      </c>
    </row>
    <row r="1141" spans="1:5" x14ac:dyDescent="0.2">
      <c r="A1141" t="s">
        <v>55</v>
      </c>
    </row>
    <row r="1142" spans="1:5" x14ac:dyDescent="0.2">
      <c r="A1142" t="s">
        <v>74</v>
      </c>
      <c r="C1142" t="s">
        <v>11</v>
      </c>
      <c r="E1142" s="3">
        <v>375</v>
      </c>
    </row>
    <row r="1146" spans="1:5" x14ac:dyDescent="0.2">
      <c r="A1146" t="s">
        <v>15</v>
      </c>
      <c r="B1146" s="1">
        <v>2.5999999999999999E-3</v>
      </c>
      <c r="C1146" t="s">
        <v>15</v>
      </c>
      <c r="E1146" s="3">
        <f>E1142*B1146</f>
        <v>0.97499999999999998</v>
      </c>
    </row>
    <row r="1147" spans="1:5" x14ac:dyDescent="0.2">
      <c r="A1147" t="s">
        <v>8</v>
      </c>
      <c r="B1147" s="1">
        <v>0.10829999999999999</v>
      </c>
      <c r="C1147" t="s">
        <v>8</v>
      </c>
      <c r="E1147" s="3">
        <f>E1142*B1147</f>
        <v>40.612499999999997</v>
      </c>
    </row>
    <row r="1148" spans="1:5" x14ac:dyDescent="0.2">
      <c r="A1148" t="s">
        <v>43</v>
      </c>
      <c r="B1148" s="1">
        <v>0.22359999999999999</v>
      </c>
      <c r="C1148" t="s">
        <v>43</v>
      </c>
      <c r="E1148" s="3">
        <f>E1142*B1148</f>
        <v>83.85</v>
      </c>
    </row>
    <row r="1149" spans="1:5" x14ac:dyDescent="0.2">
      <c r="A1149" t="s">
        <v>9</v>
      </c>
      <c r="B1149" s="1">
        <v>5.0000000000000001E-4</v>
      </c>
      <c r="C1149" t="s">
        <v>9</v>
      </c>
      <c r="E1149" s="3">
        <f>E1142*B1149</f>
        <v>0.1875</v>
      </c>
    </row>
    <row r="1150" spans="1:5" x14ac:dyDescent="0.2">
      <c r="A1150" t="s">
        <v>3</v>
      </c>
      <c r="B1150" s="1">
        <v>5.0000000000000001E-4</v>
      </c>
      <c r="C1150" t="s">
        <v>3</v>
      </c>
      <c r="E1150" s="3">
        <f>E1142*B1150</f>
        <v>0.1875</v>
      </c>
    </row>
    <row r="1151" spans="1:5" x14ac:dyDescent="0.2">
      <c r="A1151" t="s">
        <v>4</v>
      </c>
      <c r="B1151" s="1">
        <v>5.0000000000000001E-3</v>
      </c>
      <c r="C1151" t="s">
        <v>4</v>
      </c>
      <c r="E1151" s="3">
        <f>E1142*B1151</f>
        <v>1.875</v>
      </c>
    </row>
    <row r="1152" spans="1:5" x14ac:dyDescent="0.2">
      <c r="A1152" t="s">
        <v>152</v>
      </c>
      <c r="B1152" s="1">
        <v>0.02</v>
      </c>
      <c r="C1152" t="s">
        <v>152</v>
      </c>
      <c r="E1152" s="3">
        <f>E1142*B1152</f>
        <v>7.5</v>
      </c>
    </row>
    <row r="1153" spans="1:8" x14ac:dyDescent="0.2">
      <c r="A1153" t="s">
        <v>6</v>
      </c>
      <c r="B1153" s="1">
        <v>6.9999999999999999E-4</v>
      </c>
      <c r="C1153" t="s">
        <v>6</v>
      </c>
      <c r="E1153" s="3">
        <f>E1142*B1153</f>
        <v>0.26250000000000001</v>
      </c>
    </row>
    <row r="1154" spans="1:8" x14ac:dyDescent="0.2">
      <c r="A1154" t="s">
        <v>5</v>
      </c>
      <c r="B1154" s="1">
        <v>6.9999999999999999E-4</v>
      </c>
      <c r="C1154" t="s">
        <v>5</v>
      </c>
      <c r="E1154" s="3">
        <f>E1142*B1154</f>
        <v>0.26250000000000001</v>
      </c>
    </row>
    <row r="1155" spans="1:8" x14ac:dyDescent="0.2">
      <c r="A1155" t="s">
        <v>58</v>
      </c>
      <c r="B1155" s="1">
        <v>3.6999999999999998E-2</v>
      </c>
      <c r="C1155" t="s">
        <v>58</v>
      </c>
      <c r="E1155" s="3">
        <f>E1142*B1155</f>
        <v>13.875</v>
      </c>
    </row>
    <row r="1156" spans="1:8" x14ac:dyDescent="0.2">
      <c r="A1156" t="s">
        <v>73</v>
      </c>
      <c r="B1156" s="2">
        <v>0.60109999999999997</v>
      </c>
      <c r="C1156" t="s">
        <v>44</v>
      </c>
      <c r="E1156" s="4">
        <f>E1142*B1156</f>
        <v>225.41249999999999</v>
      </c>
    </row>
    <row r="1157" spans="1:8" x14ac:dyDescent="0.2">
      <c r="B1157" s="1">
        <f>SUM(B1146:B1156)</f>
        <v>1</v>
      </c>
      <c r="E1157" s="3">
        <f>SUM(E1146:E1156)</f>
        <v>375</v>
      </c>
    </row>
    <row r="1158" spans="1:8" x14ac:dyDescent="0.2">
      <c r="B1158" s="1"/>
      <c r="E1158" s="3"/>
    </row>
    <row r="1161" spans="1:8" x14ac:dyDescent="0.2">
      <c r="F1161">
        <f>32/5</f>
        <v>6.4</v>
      </c>
      <c r="H1161">
        <f>3*32</f>
        <v>96</v>
      </c>
    </row>
    <row r="1162" spans="1:8" x14ac:dyDescent="0.2">
      <c r="A1162" t="s">
        <v>212</v>
      </c>
      <c r="C1162" t="s">
        <v>213</v>
      </c>
    </row>
    <row r="1163" spans="1:8" x14ac:dyDescent="0.2">
      <c r="A1163" s="15">
        <v>45103</v>
      </c>
      <c r="C1163" t="s">
        <v>214</v>
      </c>
    </row>
    <row r="1164" spans="1:8" x14ac:dyDescent="0.2">
      <c r="A1164" t="s">
        <v>211</v>
      </c>
    </row>
    <row r="1165" spans="1:8" x14ac:dyDescent="0.2">
      <c r="A1165" t="s">
        <v>14</v>
      </c>
      <c r="C1165" t="s">
        <v>11</v>
      </c>
      <c r="D1165" s="3">
        <v>1280</v>
      </c>
      <c r="E1165" s="3">
        <v>960</v>
      </c>
    </row>
    <row r="1166" spans="1:8" x14ac:dyDescent="0.2">
      <c r="A1166" t="s">
        <v>203</v>
      </c>
    </row>
    <row r="1169" spans="1:7" x14ac:dyDescent="0.2">
      <c r="B1169" s="1"/>
    </row>
    <row r="1170" spans="1:7" x14ac:dyDescent="0.2">
      <c r="A1170" t="s">
        <v>15</v>
      </c>
      <c r="B1170" s="1">
        <v>0.04</v>
      </c>
      <c r="C1170" t="s">
        <v>15</v>
      </c>
      <c r="E1170" s="3">
        <f>E1165*B1170</f>
        <v>38.4</v>
      </c>
      <c r="F1170" s="8">
        <v>109.61</v>
      </c>
      <c r="G1170" s="8">
        <f>E1170*F1170</f>
        <v>4209.0239999999994</v>
      </c>
    </row>
    <row r="1171" spans="1:7" x14ac:dyDescent="0.2">
      <c r="A1171" t="s">
        <v>16</v>
      </c>
      <c r="B1171" s="1">
        <v>0.60409999999999997</v>
      </c>
      <c r="C1171" t="s">
        <v>16</v>
      </c>
      <c r="E1171" s="3">
        <f>E1165*B1171</f>
        <v>579.93599999999992</v>
      </c>
      <c r="F1171" s="8">
        <v>1.44</v>
      </c>
      <c r="G1171" s="8">
        <f t="shared" ref="G1171:G1180" si="10">E1171*F1171</f>
        <v>835.1078399999999</v>
      </c>
    </row>
    <row r="1172" spans="1:7" x14ac:dyDescent="0.2">
      <c r="A1172" t="s">
        <v>17</v>
      </c>
      <c r="B1172" s="1">
        <v>0.05</v>
      </c>
      <c r="C1172" t="s">
        <v>17</v>
      </c>
      <c r="E1172" s="3">
        <f>E1165*B1172</f>
        <v>48</v>
      </c>
      <c r="F1172" s="8">
        <v>3.45</v>
      </c>
      <c r="G1172" s="8">
        <f t="shared" si="10"/>
        <v>165.60000000000002</v>
      </c>
    </row>
    <row r="1173" spans="1:7" x14ac:dyDescent="0.2">
      <c r="A1173" t="s">
        <v>3</v>
      </c>
      <c r="B1173" s="1">
        <v>1.5E-3</v>
      </c>
      <c r="C1173" t="s">
        <v>3</v>
      </c>
      <c r="E1173" s="3">
        <f>E1165*B1173</f>
        <v>1.44</v>
      </c>
      <c r="F1173" s="8">
        <v>91.34</v>
      </c>
      <c r="G1173" s="8">
        <f t="shared" si="10"/>
        <v>131.52959999999999</v>
      </c>
    </row>
    <row r="1174" spans="1:7" x14ac:dyDescent="0.2">
      <c r="A1174" t="s">
        <v>18</v>
      </c>
      <c r="B1174" s="1">
        <v>8.0000000000000002E-3</v>
      </c>
      <c r="C1174" t="s">
        <v>18</v>
      </c>
      <c r="E1174" s="3">
        <f>E1165*B1174</f>
        <v>7.68</v>
      </c>
      <c r="F1174" s="8">
        <v>23.95</v>
      </c>
      <c r="G1174" s="8">
        <f t="shared" si="10"/>
        <v>183.93599999999998</v>
      </c>
    </row>
    <row r="1175" spans="1:7" x14ac:dyDescent="0.2">
      <c r="A1175" t="s">
        <v>5</v>
      </c>
      <c r="B1175" s="1">
        <v>1.4E-3</v>
      </c>
      <c r="C1175" t="s">
        <v>5</v>
      </c>
      <c r="E1175">
        <f>E1165*B1175</f>
        <v>1.3440000000000001</v>
      </c>
      <c r="F1175" s="8">
        <v>81.19</v>
      </c>
      <c r="G1175" s="8">
        <f t="shared" si="10"/>
        <v>109.11936</v>
      </c>
    </row>
    <row r="1176" spans="1:7" x14ac:dyDescent="0.2">
      <c r="A1176" t="s">
        <v>7</v>
      </c>
      <c r="B1176" s="1">
        <v>5.0000000000000001E-4</v>
      </c>
      <c r="C1176" t="s">
        <v>7</v>
      </c>
      <c r="E1176" s="3">
        <f>E1165*B1176</f>
        <v>0.48</v>
      </c>
      <c r="F1176" s="8">
        <v>152.22999999999999</v>
      </c>
      <c r="G1176" s="8">
        <f t="shared" si="10"/>
        <v>73.070399999999992</v>
      </c>
    </row>
    <row r="1177" spans="1:7" x14ac:dyDescent="0.2">
      <c r="A1177" t="s">
        <v>8</v>
      </c>
      <c r="B1177" s="1">
        <v>7.1900000000000006E-2</v>
      </c>
      <c r="C1177" t="s">
        <v>8</v>
      </c>
      <c r="E1177" s="3">
        <f>E1165*B1177</f>
        <v>69.024000000000001</v>
      </c>
      <c r="F1177" s="8">
        <v>0</v>
      </c>
      <c r="G1177" s="12">
        <f t="shared" si="10"/>
        <v>0</v>
      </c>
    </row>
    <row r="1178" spans="1:7" x14ac:dyDescent="0.2">
      <c r="A1178" t="s">
        <v>188</v>
      </c>
      <c r="B1178" s="1">
        <v>0.22020000000000001</v>
      </c>
      <c r="C1178" t="s">
        <v>188</v>
      </c>
      <c r="E1178" s="3">
        <f>E1165*B1178</f>
        <v>211.392</v>
      </c>
      <c r="F1178" s="8">
        <v>34.5</v>
      </c>
      <c r="G1178" s="8">
        <f t="shared" si="10"/>
        <v>7293.0239999999994</v>
      </c>
    </row>
    <row r="1179" spans="1:7" x14ac:dyDescent="0.2">
      <c r="A1179" t="s">
        <v>9</v>
      </c>
      <c r="B1179" s="1">
        <v>8.9999999999999998E-4</v>
      </c>
      <c r="C1179" t="s">
        <v>9</v>
      </c>
      <c r="E1179" s="3">
        <f>E1165*B1179</f>
        <v>0.86399999999999999</v>
      </c>
      <c r="F1179" s="8">
        <v>213.13</v>
      </c>
      <c r="G1179" s="8">
        <f t="shared" si="10"/>
        <v>184.14431999999999</v>
      </c>
    </row>
    <row r="1180" spans="1:7" x14ac:dyDescent="0.2">
      <c r="A1180" t="s">
        <v>21</v>
      </c>
      <c r="B1180" s="2">
        <v>1.5E-3</v>
      </c>
      <c r="C1180" t="s">
        <v>21</v>
      </c>
      <c r="E1180" s="4">
        <f>E1165*B1180</f>
        <v>1.44</v>
      </c>
      <c r="F1180" s="11">
        <v>35.200000000000003</v>
      </c>
      <c r="G1180" s="11">
        <f t="shared" si="10"/>
        <v>50.688000000000002</v>
      </c>
    </row>
    <row r="1181" spans="1:7" x14ac:dyDescent="0.2">
      <c r="B1181" s="1">
        <f>SUM(B1170:B1180)</f>
        <v>0.99999999999999978</v>
      </c>
      <c r="E1181" s="3">
        <f>SUM(E1170:E1180)</f>
        <v>960</v>
      </c>
      <c r="F1181" s="8">
        <f>SUM(F1170:F1180)</f>
        <v>746.04000000000008</v>
      </c>
      <c r="G1181" s="8">
        <f>SUM(G1170:G1180)</f>
        <v>13235.243519999998</v>
      </c>
    </row>
    <row r="1190" spans="1:5" x14ac:dyDescent="0.2">
      <c r="A1190" t="s">
        <v>161</v>
      </c>
    </row>
    <row r="1192" spans="1:5" x14ac:dyDescent="0.2">
      <c r="A1192" t="s">
        <v>154</v>
      </c>
      <c r="C1192" t="s">
        <v>11</v>
      </c>
      <c r="E1192" s="3">
        <v>1</v>
      </c>
    </row>
    <row r="1193" spans="1:5" x14ac:dyDescent="0.2">
      <c r="A1193" t="s">
        <v>160</v>
      </c>
    </row>
    <row r="1196" spans="1:5" x14ac:dyDescent="0.2">
      <c r="A1196" t="s">
        <v>155</v>
      </c>
      <c r="B1196" s="1">
        <v>0.82979999999999998</v>
      </c>
      <c r="C1196" t="s">
        <v>155</v>
      </c>
      <c r="E1196" s="3">
        <f>E1192*B1196</f>
        <v>0.82979999999999998</v>
      </c>
    </row>
    <row r="1197" spans="1:5" x14ac:dyDescent="0.2">
      <c r="A1197" t="s">
        <v>156</v>
      </c>
      <c r="B1197" s="1">
        <v>0.16600000000000001</v>
      </c>
      <c r="C1197" t="s">
        <v>158</v>
      </c>
      <c r="E1197">
        <f>E1192*B1197</f>
        <v>0.16600000000000001</v>
      </c>
    </row>
    <row r="1198" spans="1:5" x14ac:dyDescent="0.2">
      <c r="A1198" t="s">
        <v>157</v>
      </c>
      <c r="B1198" s="2">
        <v>4.1999999999999997E-3</v>
      </c>
      <c r="C1198" t="s">
        <v>159</v>
      </c>
      <c r="E1198" s="4">
        <f>E1192*B1198</f>
        <v>4.1999999999999997E-3</v>
      </c>
    </row>
    <row r="1199" spans="1:5" x14ac:dyDescent="0.2">
      <c r="B1199" s="1">
        <f>SUM(B1196:B1198)</f>
        <v>1</v>
      </c>
      <c r="E1199" s="3">
        <f>SUM(E1196:E1198)</f>
        <v>1</v>
      </c>
    </row>
    <row r="1205" spans="1:7" x14ac:dyDescent="0.2">
      <c r="A1205" t="s">
        <v>194</v>
      </c>
    </row>
    <row r="1206" spans="1:7" x14ac:dyDescent="0.2">
      <c r="A1206" t="s">
        <v>162</v>
      </c>
    </row>
    <row r="1207" spans="1:7" x14ac:dyDescent="0.2">
      <c r="C1207" t="s">
        <v>11</v>
      </c>
      <c r="E1207" s="3">
        <v>19</v>
      </c>
    </row>
    <row r="1209" spans="1:7" x14ac:dyDescent="0.2">
      <c r="A1209" t="s">
        <v>27</v>
      </c>
      <c r="B1209" s="1">
        <v>2.8999999999999998E-3</v>
      </c>
      <c r="C1209" t="s">
        <v>27</v>
      </c>
      <c r="E1209" s="3">
        <f>E1207*B1209</f>
        <v>5.5099999999999996E-2</v>
      </c>
      <c r="F1209" s="8">
        <v>52.32</v>
      </c>
      <c r="G1209" s="8">
        <f t="shared" ref="G1209:G1223" si="11">E1209*F1209</f>
        <v>2.8828319999999996</v>
      </c>
    </row>
    <row r="1210" spans="1:7" x14ac:dyDescent="0.2">
      <c r="A1210" t="s">
        <v>15</v>
      </c>
      <c r="B1210" s="1">
        <v>1.5699999999999999E-2</v>
      </c>
      <c r="C1210" t="s">
        <v>15</v>
      </c>
      <c r="E1210" s="3">
        <f>E1207*B1210</f>
        <v>0.29829999999999995</v>
      </c>
      <c r="F1210" s="8">
        <v>68.8</v>
      </c>
      <c r="G1210" s="8">
        <f t="shared" si="11"/>
        <v>20.523039999999995</v>
      </c>
    </row>
    <row r="1211" spans="1:7" x14ac:dyDescent="0.2">
      <c r="A1211" t="s">
        <v>8</v>
      </c>
      <c r="B1211" s="1">
        <v>5.2600000000000001E-2</v>
      </c>
      <c r="C1211" t="s">
        <v>8</v>
      </c>
      <c r="E1211" s="3">
        <f>E1207*B1211</f>
        <v>0.99940000000000007</v>
      </c>
      <c r="F1211" s="8">
        <v>0</v>
      </c>
      <c r="G1211" s="12">
        <f t="shared" si="11"/>
        <v>0</v>
      </c>
    </row>
    <row r="1212" spans="1:7" x14ac:dyDescent="0.2">
      <c r="A1212" t="s">
        <v>9</v>
      </c>
      <c r="B1212" s="1">
        <v>8.9999999999999998E-4</v>
      </c>
      <c r="C1212" t="s">
        <v>9</v>
      </c>
      <c r="E1212" s="3">
        <f>E1207*B1212</f>
        <v>1.7100000000000001E-2</v>
      </c>
      <c r="F1212" s="8">
        <v>181.44</v>
      </c>
      <c r="G1212" s="8">
        <f t="shared" si="11"/>
        <v>3.102624</v>
      </c>
    </row>
    <row r="1213" spans="1:7" x14ac:dyDescent="0.2">
      <c r="A1213" t="s">
        <v>7</v>
      </c>
      <c r="B1213" s="1">
        <v>5.0000000000000001E-4</v>
      </c>
      <c r="C1213" t="s">
        <v>7</v>
      </c>
      <c r="E1213">
        <f>E1207*B1213</f>
        <v>9.4999999999999998E-3</v>
      </c>
      <c r="F1213" s="8">
        <v>129</v>
      </c>
      <c r="G1213" s="8">
        <f t="shared" si="11"/>
        <v>1.2255</v>
      </c>
    </row>
    <row r="1214" spans="1:7" x14ac:dyDescent="0.2">
      <c r="A1214" t="s">
        <v>6</v>
      </c>
      <c r="B1214" s="1">
        <v>1.6999999999999999E-3</v>
      </c>
      <c r="C1214" t="s">
        <v>6</v>
      </c>
      <c r="E1214" s="3">
        <f>E1207*B1214</f>
        <v>3.2299999999999995E-2</v>
      </c>
      <c r="F1214" s="9">
        <v>58.26</v>
      </c>
      <c r="G1214" s="8">
        <f t="shared" si="11"/>
        <v>1.8817979999999996</v>
      </c>
    </row>
    <row r="1215" spans="1:7" x14ac:dyDescent="0.2">
      <c r="A1215" t="s">
        <v>163</v>
      </c>
      <c r="B1215" s="1">
        <v>1.1999999999999999E-3</v>
      </c>
      <c r="C1215" t="s">
        <v>163</v>
      </c>
      <c r="E1215" s="3">
        <f>E1207*B1215</f>
        <v>2.2799999999999997E-2</v>
      </c>
      <c r="F1215" s="8">
        <v>41.35</v>
      </c>
      <c r="G1215" s="8">
        <f t="shared" si="11"/>
        <v>0.94277999999999995</v>
      </c>
    </row>
    <row r="1216" spans="1:7" x14ac:dyDescent="0.2">
      <c r="A1216" t="s">
        <v>5</v>
      </c>
      <c r="B1216" s="1">
        <v>3.0000000000000001E-3</v>
      </c>
      <c r="C1216" t="s">
        <v>5</v>
      </c>
      <c r="E1216">
        <f>E1207*B1216</f>
        <v>5.7000000000000002E-2</v>
      </c>
      <c r="F1216" s="8">
        <v>58.26</v>
      </c>
      <c r="G1216" s="8">
        <f t="shared" si="11"/>
        <v>3.3208199999999999</v>
      </c>
    </row>
    <row r="1217" spans="1:7" x14ac:dyDescent="0.2">
      <c r="A1217" t="s">
        <v>3</v>
      </c>
      <c r="B1217" s="1">
        <v>1E-3</v>
      </c>
      <c r="C1217" t="s">
        <v>3</v>
      </c>
      <c r="E1217">
        <f>E1207*B1217</f>
        <v>1.9E-2</v>
      </c>
      <c r="F1217" s="8">
        <v>82.14</v>
      </c>
      <c r="G1217" s="8">
        <f t="shared" si="11"/>
        <v>1.5606599999999999</v>
      </c>
    </row>
    <row r="1218" spans="1:7" x14ac:dyDescent="0.2">
      <c r="A1218" t="s">
        <v>4</v>
      </c>
      <c r="B1218" s="1">
        <v>8.0999999999999996E-3</v>
      </c>
      <c r="C1218" t="s">
        <v>4</v>
      </c>
      <c r="E1218" s="3">
        <f>E1207*B1218</f>
        <v>0.15389999999999998</v>
      </c>
      <c r="F1218" s="8">
        <v>29.03</v>
      </c>
      <c r="G1218" s="8">
        <f t="shared" si="11"/>
        <v>4.4677169999999995</v>
      </c>
    </row>
    <row r="1219" spans="1:7" x14ac:dyDescent="0.2">
      <c r="A1219" t="s">
        <v>164</v>
      </c>
      <c r="B1219" s="1">
        <v>6.5799999999999997E-2</v>
      </c>
      <c r="C1219" t="s">
        <v>164</v>
      </c>
      <c r="E1219" s="3">
        <f>E1207*B1219</f>
        <v>1.2502</v>
      </c>
      <c r="F1219" s="8">
        <v>26.79</v>
      </c>
      <c r="G1219" s="8">
        <f t="shared" si="11"/>
        <v>33.492857999999998</v>
      </c>
    </row>
    <row r="1220" spans="1:7" x14ac:dyDescent="0.2">
      <c r="A1220" t="s">
        <v>165</v>
      </c>
      <c r="B1220" s="1">
        <v>6.5799999999999997E-2</v>
      </c>
      <c r="C1220" t="s">
        <v>165</v>
      </c>
      <c r="E1220" s="3">
        <f>E1207*B1220</f>
        <v>1.2502</v>
      </c>
      <c r="F1220" s="8">
        <v>25.5</v>
      </c>
      <c r="G1220" s="8">
        <f t="shared" si="11"/>
        <v>31.880099999999999</v>
      </c>
    </row>
    <row r="1221" spans="1:7" x14ac:dyDescent="0.2">
      <c r="A1221" t="s">
        <v>166</v>
      </c>
      <c r="B1221" s="1">
        <v>0.35089999999999999</v>
      </c>
      <c r="C1221" t="s">
        <v>166</v>
      </c>
      <c r="E1221" s="3">
        <f>E1207*B1221</f>
        <v>6.6670999999999996</v>
      </c>
      <c r="F1221" s="8">
        <v>2.02</v>
      </c>
      <c r="G1221" s="8">
        <f t="shared" si="11"/>
        <v>13.467542</v>
      </c>
    </row>
    <row r="1222" spans="1:7" x14ac:dyDescent="0.2">
      <c r="A1222" t="s">
        <v>41</v>
      </c>
      <c r="B1222" s="1">
        <v>0.35089999999999999</v>
      </c>
      <c r="C1222" t="s">
        <v>41</v>
      </c>
      <c r="E1222" s="3">
        <f>E1207*B1222</f>
        <v>6.6670999999999996</v>
      </c>
      <c r="F1222" s="10">
        <v>1.1499999999999999</v>
      </c>
      <c r="G1222" s="8">
        <f t="shared" si="11"/>
        <v>7.6671649999999989</v>
      </c>
    </row>
    <row r="1223" spans="1:7" x14ac:dyDescent="0.2">
      <c r="A1223" t="s">
        <v>167</v>
      </c>
      <c r="B1223" s="2">
        <v>7.9000000000000001E-2</v>
      </c>
      <c r="C1223" t="s">
        <v>167</v>
      </c>
      <c r="E1223" s="5">
        <f>E1207*B1223</f>
        <v>1.5010000000000001</v>
      </c>
      <c r="F1223" s="11">
        <v>1.48</v>
      </c>
      <c r="G1223" s="11">
        <f t="shared" si="11"/>
        <v>2.2214800000000001</v>
      </c>
    </row>
    <row r="1224" spans="1:7" x14ac:dyDescent="0.2">
      <c r="B1224" s="1">
        <f>SUM(B1209:B1223)</f>
        <v>0.99999999999999989</v>
      </c>
      <c r="E1224" s="3">
        <f>SUM(E1209:E1223)</f>
        <v>19</v>
      </c>
      <c r="F1224">
        <f>SUM(F1208:F1223)</f>
        <v>757.53999999999985</v>
      </c>
      <c r="G1224" s="8">
        <f>SUM(G1208:G1223)</f>
        <v>128.63691599999999</v>
      </c>
    </row>
    <row r="1225" spans="1:7" x14ac:dyDescent="0.2">
      <c r="A1225" s="5"/>
      <c r="B1225" s="5"/>
      <c r="C1225" s="5"/>
      <c r="D1225" s="5"/>
      <c r="E1225" s="5"/>
    </row>
    <row r="1230" spans="1:7" x14ac:dyDescent="0.2">
      <c r="A1230" t="s">
        <v>53</v>
      </c>
      <c r="C1230" t="s">
        <v>11</v>
      </c>
      <c r="E1230" s="3">
        <v>3</v>
      </c>
    </row>
    <row r="1231" spans="1:7" x14ac:dyDescent="0.2">
      <c r="A1231" t="s">
        <v>172</v>
      </c>
    </row>
    <row r="1232" spans="1:7" x14ac:dyDescent="0.2">
      <c r="A1232" s="7">
        <v>43055</v>
      </c>
    </row>
    <row r="1236" spans="1:5" x14ac:dyDescent="0.2">
      <c r="A1236" t="s">
        <v>15</v>
      </c>
      <c r="B1236" s="1">
        <v>7.7999999999999996E-3</v>
      </c>
      <c r="C1236" t="s">
        <v>168</v>
      </c>
      <c r="E1236" s="3">
        <f>E1230*B1236</f>
        <v>2.3399999999999997E-2</v>
      </c>
    </row>
    <row r="1237" spans="1:5" x14ac:dyDescent="0.2">
      <c r="A1237" t="s">
        <v>3</v>
      </c>
      <c r="B1237" s="1">
        <v>1.1999999999999999E-3</v>
      </c>
      <c r="C1237" t="s">
        <v>3</v>
      </c>
      <c r="E1237" s="3">
        <f>E1230*B1237</f>
        <v>3.5999999999999999E-3</v>
      </c>
    </row>
    <row r="1238" spans="1:5" x14ac:dyDescent="0.2">
      <c r="A1238" t="s">
        <v>30</v>
      </c>
      <c r="B1238" s="1">
        <v>5.9999999999999995E-4</v>
      </c>
      <c r="C1238" t="s">
        <v>30</v>
      </c>
      <c r="E1238" s="3">
        <f>E1230*B1238</f>
        <v>1.8E-3</v>
      </c>
    </row>
    <row r="1239" spans="1:5" x14ac:dyDescent="0.2">
      <c r="A1239" t="s">
        <v>8</v>
      </c>
      <c r="B1239" s="1">
        <v>3.8100000000000002E-2</v>
      </c>
      <c r="C1239" t="s">
        <v>8</v>
      </c>
      <c r="E1239" s="3">
        <f>E1230*B1239</f>
        <v>0.11430000000000001</v>
      </c>
    </row>
    <row r="1240" spans="1:5" x14ac:dyDescent="0.2">
      <c r="A1240" t="s">
        <v>4</v>
      </c>
      <c r="B1240" s="1">
        <v>8.0000000000000002E-3</v>
      </c>
      <c r="C1240" t="s">
        <v>4</v>
      </c>
      <c r="E1240" s="3">
        <f>E1230*B1240</f>
        <v>2.4E-2</v>
      </c>
    </row>
    <row r="1241" spans="1:5" x14ac:dyDescent="0.2">
      <c r="A1241" t="s">
        <v>6</v>
      </c>
      <c r="B1241" s="1">
        <v>1.5E-3</v>
      </c>
      <c r="C1241" t="s">
        <v>6</v>
      </c>
      <c r="E1241" s="3">
        <f>E1230*B1241</f>
        <v>4.5000000000000005E-3</v>
      </c>
    </row>
    <row r="1242" spans="1:5" x14ac:dyDescent="0.2">
      <c r="A1242" t="s">
        <v>5</v>
      </c>
      <c r="B1242" s="1">
        <v>1.5E-3</v>
      </c>
      <c r="C1242" t="s">
        <v>5</v>
      </c>
      <c r="E1242" s="3">
        <f>E1230*B1242</f>
        <v>4.5000000000000005E-3</v>
      </c>
    </row>
    <row r="1243" spans="1:5" x14ac:dyDescent="0.2">
      <c r="A1243" t="s">
        <v>9</v>
      </c>
      <c r="B1243" s="1">
        <v>1.8E-3</v>
      </c>
      <c r="C1243" t="s">
        <v>9</v>
      </c>
      <c r="E1243" s="3">
        <f>E1230*B1243</f>
        <v>5.4000000000000003E-3</v>
      </c>
    </row>
    <row r="1244" spans="1:5" x14ac:dyDescent="0.2">
      <c r="A1244" t="s">
        <v>169</v>
      </c>
      <c r="B1244" s="1">
        <v>0.13500000000000001</v>
      </c>
      <c r="C1244" t="s">
        <v>170</v>
      </c>
      <c r="E1244">
        <f>E1230*B1244</f>
        <v>0.40500000000000003</v>
      </c>
    </row>
    <row r="1245" spans="1:5" x14ac:dyDescent="0.2">
      <c r="A1245" t="s">
        <v>43</v>
      </c>
      <c r="B1245" s="1">
        <v>0.2145</v>
      </c>
      <c r="C1245" t="s">
        <v>43</v>
      </c>
      <c r="E1245" s="3">
        <f>E1230*B1245</f>
        <v>0.64349999999999996</v>
      </c>
    </row>
    <row r="1246" spans="1:5" x14ac:dyDescent="0.2">
      <c r="A1246" t="s">
        <v>44</v>
      </c>
      <c r="B1246" s="2">
        <v>0.59</v>
      </c>
      <c r="C1246" t="s">
        <v>44</v>
      </c>
      <c r="E1246" s="4">
        <f>E1230*B1246</f>
        <v>1.77</v>
      </c>
    </row>
    <row r="1247" spans="1:5" x14ac:dyDescent="0.2">
      <c r="B1247" s="1">
        <f>SUM(B1236:B1246)</f>
        <v>1</v>
      </c>
      <c r="E1247" s="3">
        <f>SUM(E1236:E1246)</f>
        <v>3</v>
      </c>
    </row>
    <row r="1253" spans="1:5" x14ac:dyDescent="0.2">
      <c r="A1253" t="s">
        <v>171</v>
      </c>
    </row>
    <row r="1254" spans="1:5" x14ac:dyDescent="0.2">
      <c r="A1254" t="s">
        <v>162</v>
      </c>
    </row>
    <row r="1255" spans="1:5" x14ac:dyDescent="0.2">
      <c r="C1255" t="s">
        <v>11</v>
      </c>
      <c r="E1255" s="3">
        <v>6</v>
      </c>
    </row>
    <row r="1257" spans="1:5" x14ac:dyDescent="0.2">
      <c r="A1257" t="s">
        <v>27</v>
      </c>
      <c r="B1257" s="1">
        <v>2.8999999999999998E-3</v>
      </c>
      <c r="C1257" t="s">
        <v>27</v>
      </c>
      <c r="E1257" s="3">
        <f>E1255*B1257</f>
        <v>1.7399999999999999E-2</v>
      </c>
    </row>
    <row r="1258" spans="1:5" x14ac:dyDescent="0.2">
      <c r="A1258" t="s">
        <v>15</v>
      </c>
      <c r="B1258" s="1">
        <v>7.7999999999999996E-3</v>
      </c>
      <c r="C1258" t="s">
        <v>15</v>
      </c>
      <c r="E1258" s="3">
        <f>E1255*B1258</f>
        <v>4.6799999999999994E-2</v>
      </c>
    </row>
    <row r="1259" spans="1:5" x14ac:dyDescent="0.2">
      <c r="A1259" t="s">
        <v>8</v>
      </c>
      <c r="B1259" s="1">
        <v>5.96E-2</v>
      </c>
      <c r="C1259" t="s">
        <v>8</v>
      </c>
      <c r="E1259" s="3">
        <f>E1255*B1259</f>
        <v>0.35760000000000003</v>
      </c>
    </row>
    <row r="1260" spans="1:5" x14ac:dyDescent="0.2">
      <c r="A1260" t="s">
        <v>9</v>
      </c>
      <c r="B1260" s="1">
        <v>1.8E-3</v>
      </c>
      <c r="C1260" t="s">
        <v>9</v>
      </c>
      <c r="E1260" s="3">
        <f>E1255*B1260</f>
        <v>1.0800000000000001E-2</v>
      </c>
    </row>
    <row r="1261" spans="1:5" x14ac:dyDescent="0.2">
      <c r="A1261" t="s">
        <v>7</v>
      </c>
      <c r="B1261" s="1">
        <v>5.0000000000000001E-4</v>
      </c>
      <c r="C1261" t="s">
        <v>7</v>
      </c>
      <c r="E1261">
        <f>E1255*B1261</f>
        <v>3.0000000000000001E-3</v>
      </c>
    </row>
    <row r="1262" spans="1:5" x14ac:dyDescent="0.2">
      <c r="A1262" t="s">
        <v>6</v>
      </c>
      <c r="B1262" s="1">
        <v>1.6999999999999999E-3</v>
      </c>
      <c r="C1262" t="s">
        <v>6</v>
      </c>
      <c r="E1262" s="3">
        <f>E1255*B1262</f>
        <v>1.0199999999999999E-2</v>
      </c>
    </row>
    <row r="1263" spans="1:5" x14ac:dyDescent="0.2">
      <c r="A1263" t="s">
        <v>163</v>
      </c>
      <c r="B1263" s="1">
        <v>1.1999999999999999E-3</v>
      </c>
      <c r="C1263" t="s">
        <v>163</v>
      </c>
      <c r="E1263" s="3">
        <f>E1255*B1263</f>
        <v>7.1999999999999998E-3</v>
      </c>
    </row>
    <row r="1264" spans="1:5" x14ac:dyDescent="0.2">
      <c r="A1264" t="s">
        <v>5</v>
      </c>
      <c r="B1264" s="1">
        <v>3.0000000000000001E-3</v>
      </c>
      <c r="C1264" t="s">
        <v>5</v>
      </c>
      <c r="E1264">
        <f>E1255*B1264</f>
        <v>1.8000000000000002E-2</v>
      </c>
    </row>
    <row r="1265" spans="1:5" x14ac:dyDescent="0.2">
      <c r="A1265" t="s">
        <v>3</v>
      </c>
      <c r="B1265" s="1">
        <v>1E-3</v>
      </c>
      <c r="C1265" t="s">
        <v>3</v>
      </c>
      <c r="E1265">
        <f>E1255*B1265</f>
        <v>6.0000000000000001E-3</v>
      </c>
    </row>
    <row r="1266" spans="1:5" x14ac:dyDescent="0.2">
      <c r="A1266" t="s">
        <v>4</v>
      </c>
      <c r="B1266" s="1">
        <v>8.0999999999999996E-3</v>
      </c>
      <c r="C1266" t="s">
        <v>4</v>
      </c>
      <c r="E1266" s="3">
        <f>E1255*B1266</f>
        <v>4.8599999999999997E-2</v>
      </c>
    </row>
    <row r="1267" spans="1:5" x14ac:dyDescent="0.2">
      <c r="A1267" t="s">
        <v>170</v>
      </c>
      <c r="B1267" s="1">
        <v>6.5799999999999997E-2</v>
      </c>
      <c r="C1267" t="s">
        <v>170</v>
      </c>
      <c r="E1267" s="3">
        <f>E1255*B1267</f>
        <v>0.39479999999999998</v>
      </c>
    </row>
    <row r="1268" spans="1:5" x14ac:dyDescent="0.2">
      <c r="A1268" t="s">
        <v>170</v>
      </c>
      <c r="B1268" s="1">
        <v>6.5799999999999997E-2</v>
      </c>
      <c r="C1268" t="s">
        <v>170</v>
      </c>
      <c r="E1268" s="3">
        <f>E1255*B1268</f>
        <v>0.39479999999999998</v>
      </c>
    </row>
    <row r="1269" spans="1:5" x14ac:dyDescent="0.2">
      <c r="A1269" t="s">
        <v>166</v>
      </c>
      <c r="B1269" s="1">
        <v>0.35089999999999999</v>
      </c>
      <c r="C1269" t="s">
        <v>166</v>
      </c>
      <c r="E1269" s="3">
        <f>E1255*B1269</f>
        <v>2.1053999999999999</v>
      </c>
    </row>
    <row r="1270" spans="1:5" x14ac:dyDescent="0.2">
      <c r="A1270" t="s">
        <v>41</v>
      </c>
      <c r="B1270" s="1">
        <v>0.35089999999999999</v>
      </c>
      <c r="C1270" t="s">
        <v>41</v>
      </c>
      <c r="E1270" s="3">
        <f>E1255*B1270</f>
        <v>2.1053999999999999</v>
      </c>
    </row>
    <row r="1271" spans="1:5" x14ac:dyDescent="0.2">
      <c r="A1271" t="s">
        <v>167</v>
      </c>
      <c r="B1271" s="2">
        <v>7.9000000000000001E-2</v>
      </c>
      <c r="C1271" t="s">
        <v>167</v>
      </c>
      <c r="E1271" s="5">
        <f>E1255*B1271</f>
        <v>0.47399999999999998</v>
      </c>
    </row>
    <row r="1272" spans="1:5" x14ac:dyDescent="0.2">
      <c r="B1272" s="1">
        <f>SUM(B1257:B1271)</f>
        <v>0.99999999999999989</v>
      </c>
      <c r="E1272" s="3">
        <f>SUM(E1257:E1271)</f>
        <v>6</v>
      </c>
    </row>
    <row r="1280" spans="1:5" x14ac:dyDescent="0.2">
      <c r="A1280" t="s">
        <v>53</v>
      </c>
      <c r="C1280" t="s">
        <v>11</v>
      </c>
      <c r="E1280" s="3">
        <v>37</v>
      </c>
    </row>
    <row r="1281" spans="1:5" x14ac:dyDescent="0.2">
      <c r="A1281" t="s">
        <v>173</v>
      </c>
    </row>
    <row r="1282" spans="1:5" x14ac:dyDescent="0.2">
      <c r="A1282" s="7">
        <v>43055</v>
      </c>
    </row>
    <row r="1286" spans="1:5" x14ac:dyDescent="0.2">
      <c r="B1286" s="1"/>
      <c r="E1286" s="3"/>
    </row>
    <row r="1287" spans="1:5" x14ac:dyDescent="0.2">
      <c r="A1287" t="s">
        <v>3</v>
      </c>
      <c r="B1287" s="1">
        <v>1.1999999999999999E-3</v>
      </c>
      <c r="C1287" t="s">
        <v>3</v>
      </c>
      <c r="E1287" s="3">
        <f>E1280*B1287</f>
        <v>4.4399999999999995E-2</v>
      </c>
    </row>
    <row r="1288" spans="1:5" x14ac:dyDescent="0.2">
      <c r="A1288" t="s">
        <v>30</v>
      </c>
      <c r="B1288" s="1">
        <v>5.9999999999999995E-4</v>
      </c>
      <c r="C1288" t="s">
        <v>30</v>
      </c>
      <c r="E1288">
        <f>E1280*B1288</f>
        <v>2.2199999999999998E-2</v>
      </c>
    </row>
    <row r="1289" spans="1:5" x14ac:dyDescent="0.2">
      <c r="A1289" t="s">
        <v>8</v>
      </c>
      <c r="B1289" s="1">
        <v>4.5900000000000003E-2</v>
      </c>
      <c r="C1289" t="s">
        <v>8</v>
      </c>
      <c r="E1289">
        <f>E1280*B1289</f>
        <v>1.6983000000000001</v>
      </c>
    </row>
    <row r="1290" spans="1:5" x14ac:dyDescent="0.2">
      <c r="A1290" t="s">
        <v>4</v>
      </c>
      <c r="B1290" s="1">
        <v>8.0000000000000002E-3</v>
      </c>
      <c r="C1290" t="s">
        <v>4</v>
      </c>
      <c r="E1290" s="3">
        <f>E1280*B1290</f>
        <v>0.29599999999999999</v>
      </c>
    </row>
    <row r="1291" spans="1:5" x14ac:dyDescent="0.2">
      <c r="A1291" t="s">
        <v>6</v>
      </c>
      <c r="B1291" s="1">
        <v>1.5E-3</v>
      </c>
      <c r="C1291" t="s">
        <v>6</v>
      </c>
      <c r="E1291" s="3">
        <f>E1280*B1291</f>
        <v>5.5500000000000001E-2</v>
      </c>
    </row>
    <row r="1292" spans="1:5" x14ac:dyDescent="0.2">
      <c r="A1292" t="s">
        <v>5</v>
      </c>
      <c r="B1292" s="1">
        <v>1.5E-3</v>
      </c>
      <c r="C1292" t="s">
        <v>5</v>
      </c>
      <c r="E1292" s="3">
        <f>E1280*B1292</f>
        <v>5.5500000000000001E-2</v>
      </c>
    </row>
    <row r="1293" spans="1:5" x14ac:dyDescent="0.2">
      <c r="A1293" t="s">
        <v>9</v>
      </c>
      <c r="B1293" s="1">
        <v>1.8E-3</v>
      </c>
      <c r="C1293" t="s">
        <v>9</v>
      </c>
      <c r="E1293" s="3">
        <f>E1280*B1293</f>
        <v>6.6599999999999993E-2</v>
      </c>
    </row>
    <row r="1294" spans="1:5" x14ac:dyDescent="0.2">
      <c r="A1294" t="s">
        <v>169</v>
      </c>
      <c r="B1294" s="1">
        <v>0.13500000000000001</v>
      </c>
      <c r="C1294" t="s">
        <v>170</v>
      </c>
      <c r="E1294">
        <f>E1280*B1294</f>
        <v>4.9950000000000001</v>
      </c>
    </row>
    <row r="1295" spans="1:5" x14ac:dyDescent="0.2">
      <c r="A1295" t="s">
        <v>43</v>
      </c>
      <c r="B1295" s="1">
        <v>0.2145</v>
      </c>
      <c r="C1295" t="s">
        <v>43</v>
      </c>
      <c r="E1295" s="3">
        <f>E1280*B1295</f>
        <v>7.9364999999999997</v>
      </c>
    </row>
    <row r="1296" spans="1:5" x14ac:dyDescent="0.2">
      <c r="A1296" t="s">
        <v>44</v>
      </c>
      <c r="B1296" s="2">
        <v>0.59</v>
      </c>
      <c r="C1296" t="s">
        <v>44</v>
      </c>
      <c r="E1296" s="4">
        <f>E1280*B1296</f>
        <v>21.83</v>
      </c>
    </row>
    <row r="1297" spans="1:5" x14ac:dyDescent="0.2">
      <c r="B1297" s="1">
        <f>SUM(B1286:B1296)</f>
        <v>1</v>
      </c>
      <c r="E1297" s="3">
        <f>SUM(E1286:E1296)</f>
        <v>37</v>
      </c>
    </row>
    <row r="1303" spans="1:5" x14ac:dyDescent="0.2">
      <c r="A1303" t="s">
        <v>181</v>
      </c>
      <c r="E1303" s="3">
        <v>1</v>
      </c>
    </row>
    <row r="1305" spans="1:5" x14ac:dyDescent="0.2">
      <c r="A1305" t="s">
        <v>178</v>
      </c>
      <c r="B1305" s="1">
        <v>0.5645</v>
      </c>
      <c r="C1305" t="s">
        <v>178</v>
      </c>
      <c r="E1305" s="3">
        <f>E1303*B1305</f>
        <v>0.5645</v>
      </c>
    </row>
    <row r="1306" spans="1:5" x14ac:dyDescent="0.2">
      <c r="A1306" t="s">
        <v>179</v>
      </c>
      <c r="B1306" s="1">
        <v>0.434</v>
      </c>
      <c r="C1306" t="s">
        <v>179</v>
      </c>
      <c r="E1306">
        <f>E1303*B1306</f>
        <v>0.434</v>
      </c>
    </row>
    <row r="1307" spans="1:5" x14ac:dyDescent="0.2">
      <c r="A1307" t="s">
        <v>180</v>
      </c>
      <c r="B1307" s="2">
        <v>1.5E-3</v>
      </c>
      <c r="C1307" t="s">
        <v>180</v>
      </c>
      <c r="E1307" s="4">
        <f>E1303*B1307</f>
        <v>1.5E-3</v>
      </c>
    </row>
    <row r="1308" spans="1:5" x14ac:dyDescent="0.2">
      <c r="B1308" s="1">
        <f>SUM(B1305:B1307)</f>
        <v>0.99999999999999989</v>
      </c>
      <c r="E1308" s="3">
        <f>SUM(E1305:E1307)</f>
        <v>0.99999999999999989</v>
      </c>
    </row>
    <row r="1316" spans="1:5" x14ac:dyDescent="0.2">
      <c r="E1316" s="3">
        <v>0.3</v>
      </c>
    </row>
    <row r="1317" spans="1:5" x14ac:dyDescent="0.2">
      <c r="A1317" t="s">
        <v>182</v>
      </c>
    </row>
    <row r="1320" spans="1:5" x14ac:dyDescent="0.2">
      <c r="A1320" t="s">
        <v>183</v>
      </c>
      <c r="B1320" s="1">
        <v>0.59140000000000004</v>
      </c>
      <c r="C1320" t="s">
        <v>182</v>
      </c>
      <c r="E1320" s="3">
        <f>E1316*B1320</f>
        <v>0.17741999999999999</v>
      </c>
    </row>
    <row r="1321" spans="1:5" x14ac:dyDescent="0.2">
      <c r="A1321" t="s">
        <v>184</v>
      </c>
      <c r="B1321" s="1">
        <v>0.40710000000000002</v>
      </c>
      <c r="C1321" t="s">
        <v>185</v>
      </c>
      <c r="E1321" s="3">
        <f>B1321*E1316</f>
        <v>0.12213</v>
      </c>
    </row>
    <row r="1322" spans="1:5" x14ac:dyDescent="0.2">
      <c r="A1322" t="s">
        <v>180</v>
      </c>
      <c r="B1322" s="2">
        <v>1.5E-3</v>
      </c>
      <c r="C1322" t="s">
        <v>180</v>
      </c>
      <c r="E1322" s="4">
        <f>E1316*B1322</f>
        <v>4.4999999999999999E-4</v>
      </c>
    </row>
    <row r="1323" spans="1:5" x14ac:dyDescent="0.2">
      <c r="B1323" s="1">
        <f>SUM(B1320:B1322)</f>
        <v>1</v>
      </c>
      <c r="E1323" s="3">
        <f>E1316*B1323</f>
        <v>0.3</v>
      </c>
    </row>
    <row r="1337" spans="1:5" x14ac:dyDescent="0.2">
      <c r="A1337" t="s">
        <v>14</v>
      </c>
      <c r="C1337" t="s">
        <v>11</v>
      </c>
      <c r="D1337" s="3">
        <v>1280</v>
      </c>
      <c r="E1337" s="3">
        <v>20</v>
      </c>
    </row>
    <row r="1338" spans="1:5" x14ac:dyDescent="0.2">
      <c r="A1338" t="s">
        <v>153</v>
      </c>
    </row>
    <row r="1341" spans="1:5" x14ac:dyDescent="0.2">
      <c r="B1341" s="1"/>
    </row>
    <row r="1342" spans="1:5" x14ac:dyDescent="0.2">
      <c r="A1342" t="s">
        <v>165</v>
      </c>
      <c r="B1342" s="1">
        <v>0.11020000000000001</v>
      </c>
      <c r="C1342" t="s">
        <v>190</v>
      </c>
      <c r="E1342" s="3">
        <f>E1337*B1342</f>
        <v>2.2040000000000002</v>
      </c>
    </row>
    <row r="1343" spans="1:5" x14ac:dyDescent="0.2">
      <c r="A1343" t="s">
        <v>16</v>
      </c>
      <c r="B1343" s="1">
        <v>0.60409999999999997</v>
      </c>
      <c r="C1343" t="s">
        <v>16</v>
      </c>
      <c r="E1343" s="3">
        <f>E1337*B1343</f>
        <v>12.081999999999999</v>
      </c>
    </row>
    <row r="1344" spans="1:5" x14ac:dyDescent="0.2">
      <c r="A1344" t="s">
        <v>17</v>
      </c>
      <c r="B1344" s="1">
        <v>0.05</v>
      </c>
      <c r="C1344" t="s">
        <v>17</v>
      </c>
      <c r="E1344" s="3">
        <f>E1337*B1344</f>
        <v>1</v>
      </c>
    </row>
    <row r="1345" spans="1:7" x14ac:dyDescent="0.2">
      <c r="A1345" t="s">
        <v>3</v>
      </c>
      <c r="B1345" s="1">
        <v>1.5E-3</v>
      </c>
      <c r="C1345" t="s">
        <v>3</v>
      </c>
      <c r="E1345" s="3">
        <f>E1337*B1345</f>
        <v>0.03</v>
      </c>
    </row>
    <row r="1346" spans="1:7" x14ac:dyDescent="0.2">
      <c r="A1346" t="s">
        <v>18</v>
      </c>
      <c r="B1346" s="1">
        <v>8.0000000000000002E-3</v>
      </c>
      <c r="C1346" t="s">
        <v>18</v>
      </c>
      <c r="E1346" s="3">
        <f>E1337*B1346</f>
        <v>0.16</v>
      </c>
    </row>
    <row r="1347" spans="1:7" x14ac:dyDescent="0.2">
      <c r="A1347" t="s">
        <v>5</v>
      </c>
      <c r="B1347" s="1">
        <v>1.4E-3</v>
      </c>
      <c r="C1347" t="s">
        <v>5</v>
      </c>
      <c r="E1347">
        <f>E1337*B1347</f>
        <v>2.8000000000000001E-2</v>
      </c>
    </row>
    <row r="1348" spans="1:7" x14ac:dyDescent="0.2">
      <c r="A1348" t="s">
        <v>7</v>
      </c>
      <c r="B1348" s="1">
        <v>5.0000000000000001E-4</v>
      </c>
      <c r="C1348" t="s">
        <v>7</v>
      </c>
      <c r="E1348" s="3">
        <f>E1337*B1348</f>
        <v>0.01</v>
      </c>
    </row>
    <row r="1349" spans="1:7" x14ac:dyDescent="0.2">
      <c r="A1349" t="s">
        <v>8</v>
      </c>
      <c r="B1349" s="1">
        <v>7.1900000000000006E-2</v>
      </c>
      <c r="C1349" t="s">
        <v>8</v>
      </c>
      <c r="E1349" s="3">
        <f>E1337*B1349</f>
        <v>1.4380000000000002</v>
      </c>
    </row>
    <row r="1350" spans="1:7" x14ac:dyDescent="0.2">
      <c r="A1350" t="s">
        <v>189</v>
      </c>
      <c r="B1350" s="1">
        <v>0.15</v>
      </c>
      <c r="C1350" t="s">
        <v>188</v>
      </c>
      <c r="E1350" s="3">
        <f>E1337*B1350</f>
        <v>3</v>
      </c>
    </row>
    <row r="1351" spans="1:7" x14ac:dyDescent="0.2">
      <c r="A1351" t="s">
        <v>9</v>
      </c>
      <c r="B1351" s="1">
        <v>8.9999999999999998E-4</v>
      </c>
      <c r="C1351" t="s">
        <v>9</v>
      </c>
      <c r="E1351" s="3">
        <f>E1337*B1351</f>
        <v>1.7999999999999999E-2</v>
      </c>
    </row>
    <row r="1352" spans="1:7" x14ac:dyDescent="0.2">
      <c r="A1352" t="s">
        <v>21</v>
      </c>
      <c r="B1352" s="2">
        <v>1.5E-3</v>
      </c>
      <c r="C1352" t="s">
        <v>21</v>
      </c>
      <c r="E1352" s="4">
        <f>E1337*B1352</f>
        <v>0.03</v>
      </c>
    </row>
    <row r="1353" spans="1:7" x14ac:dyDescent="0.2">
      <c r="B1353" s="1">
        <f>SUM(B1342:B1352)</f>
        <v>0.99999999999999978</v>
      </c>
      <c r="E1353" s="3">
        <f>SUM(E1342:E1352)</f>
        <v>20</v>
      </c>
    </row>
    <row r="1356" spans="1:7" x14ac:dyDescent="0.2">
      <c r="B1356" s="1"/>
      <c r="E1356" s="3"/>
      <c r="F1356" s="8"/>
      <c r="G1356" s="8"/>
    </row>
    <row r="1357" spans="1:7" x14ac:dyDescent="0.2">
      <c r="B1357" s="1"/>
      <c r="E1357" s="3"/>
      <c r="F1357" s="8"/>
      <c r="G1357" s="12"/>
    </row>
    <row r="1358" spans="1:7" x14ac:dyDescent="0.2">
      <c r="B1358" s="1"/>
      <c r="E1358" s="3"/>
      <c r="F1358" s="8"/>
      <c r="G1358" s="8"/>
    </row>
    <row r="1359" spans="1:7" x14ac:dyDescent="0.2">
      <c r="B1359" s="1"/>
      <c r="E1359" s="3"/>
      <c r="F1359" s="8"/>
      <c r="G1359" s="8"/>
    </row>
    <row r="1361" spans="1:7" x14ac:dyDescent="0.2">
      <c r="A1361" t="s">
        <v>31</v>
      </c>
      <c r="C1361" t="s">
        <v>11</v>
      </c>
      <c r="E1361" s="3">
        <v>810</v>
      </c>
    </row>
    <row r="1362" spans="1:7" x14ac:dyDescent="0.2">
      <c r="A1362" t="s">
        <v>191</v>
      </c>
    </row>
    <row r="1366" spans="1:7" x14ac:dyDescent="0.2">
      <c r="A1366" t="s">
        <v>43</v>
      </c>
      <c r="B1366" s="1">
        <v>0.1799</v>
      </c>
      <c r="C1366" t="s">
        <v>43</v>
      </c>
      <c r="E1366" s="3">
        <f>B1366*E1361</f>
        <v>145.71899999999999</v>
      </c>
      <c r="F1366" s="8">
        <v>1.48</v>
      </c>
      <c r="G1366" s="8">
        <f>E1366*F1366</f>
        <v>215.66412</v>
      </c>
    </row>
    <row r="1367" spans="1:7" x14ac:dyDescent="0.2">
      <c r="A1367" t="s">
        <v>27</v>
      </c>
      <c r="B1367" s="1">
        <v>6.4999999999999997E-3</v>
      </c>
      <c r="C1367" t="s">
        <v>27</v>
      </c>
      <c r="E1367" s="3">
        <f>E1361*B1367</f>
        <v>5.2649999999999997</v>
      </c>
      <c r="F1367" s="8">
        <v>60.98</v>
      </c>
      <c r="G1367" s="8">
        <f>E1367*F1367</f>
        <v>321.05969999999996</v>
      </c>
    </row>
    <row r="1368" spans="1:7" x14ac:dyDescent="0.2">
      <c r="A1368" t="s">
        <v>8</v>
      </c>
      <c r="B1368" s="1">
        <v>0.29170000000000001</v>
      </c>
      <c r="C1368" t="s">
        <v>8</v>
      </c>
      <c r="E1368" s="3">
        <f>E1361*B1368</f>
        <v>236.27700000000002</v>
      </c>
      <c r="F1368" s="8">
        <v>0</v>
      </c>
      <c r="G1368" s="12">
        <f>E1368*F1368</f>
        <v>0</v>
      </c>
    </row>
    <row r="1369" spans="1:7" x14ac:dyDescent="0.2">
      <c r="A1369" t="s">
        <v>30</v>
      </c>
      <c r="B1369" s="1">
        <v>1.1999999999999999E-3</v>
      </c>
      <c r="C1369" t="s">
        <v>30</v>
      </c>
      <c r="E1369" s="3">
        <f>E1361*B1369</f>
        <v>0.97199999999999986</v>
      </c>
      <c r="F1369" s="8">
        <v>25</v>
      </c>
      <c r="G1369" s="8">
        <f>E1369*F1369</f>
        <v>24.299999999999997</v>
      </c>
    </row>
    <row r="1370" spans="1:7" x14ac:dyDescent="0.2">
      <c r="A1370" t="s">
        <v>7</v>
      </c>
      <c r="B1370" s="1">
        <v>6.9999999999999999E-4</v>
      </c>
      <c r="C1370" t="s">
        <v>7</v>
      </c>
      <c r="E1370" s="3">
        <f>E1361*B1370</f>
        <v>0.56699999999999995</v>
      </c>
      <c r="F1370" s="8">
        <v>129</v>
      </c>
      <c r="G1370" s="8">
        <f>E1370*F1370</f>
        <v>73.142999999999986</v>
      </c>
    </row>
    <row r="1371" spans="1:7" x14ac:dyDescent="0.2">
      <c r="A1371" t="s">
        <v>6</v>
      </c>
      <c r="B1371" s="1">
        <v>2.8999999999999998E-3</v>
      </c>
      <c r="C1371" t="s">
        <v>6</v>
      </c>
      <c r="E1371" s="3">
        <f>E1361*B1371</f>
        <v>2.3489999999999998</v>
      </c>
      <c r="F1371" s="8">
        <v>61.48</v>
      </c>
      <c r="G1371" s="8">
        <f t="shared" ref="G1371:G1378" si="12">E1371*F1371</f>
        <v>144.41651999999999</v>
      </c>
    </row>
    <row r="1372" spans="1:7" x14ac:dyDescent="0.2">
      <c r="A1372" t="s">
        <v>5</v>
      </c>
      <c r="B1372" s="1">
        <v>3.0000000000000001E-3</v>
      </c>
      <c r="C1372" t="s">
        <v>5</v>
      </c>
      <c r="E1372" s="3">
        <f>E1361*B1372</f>
        <v>2.4300000000000002</v>
      </c>
      <c r="F1372" s="8">
        <v>61.48</v>
      </c>
      <c r="G1372" s="8">
        <f t="shared" si="12"/>
        <v>149.3964</v>
      </c>
    </row>
    <row r="1373" spans="1:7" x14ac:dyDescent="0.2">
      <c r="A1373" t="s">
        <v>32</v>
      </c>
      <c r="B1373" s="1">
        <v>5.0000000000000001E-3</v>
      </c>
      <c r="C1373" t="s">
        <v>32</v>
      </c>
      <c r="E1373" s="3">
        <f>E1361*B1373</f>
        <v>4.05</v>
      </c>
      <c r="F1373" s="8">
        <v>26.6</v>
      </c>
      <c r="G1373" s="8">
        <f t="shared" si="12"/>
        <v>107.73</v>
      </c>
    </row>
    <row r="1374" spans="1:7" x14ac:dyDescent="0.2">
      <c r="A1374" t="s">
        <v>3</v>
      </c>
      <c r="B1374" s="1">
        <v>1.4E-3</v>
      </c>
      <c r="C1374" t="s">
        <v>3</v>
      </c>
      <c r="E1374" s="3">
        <f>E1361*B1374</f>
        <v>1.1339999999999999</v>
      </c>
      <c r="F1374" s="8">
        <v>86.67</v>
      </c>
      <c r="G1374" s="8">
        <f t="shared" si="12"/>
        <v>98.283779999999993</v>
      </c>
    </row>
    <row r="1375" spans="1:7" x14ac:dyDescent="0.2">
      <c r="A1375" t="s">
        <v>33</v>
      </c>
      <c r="B1375" s="1">
        <v>0.25</v>
      </c>
      <c r="C1375" t="s">
        <v>33</v>
      </c>
      <c r="E1375" s="3">
        <f>E1361*B1375</f>
        <v>202.5</v>
      </c>
      <c r="F1375" s="8">
        <v>3</v>
      </c>
      <c r="G1375" s="8">
        <f t="shared" si="12"/>
        <v>607.5</v>
      </c>
    </row>
    <row r="1376" spans="1:7" x14ac:dyDescent="0.2">
      <c r="A1376" t="s">
        <v>174</v>
      </c>
      <c r="B1376" s="1">
        <v>0.18</v>
      </c>
      <c r="C1376" t="s">
        <v>174</v>
      </c>
      <c r="E1376" s="3">
        <f>E1361*B1376</f>
        <v>145.79999999999998</v>
      </c>
      <c r="F1376" s="8">
        <v>20.14</v>
      </c>
      <c r="G1376" s="8">
        <f t="shared" si="12"/>
        <v>2936.4119999999998</v>
      </c>
    </row>
    <row r="1377" spans="1:7" x14ac:dyDescent="0.2">
      <c r="A1377" t="s">
        <v>15</v>
      </c>
      <c r="B1377" s="1">
        <v>7.4999999999999997E-2</v>
      </c>
      <c r="C1377" t="s">
        <v>15</v>
      </c>
      <c r="E1377" s="3">
        <f>E1361*B1377</f>
        <v>60.75</v>
      </c>
      <c r="F1377" s="8">
        <v>69.34</v>
      </c>
      <c r="G1377" s="8">
        <f t="shared" si="12"/>
        <v>4212.4050000000007</v>
      </c>
    </row>
    <row r="1378" spans="1:7" x14ac:dyDescent="0.2">
      <c r="A1378" t="s">
        <v>9</v>
      </c>
      <c r="B1378" s="2">
        <v>2.7000000000000001E-3</v>
      </c>
      <c r="C1378" t="s">
        <v>9</v>
      </c>
      <c r="E1378" s="4">
        <f>E1361*B1378</f>
        <v>2.1870000000000003</v>
      </c>
      <c r="F1378" s="11">
        <v>191.48</v>
      </c>
      <c r="G1378" s="11">
        <f t="shared" si="12"/>
        <v>418.76676000000003</v>
      </c>
    </row>
    <row r="1379" spans="1:7" x14ac:dyDescent="0.2">
      <c r="B1379" s="1">
        <f>SUM(B1366:B1378)</f>
        <v>0.99999999999999989</v>
      </c>
      <c r="E1379" s="3">
        <f>SUM(E1365:E1378)</f>
        <v>809.99999999999989</v>
      </c>
      <c r="F1379" s="8">
        <f>SUM(F1367:F1378)</f>
        <v>735.17000000000007</v>
      </c>
      <c r="G1379" s="8">
        <f>SUM(G1367:G1378)</f>
        <v>9093.4131600000019</v>
      </c>
    </row>
    <row r="1385" spans="1:7" x14ac:dyDescent="0.2">
      <c r="A1385" t="s">
        <v>31</v>
      </c>
      <c r="C1385" t="s">
        <v>11</v>
      </c>
      <c r="E1385" s="3">
        <v>2</v>
      </c>
    </row>
    <row r="1386" spans="1:7" x14ac:dyDescent="0.2">
      <c r="A1386" t="s">
        <v>43</v>
      </c>
    </row>
    <row r="1390" spans="1:7" x14ac:dyDescent="0.2">
      <c r="B1390" s="1"/>
      <c r="E1390" s="3"/>
      <c r="F1390" s="8"/>
      <c r="G1390" s="8"/>
    </row>
    <row r="1391" spans="1:7" x14ac:dyDescent="0.2">
      <c r="A1391" t="s">
        <v>27</v>
      </c>
      <c r="B1391" s="1">
        <v>6.4999999999999997E-3</v>
      </c>
      <c r="C1391" t="s">
        <v>27</v>
      </c>
      <c r="E1391" s="3">
        <f>E1385*B1391</f>
        <v>1.2999999999999999E-2</v>
      </c>
      <c r="F1391" s="8">
        <v>60.98</v>
      </c>
      <c r="G1391" s="8">
        <f>E1391*F1391</f>
        <v>0.79273999999999989</v>
      </c>
    </row>
    <row r="1392" spans="1:7" x14ac:dyDescent="0.2">
      <c r="A1392" t="s">
        <v>8</v>
      </c>
      <c r="B1392" s="1">
        <v>0.29170000000000001</v>
      </c>
      <c r="C1392" t="s">
        <v>8</v>
      </c>
      <c r="E1392" s="3">
        <f>E1385*B1392</f>
        <v>0.58340000000000003</v>
      </c>
      <c r="F1392" s="8">
        <v>0</v>
      </c>
      <c r="G1392" s="12">
        <f>E1392*F1392</f>
        <v>0</v>
      </c>
    </row>
    <row r="1393" spans="1:7" x14ac:dyDescent="0.2">
      <c r="A1393" t="s">
        <v>30</v>
      </c>
      <c r="B1393" s="1">
        <v>1.1999999999999999E-3</v>
      </c>
      <c r="C1393" t="s">
        <v>30</v>
      </c>
      <c r="E1393" s="3">
        <f>E1385*B1393</f>
        <v>2.3999999999999998E-3</v>
      </c>
      <c r="F1393" s="8">
        <v>25</v>
      </c>
      <c r="G1393" s="8">
        <f>E1393*F1393</f>
        <v>0.06</v>
      </c>
    </row>
    <row r="1394" spans="1:7" x14ac:dyDescent="0.2">
      <c r="A1394" t="s">
        <v>7</v>
      </c>
      <c r="B1394" s="1">
        <v>6.9999999999999999E-4</v>
      </c>
      <c r="C1394" t="s">
        <v>7</v>
      </c>
      <c r="E1394" s="3">
        <f>E1385*B1394</f>
        <v>1.4E-3</v>
      </c>
      <c r="F1394" s="8">
        <v>129</v>
      </c>
      <c r="G1394" s="8">
        <f>E1394*F1394</f>
        <v>0.18060000000000001</v>
      </c>
    </row>
    <row r="1395" spans="1:7" x14ac:dyDescent="0.2">
      <c r="A1395" t="s">
        <v>6</v>
      </c>
      <c r="B1395" s="1">
        <v>2.8999999999999998E-3</v>
      </c>
      <c r="C1395" t="s">
        <v>6</v>
      </c>
      <c r="E1395" s="3">
        <f>E1385*B1395</f>
        <v>5.7999999999999996E-3</v>
      </c>
      <c r="F1395" s="8">
        <v>61.48</v>
      </c>
      <c r="G1395" s="8">
        <f t="shared" ref="G1395:G1402" si="13">E1395*F1395</f>
        <v>0.35658399999999996</v>
      </c>
    </row>
    <row r="1396" spans="1:7" x14ac:dyDescent="0.2">
      <c r="A1396" t="s">
        <v>5</v>
      </c>
      <c r="B1396" s="1">
        <v>3.0000000000000001E-3</v>
      </c>
      <c r="C1396" t="s">
        <v>5</v>
      </c>
      <c r="E1396" s="3">
        <f>E1385*B1396</f>
        <v>6.0000000000000001E-3</v>
      </c>
      <c r="F1396" s="8">
        <v>61.48</v>
      </c>
      <c r="G1396" s="8">
        <f t="shared" si="13"/>
        <v>0.36887999999999999</v>
      </c>
    </row>
    <row r="1397" spans="1:7" x14ac:dyDescent="0.2">
      <c r="A1397" t="s">
        <v>32</v>
      </c>
      <c r="B1397" s="1">
        <v>5.0000000000000001E-3</v>
      </c>
      <c r="C1397" t="s">
        <v>32</v>
      </c>
      <c r="E1397" s="3">
        <f>E1385*B1397</f>
        <v>0.01</v>
      </c>
      <c r="F1397" s="8">
        <v>26.6</v>
      </c>
      <c r="G1397" s="8">
        <f t="shared" si="13"/>
        <v>0.26600000000000001</v>
      </c>
    </row>
    <row r="1398" spans="1:7" x14ac:dyDescent="0.2">
      <c r="A1398" t="s">
        <v>3</v>
      </c>
      <c r="B1398" s="1">
        <v>1.4E-3</v>
      </c>
      <c r="C1398" t="s">
        <v>3</v>
      </c>
      <c r="E1398" s="3">
        <f>E1385*B1398</f>
        <v>2.8E-3</v>
      </c>
      <c r="F1398" s="8">
        <v>86.67</v>
      </c>
      <c r="G1398" s="8">
        <f t="shared" si="13"/>
        <v>0.242676</v>
      </c>
    </row>
    <row r="1399" spans="1:7" x14ac:dyDescent="0.2">
      <c r="A1399" t="s">
        <v>43</v>
      </c>
      <c r="B1399" s="1">
        <v>0.41739999999999999</v>
      </c>
      <c r="C1399" t="s">
        <v>43</v>
      </c>
      <c r="E1399" s="3">
        <f>E1385*B1399</f>
        <v>0.83479999999999999</v>
      </c>
      <c r="F1399" s="8">
        <v>3</v>
      </c>
      <c r="G1399" s="8">
        <f t="shared" si="13"/>
        <v>2.5044</v>
      </c>
    </row>
    <row r="1400" spans="1:7" x14ac:dyDescent="0.2">
      <c r="A1400" t="s">
        <v>174</v>
      </c>
      <c r="B1400" s="1">
        <v>0.18</v>
      </c>
      <c r="C1400" t="s">
        <v>174</v>
      </c>
      <c r="E1400" s="3">
        <f>E1385*B1400</f>
        <v>0.36</v>
      </c>
      <c r="F1400" s="8">
        <v>20.14</v>
      </c>
      <c r="G1400" s="8">
        <f t="shared" si="13"/>
        <v>7.2504</v>
      </c>
    </row>
    <row r="1401" spans="1:7" x14ac:dyDescent="0.2">
      <c r="A1401" t="s">
        <v>15</v>
      </c>
      <c r="B1401" s="1">
        <v>8.7499999999999994E-2</v>
      </c>
      <c r="C1401" t="s">
        <v>15</v>
      </c>
      <c r="E1401" s="3">
        <f>E1385*B1401</f>
        <v>0.17499999999999999</v>
      </c>
      <c r="F1401" s="8">
        <v>69.34</v>
      </c>
      <c r="G1401" s="8">
        <f t="shared" si="13"/>
        <v>12.134499999999999</v>
      </c>
    </row>
    <row r="1402" spans="1:7" x14ac:dyDescent="0.2">
      <c r="A1402" t="s">
        <v>9</v>
      </c>
      <c r="B1402" s="2">
        <v>2.7000000000000001E-3</v>
      </c>
      <c r="C1402" t="s">
        <v>9</v>
      </c>
      <c r="E1402" s="4">
        <f>E1385*B1402</f>
        <v>5.4000000000000003E-3</v>
      </c>
      <c r="F1402" s="11">
        <v>191.48</v>
      </c>
      <c r="G1402" s="11">
        <f t="shared" si="13"/>
        <v>1.033992</v>
      </c>
    </row>
    <row r="1403" spans="1:7" x14ac:dyDescent="0.2">
      <c r="B1403" s="1">
        <f>SUM(B1390:B1402)</f>
        <v>1</v>
      </c>
      <c r="E1403" s="3">
        <f>SUM(E1389:E1402)</f>
        <v>2</v>
      </c>
      <c r="F1403" s="8">
        <f>SUM(F1391:F1402)</f>
        <v>735.17000000000007</v>
      </c>
      <c r="G1403" s="8">
        <f>SUM(G1391:G1402)</f>
        <v>25.190771999999999</v>
      </c>
    </row>
    <row r="1412" spans="1:8" x14ac:dyDescent="0.2">
      <c r="H1412">
        <f>37.5*7</f>
        <v>262.5</v>
      </c>
    </row>
    <row r="1414" spans="1:8" x14ac:dyDescent="0.2">
      <c r="A1414" t="s">
        <v>53</v>
      </c>
      <c r="C1414" t="s">
        <v>11</v>
      </c>
      <c r="E1414" s="3">
        <v>262</v>
      </c>
    </row>
    <row r="1416" spans="1:8" x14ac:dyDescent="0.2">
      <c r="A1416" s="7">
        <v>43539</v>
      </c>
    </row>
    <row r="1420" spans="1:8" x14ac:dyDescent="0.2">
      <c r="A1420" t="s">
        <v>192</v>
      </c>
      <c r="B1420" s="1">
        <v>0.14000000000000001</v>
      </c>
      <c r="C1420" t="s">
        <v>192</v>
      </c>
      <c r="E1420" s="3">
        <f>E1414*B1420</f>
        <v>36.680000000000007</v>
      </c>
      <c r="F1420" s="8">
        <v>10.47</v>
      </c>
      <c r="G1420" s="8">
        <f>E1420*F1420</f>
        <v>384.03960000000012</v>
      </c>
    </row>
    <row r="1421" spans="1:8" x14ac:dyDescent="0.2">
      <c r="A1421" t="s">
        <v>3</v>
      </c>
      <c r="B1421" s="1">
        <v>1.1999999999999999E-3</v>
      </c>
      <c r="C1421" t="s">
        <v>3</v>
      </c>
      <c r="E1421" s="3">
        <f>E1414*B1421</f>
        <v>0.31439999999999996</v>
      </c>
      <c r="F1421" s="8">
        <v>86.67</v>
      </c>
      <c r="G1421" s="8">
        <f t="shared" ref="G1421:G1430" si="14">E1421*F1421</f>
        <v>27.249047999999998</v>
      </c>
    </row>
    <row r="1422" spans="1:8" x14ac:dyDescent="0.2">
      <c r="A1422" t="s">
        <v>30</v>
      </c>
      <c r="B1422" s="1">
        <v>5.9999999999999995E-4</v>
      </c>
      <c r="C1422" t="s">
        <v>30</v>
      </c>
      <c r="E1422" s="3">
        <f>E1414*B1422</f>
        <v>0.15719999999999998</v>
      </c>
      <c r="F1422" s="8">
        <v>25</v>
      </c>
      <c r="G1422" s="8">
        <f t="shared" si="14"/>
        <v>3.9299999999999993</v>
      </c>
    </row>
    <row r="1423" spans="1:8" x14ac:dyDescent="0.2">
      <c r="A1423" t="s">
        <v>8</v>
      </c>
      <c r="B1423" s="1">
        <v>8.6999999999999994E-2</v>
      </c>
      <c r="C1423" t="s">
        <v>8</v>
      </c>
      <c r="E1423" s="3">
        <f>E1414*B1423</f>
        <v>22.793999999999997</v>
      </c>
      <c r="F1423" s="8">
        <v>0</v>
      </c>
      <c r="G1423" s="12">
        <f t="shared" si="14"/>
        <v>0</v>
      </c>
    </row>
    <row r="1424" spans="1:8" x14ac:dyDescent="0.2">
      <c r="A1424" t="s">
        <v>4</v>
      </c>
      <c r="B1424" s="1">
        <v>8.0000000000000002E-3</v>
      </c>
      <c r="C1424" t="s">
        <v>4</v>
      </c>
      <c r="E1424" s="3">
        <f>E1414*B1424</f>
        <v>2.0960000000000001</v>
      </c>
      <c r="F1424" s="8">
        <v>26.6</v>
      </c>
      <c r="G1424" s="8">
        <f t="shared" si="14"/>
        <v>55.753600000000006</v>
      </c>
    </row>
    <row r="1425" spans="1:7" x14ac:dyDescent="0.2">
      <c r="A1425" t="s">
        <v>6</v>
      </c>
      <c r="B1425" s="1">
        <v>1.5E-3</v>
      </c>
      <c r="C1425" t="s">
        <v>6</v>
      </c>
      <c r="E1425" s="3">
        <f>E1414*B1425</f>
        <v>0.39300000000000002</v>
      </c>
      <c r="F1425" s="8">
        <v>61.48</v>
      </c>
      <c r="G1425" s="8">
        <f t="shared" si="14"/>
        <v>24.161639999999998</v>
      </c>
    </row>
    <row r="1426" spans="1:7" x14ac:dyDescent="0.2">
      <c r="A1426" t="s">
        <v>5</v>
      </c>
      <c r="B1426" s="1">
        <v>1.5E-3</v>
      </c>
      <c r="C1426" t="s">
        <v>5</v>
      </c>
      <c r="E1426" s="3">
        <f>E1414*B1426</f>
        <v>0.39300000000000002</v>
      </c>
      <c r="F1426" s="8">
        <v>61.48</v>
      </c>
      <c r="G1426" s="8">
        <f t="shared" si="14"/>
        <v>24.161639999999998</v>
      </c>
    </row>
    <row r="1427" spans="1:7" x14ac:dyDescent="0.2">
      <c r="A1427" t="s">
        <v>9</v>
      </c>
      <c r="B1427" s="1">
        <v>8.9999999999999998E-4</v>
      </c>
      <c r="C1427" t="s">
        <v>9</v>
      </c>
      <c r="E1427" s="3">
        <f>E1414*B1427</f>
        <v>0.23579999999999998</v>
      </c>
      <c r="F1427" s="8">
        <v>191.48</v>
      </c>
      <c r="G1427" s="8">
        <f t="shared" si="14"/>
        <v>45.150983999999994</v>
      </c>
    </row>
    <row r="1428" spans="1:7" x14ac:dyDescent="0.2">
      <c r="A1428" t="s">
        <v>186</v>
      </c>
      <c r="B1428" s="1">
        <v>9.0999999999999998E-2</v>
      </c>
      <c r="C1428" t="str">
        <f>A1428</f>
        <v>RESINA   W-4535</v>
      </c>
      <c r="E1428" s="3">
        <f>E1414*B1428</f>
        <v>23.841999999999999</v>
      </c>
      <c r="F1428" s="8">
        <v>20.14</v>
      </c>
      <c r="G1428" s="8">
        <f t="shared" si="14"/>
        <v>480.17788000000002</v>
      </c>
    </row>
    <row r="1429" spans="1:7" x14ac:dyDescent="0.2">
      <c r="A1429" t="s">
        <v>43</v>
      </c>
      <c r="B1429" s="1">
        <v>0.23</v>
      </c>
      <c r="C1429" t="s">
        <v>43</v>
      </c>
      <c r="E1429" s="3">
        <f>E1414*B1429</f>
        <v>60.260000000000005</v>
      </c>
      <c r="F1429" s="8">
        <v>1.48</v>
      </c>
      <c r="G1429" s="8">
        <f t="shared" si="14"/>
        <v>89.18480000000001</v>
      </c>
    </row>
    <row r="1430" spans="1:7" x14ac:dyDescent="0.2">
      <c r="A1430" t="s">
        <v>44</v>
      </c>
      <c r="B1430" s="2">
        <v>0.43830000000000002</v>
      </c>
      <c r="C1430" t="s">
        <v>44</v>
      </c>
      <c r="E1430" s="4">
        <f>E1414*B1430</f>
        <v>114.83460000000001</v>
      </c>
      <c r="F1430" s="11">
        <v>1.1499999999999999</v>
      </c>
      <c r="G1430" s="11">
        <f t="shared" si="14"/>
        <v>132.05978999999999</v>
      </c>
    </row>
    <row r="1431" spans="1:7" x14ac:dyDescent="0.2">
      <c r="B1431" s="1">
        <f>SUM(B1420:B1430)</f>
        <v>1</v>
      </c>
      <c r="E1431" s="3">
        <f>SUM(E1420:E1430)</f>
        <v>262</v>
      </c>
      <c r="F1431" s="8">
        <f>SUM(F1421:F1430)</f>
        <v>475.48</v>
      </c>
      <c r="G1431" s="8">
        <f>SUM(G1420:G1430)</f>
        <v>1265.8689820000002</v>
      </c>
    </row>
    <row r="1440" spans="1:7" x14ac:dyDescent="0.2">
      <c r="A1440" t="s">
        <v>208</v>
      </c>
    </row>
    <row r="1441" spans="1:7" x14ac:dyDescent="0.2">
      <c r="A1441" t="s">
        <v>0</v>
      </c>
      <c r="C1441" t="s">
        <v>11</v>
      </c>
      <c r="D1441" s="3">
        <v>1280</v>
      </c>
      <c r="E1441" s="3">
        <v>32</v>
      </c>
    </row>
    <row r="1442" spans="1:7" x14ac:dyDescent="0.2">
      <c r="A1442" s="7" t="s">
        <v>204</v>
      </c>
    </row>
    <row r="1445" spans="1:7" x14ac:dyDescent="0.2">
      <c r="B1445" s="1"/>
    </row>
    <row r="1446" spans="1:7" x14ac:dyDescent="0.2">
      <c r="B1446" s="1"/>
      <c r="E1446" s="3"/>
      <c r="F1446" s="8"/>
      <c r="G1446" s="8"/>
    </row>
    <row r="1447" spans="1:7" x14ac:dyDescent="0.2">
      <c r="A1447" t="s">
        <v>16</v>
      </c>
      <c r="B1447" s="1">
        <v>0.62990000000000002</v>
      </c>
      <c r="C1447" t="s">
        <v>16</v>
      </c>
      <c r="E1447" s="3">
        <f>E1441*B1447</f>
        <v>20.1568</v>
      </c>
      <c r="F1447" s="8">
        <v>1.48</v>
      </c>
      <c r="G1447" s="8">
        <f t="shared" ref="G1447:G1456" si="15">E1447*F1447</f>
        <v>29.832063999999999</v>
      </c>
    </row>
    <row r="1448" spans="1:7" x14ac:dyDescent="0.2">
      <c r="A1448" t="s">
        <v>17</v>
      </c>
      <c r="B1448" s="1">
        <v>0.05</v>
      </c>
      <c r="C1448" t="s">
        <v>17</v>
      </c>
      <c r="E1448" s="3">
        <f>E1441*B1448</f>
        <v>1.6</v>
      </c>
      <c r="F1448" s="8">
        <v>3</v>
      </c>
      <c r="G1448" s="8">
        <f t="shared" si="15"/>
        <v>4.8000000000000007</v>
      </c>
    </row>
    <row r="1449" spans="1:7" x14ac:dyDescent="0.2">
      <c r="A1449" t="s">
        <v>3</v>
      </c>
      <c r="B1449" s="1">
        <v>1.5E-3</v>
      </c>
      <c r="C1449" t="s">
        <v>3</v>
      </c>
      <c r="E1449" s="3">
        <f>E1441*B1449</f>
        <v>4.8000000000000001E-2</v>
      </c>
      <c r="F1449" s="8">
        <v>86.67</v>
      </c>
      <c r="G1449" s="8">
        <f t="shared" si="15"/>
        <v>4.1601600000000003</v>
      </c>
    </row>
    <row r="1450" spans="1:7" x14ac:dyDescent="0.2">
      <c r="A1450" t="s">
        <v>18</v>
      </c>
      <c r="B1450" s="1">
        <v>8.0000000000000002E-3</v>
      </c>
      <c r="C1450" t="s">
        <v>18</v>
      </c>
      <c r="E1450" s="3">
        <f>E1441*B1450</f>
        <v>0.25600000000000001</v>
      </c>
      <c r="F1450" s="8">
        <v>26.6</v>
      </c>
      <c r="G1450" s="8">
        <f t="shared" si="15"/>
        <v>6.8096000000000005</v>
      </c>
    </row>
    <row r="1451" spans="1:7" x14ac:dyDescent="0.2">
      <c r="A1451" t="s">
        <v>5</v>
      </c>
      <c r="B1451" s="1">
        <v>1.4E-3</v>
      </c>
      <c r="C1451" t="s">
        <v>5</v>
      </c>
      <c r="E1451">
        <f>E1441*B1451</f>
        <v>4.48E-2</v>
      </c>
      <c r="F1451" s="8">
        <v>61.48</v>
      </c>
      <c r="G1451" s="8">
        <f t="shared" si="15"/>
        <v>2.7543039999999999</v>
      </c>
    </row>
    <row r="1452" spans="1:7" x14ac:dyDescent="0.2">
      <c r="A1452" t="s">
        <v>7</v>
      </c>
      <c r="B1452" s="1">
        <v>5.0000000000000001E-4</v>
      </c>
      <c r="C1452" t="s">
        <v>7</v>
      </c>
      <c r="E1452" s="3">
        <f>E1441*B1452</f>
        <v>1.6E-2</v>
      </c>
      <c r="F1452" s="8">
        <v>129</v>
      </c>
      <c r="G1452" s="8">
        <f t="shared" si="15"/>
        <v>2.0640000000000001</v>
      </c>
    </row>
    <row r="1453" spans="1:7" x14ac:dyDescent="0.2">
      <c r="A1453" t="s">
        <v>8</v>
      </c>
      <c r="B1453" s="1">
        <v>7.1900000000000006E-2</v>
      </c>
      <c r="C1453" t="s">
        <v>8</v>
      </c>
      <c r="E1453" s="3">
        <f>E1441*B1453</f>
        <v>2.3008000000000002</v>
      </c>
      <c r="F1453" s="8">
        <v>0</v>
      </c>
      <c r="G1453" s="12">
        <f t="shared" si="15"/>
        <v>0</v>
      </c>
    </row>
    <row r="1454" spans="1:7" x14ac:dyDescent="0.2">
      <c r="A1454" t="s">
        <v>188</v>
      </c>
      <c r="B1454" s="1">
        <v>0.22020000000000001</v>
      </c>
      <c r="C1454" t="s">
        <v>188</v>
      </c>
      <c r="E1454" s="3">
        <f>E1441*B1454</f>
        <v>7.0464000000000002</v>
      </c>
      <c r="F1454" s="8">
        <v>20.14</v>
      </c>
      <c r="G1454" s="8">
        <f t="shared" si="15"/>
        <v>141.91449600000001</v>
      </c>
    </row>
    <row r="1455" spans="1:7" x14ac:dyDescent="0.2">
      <c r="A1455" t="s">
        <v>9</v>
      </c>
      <c r="B1455" s="1">
        <v>8.9999999999999998E-4</v>
      </c>
      <c r="C1455" t="s">
        <v>9</v>
      </c>
      <c r="E1455" s="3">
        <f>E1441*B1455</f>
        <v>2.8799999999999999E-2</v>
      </c>
      <c r="F1455" s="8">
        <v>191.48</v>
      </c>
      <c r="G1455" s="8">
        <f t="shared" si="15"/>
        <v>5.5146239999999995</v>
      </c>
    </row>
    <row r="1456" spans="1:7" x14ac:dyDescent="0.2">
      <c r="A1456" t="s">
        <v>15</v>
      </c>
      <c r="B1456" s="2">
        <v>1.5699999999999999E-2</v>
      </c>
      <c r="C1456" t="s">
        <v>15</v>
      </c>
      <c r="E1456" s="4">
        <f>E1441*B1456</f>
        <v>0.50239999999999996</v>
      </c>
      <c r="F1456" s="11">
        <v>69.34</v>
      </c>
      <c r="G1456" s="11">
        <f t="shared" si="15"/>
        <v>34.836416</v>
      </c>
    </row>
    <row r="1457" spans="1:7" x14ac:dyDescent="0.2">
      <c r="B1457" s="1">
        <f>SUM(B1446:B1456)</f>
        <v>0.99999999999999989</v>
      </c>
      <c r="E1457" s="3">
        <f>SUM(E1446:E1456)</f>
        <v>31.999999999999996</v>
      </c>
      <c r="F1457" s="8">
        <f>SUM(F1446:F1456)</f>
        <v>589.19000000000005</v>
      </c>
      <c r="G1457" s="8">
        <f>SUM(G1446:G1456)</f>
        <v>232.68566400000003</v>
      </c>
    </row>
    <row r="1467" spans="1:7" x14ac:dyDescent="0.2">
      <c r="A1467" t="s">
        <v>46</v>
      </c>
      <c r="C1467" t="s">
        <v>11</v>
      </c>
      <c r="E1467" s="3">
        <v>4</v>
      </c>
    </row>
    <row r="1471" spans="1:7" x14ac:dyDescent="0.2">
      <c r="A1471" t="s">
        <v>195</v>
      </c>
      <c r="B1471" s="1">
        <v>3.6499999999999998E-2</v>
      </c>
      <c r="C1471" t="s">
        <v>196</v>
      </c>
      <c r="E1471" s="3">
        <f>E1467*B1471</f>
        <v>0.14599999999999999</v>
      </c>
    </row>
    <row r="1472" spans="1:7" x14ac:dyDescent="0.2">
      <c r="A1472" t="s">
        <v>15</v>
      </c>
      <c r="B1472" s="1">
        <v>0.05</v>
      </c>
      <c r="C1472" t="s">
        <v>15</v>
      </c>
      <c r="E1472" s="3">
        <f>E1467*B1472</f>
        <v>0.2</v>
      </c>
    </row>
    <row r="1473" spans="1:5" x14ac:dyDescent="0.2">
      <c r="A1473" t="s">
        <v>47</v>
      </c>
      <c r="B1473" s="1">
        <v>0.55600000000000005</v>
      </c>
      <c r="C1473" t="s">
        <v>47</v>
      </c>
      <c r="E1473" s="3">
        <f>E1467*B1473</f>
        <v>2.2240000000000002</v>
      </c>
    </row>
    <row r="1474" spans="1:5" x14ac:dyDescent="0.2">
      <c r="A1474" t="s">
        <v>8</v>
      </c>
      <c r="B1474" s="1">
        <v>0.1152</v>
      </c>
      <c r="C1474" t="s">
        <v>8</v>
      </c>
      <c r="E1474" s="3">
        <f>E1467*B1474</f>
        <v>0.46079999999999999</v>
      </c>
    </row>
    <row r="1475" spans="1:5" x14ac:dyDescent="0.2">
      <c r="A1475" t="s">
        <v>9</v>
      </c>
      <c r="B1475" s="1">
        <v>4.1999999999999997E-3</v>
      </c>
      <c r="C1475" t="s">
        <v>9</v>
      </c>
      <c r="E1475" s="3">
        <f>E1467*B1475</f>
        <v>1.6799999999999999E-2</v>
      </c>
    </row>
    <row r="1476" spans="1:5" x14ac:dyDescent="0.2">
      <c r="A1476" t="s">
        <v>7</v>
      </c>
      <c r="B1476" s="1">
        <v>5.0000000000000001E-4</v>
      </c>
      <c r="C1476" t="s">
        <v>7</v>
      </c>
      <c r="E1476" s="3">
        <f>E1467*B1476</f>
        <v>2E-3</v>
      </c>
    </row>
    <row r="1477" spans="1:5" x14ac:dyDescent="0.2">
      <c r="A1477" t="s">
        <v>48</v>
      </c>
      <c r="B1477" s="1">
        <v>1.6000000000000001E-3</v>
      </c>
      <c r="C1477" t="s">
        <v>48</v>
      </c>
      <c r="E1477" s="3">
        <f>E1467*B1477</f>
        <v>6.4000000000000003E-3</v>
      </c>
    </row>
    <row r="1478" spans="1:5" x14ac:dyDescent="0.2">
      <c r="A1478" t="s">
        <v>5</v>
      </c>
      <c r="B1478" s="1">
        <v>5.1999999999999998E-3</v>
      </c>
      <c r="C1478" t="s">
        <v>5</v>
      </c>
      <c r="E1478" s="3">
        <f>E1467*B1478</f>
        <v>2.0799999999999999E-2</v>
      </c>
    </row>
    <row r="1479" spans="1:5" x14ac:dyDescent="0.2">
      <c r="A1479" t="s">
        <v>39</v>
      </c>
      <c r="B1479" s="1">
        <v>2.1000000000000001E-2</v>
      </c>
      <c r="C1479" t="s">
        <v>39</v>
      </c>
      <c r="E1479" s="3">
        <f>E1467*B1479</f>
        <v>8.4000000000000005E-2</v>
      </c>
    </row>
    <row r="1480" spans="1:5" x14ac:dyDescent="0.2">
      <c r="A1480" t="s">
        <v>4</v>
      </c>
      <c r="B1480" s="1">
        <v>1.04E-2</v>
      </c>
      <c r="C1480" t="s">
        <v>4</v>
      </c>
      <c r="E1480" s="3">
        <f>E1467*B1480</f>
        <v>4.1599999999999998E-2</v>
      </c>
    </row>
    <row r="1481" spans="1:5" x14ac:dyDescent="0.2">
      <c r="A1481" t="s">
        <v>49</v>
      </c>
      <c r="B1481" s="1">
        <v>2.1000000000000001E-2</v>
      </c>
      <c r="C1481" t="s">
        <v>49</v>
      </c>
      <c r="E1481" s="3">
        <f>E1467*B1481</f>
        <v>8.4000000000000005E-2</v>
      </c>
    </row>
    <row r="1482" spans="1:5" x14ac:dyDescent="0.2">
      <c r="A1482" t="s">
        <v>50</v>
      </c>
      <c r="B1482" s="1">
        <v>3.6499999999999998E-2</v>
      </c>
      <c r="C1482" t="s">
        <v>50</v>
      </c>
      <c r="E1482" s="3">
        <f>E1467*B1482</f>
        <v>0.14599999999999999</v>
      </c>
    </row>
    <row r="1483" spans="1:5" x14ac:dyDescent="0.2">
      <c r="A1483" t="s">
        <v>51</v>
      </c>
      <c r="B1483" s="1">
        <v>3.6499999999999998E-2</v>
      </c>
      <c r="C1483" t="s">
        <v>51</v>
      </c>
      <c r="E1483" s="3">
        <f>E1467*B1483</f>
        <v>0.14599999999999999</v>
      </c>
    </row>
    <row r="1484" spans="1:5" x14ac:dyDescent="0.2">
      <c r="A1484" t="s">
        <v>30</v>
      </c>
      <c r="B1484" s="1">
        <v>5.9999999999999995E-4</v>
      </c>
      <c r="C1484" t="s">
        <v>30</v>
      </c>
      <c r="E1484" s="3">
        <f>E1467*B1484</f>
        <v>2.3999999999999998E-3</v>
      </c>
    </row>
    <row r="1485" spans="1:5" x14ac:dyDescent="0.2">
      <c r="A1485" t="s">
        <v>52</v>
      </c>
      <c r="B1485" s="2">
        <v>0.1048</v>
      </c>
      <c r="C1485" t="s">
        <v>52</v>
      </c>
      <c r="E1485" s="4">
        <f>E1467*B1485</f>
        <v>0.41920000000000002</v>
      </c>
    </row>
    <row r="1486" spans="1:5" x14ac:dyDescent="0.2">
      <c r="B1486" s="1">
        <f>SUM(B1471:B1485)</f>
        <v>1</v>
      </c>
      <c r="E1486" s="3">
        <f>SUM(E1471:E1485)</f>
        <v>4</v>
      </c>
    </row>
    <row r="1493" spans="1:5" x14ac:dyDescent="0.2">
      <c r="A1493" t="s">
        <v>14</v>
      </c>
      <c r="C1493" t="s">
        <v>11</v>
      </c>
      <c r="D1493" s="3">
        <v>1280</v>
      </c>
      <c r="E1493" s="3">
        <v>320</v>
      </c>
    </row>
    <row r="1494" spans="1:5" x14ac:dyDescent="0.2">
      <c r="A1494" t="s">
        <v>202</v>
      </c>
    </row>
    <row r="1497" spans="1:5" x14ac:dyDescent="0.2">
      <c r="B1497" s="1"/>
    </row>
    <row r="1498" spans="1:5" x14ac:dyDescent="0.2">
      <c r="A1498" t="s">
        <v>15</v>
      </c>
      <c r="B1498" s="1">
        <v>0.04</v>
      </c>
      <c r="C1498" t="s">
        <v>15</v>
      </c>
      <c r="E1498" s="3">
        <f>E1493*B1498</f>
        <v>12.8</v>
      </c>
    </row>
    <row r="1499" spans="1:5" x14ac:dyDescent="0.2">
      <c r="A1499" t="s">
        <v>16</v>
      </c>
      <c r="B1499" s="1">
        <v>0.49459999999999998</v>
      </c>
      <c r="C1499" t="s">
        <v>16</v>
      </c>
      <c r="E1499" s="3">
        <f>E1493*B1499</f>
        <v>158.27199999999999</v>
      </c>
    </row>
    <row r="1500" spans="1:5" x14ac:dyDescent="0.2">
      <c r="A1500" t="s">
        <v>17</v>
      </c>
      <c r="B1500" s="1">
        <v>0.05</v>
      </c>
      <c r="C1500" t="s">
        <v>17</v>
      </c>
      <c r="E1500" s="3">
        <f>E1493*B1500</f>
        <v>16</v>
      </c>
    </row>
    <row r="1501" spans="1:5" x14ac:dyDescent="0.2">
      <c r="A1501" t="s">
        <v>3</v>
      </c>
      <c r="B1501" s="1">
        <v>1.5E-3</v>
      </c>
      <c r="C1501" t="s">
        <v>3</v>
      </c>
      <c r="E1501" s="3">
        <f>E1493*B1501</f>
        <v>0.48</v>
      </c>
    </row>
    <row r="1502" spans="1:5" x14ac:dyDescent="0.2">
      <c r="A1502" t="s">
        <v>18</v>
      </c>
      <c r="B1502" s="1">
        <v>8.0000000000000002E-3</v>
      </c>
      <c r="C1502" t="s">
        <v>18</v>
      </c>
      <c r="E1502" s="3">
        <f>E1493*B1502</f>
        <v>2.56</v>
      </c>
    </row>
    <row r="1503" spans="1:5" x14ac:dyDescent="0.2">
      <c r="A1503" t="s">
        <v>5</v>
      </c>
      <c r="B1503" s="1">
        <v>1.4E-3</v>
      </c>
      <c r="C1503" t="s">
        <v>5</v>
      </c>
      <c r="E1503" s="3">
        <f>E1493*B1503</f>
        <v>0.44800000000000001</v>
      </c>
    </row>
    <row r="1504" spans="1:5" x14ac:dyDescent="0.2">
      <c r="A1504" t="s">
        <v>7</v>
      </c>
      <c r="B1504" s="1">
        <v>5.0000000000000001E-4</v>
      </c>
      <c r="C1504" t="s">
        <v>7</v>
      </c>
      <c r="E1504" s="3">
        <f>E1493*B1504</f>
        <v>0.16</v>
      </c>
    </row>
    <row r="1505" spans="1:5" x14ac:dyDescent="0.2">
      <c r="A1505" t="s">
        <v>8</v>
      </c>
      <c r="B1505" s="1">
        <v>7.1900000000000006E-2</v>
      </c>
      <c r="C1505" t="s">
        <v>8</v>
      </c>
      <c r="E1505" s="3">
        <f>E1493*B1505</f>
        <v>23.008000000000003</v>
      </c>
    </row>
    <row r="1506" spans="1:5" x14ac:dyDescent="0.2">
      <c r="A1506" t="s">
        <v>188</v>
      </c>
      <c r="B1506" s="1">
        <v>0.22020000000000001</v>
      </c>
      <c r="C1506" t="s">
        <v>188</v>
      </c>
      <c r="E1506" s="3">
        <f>E1493*B1506</f>
        <v>70.463999999999999</v>
      </c>
    </row>
    <row r="1507" spans="1:5" x14ac:dyDescent="0.2">
      <c r="A1507" t="s">
        <v>9</v>
      </c>
      <c r="B1507" s="1">
        <v>8.9999999999999998E-4</v>
      </c>
      <c r="C1507" t="s">
        <v>9</v>
      </c>
      <c r="E1507" s="3">
        <f>E1493*B1507</f>
        <v>0.28799999999999998</v>
      </c>
    </row>
    <row r="1508" spans="1:5" x14ac:dyDescent="0.2">
      <c r="A1508" t="s">
        <v>21</v>
      </c>
      <c r="B1508" s="1">
        <v>1.5E-3</v>
      </c>
      <c r="C1508" t="s">
        <v>21</v>
      </c>
      <c r="E1508" s="3">
        <f>E1493*B1508</f>
        <v>0.48</v>
      </c>
    </row>
    <row r="1509" spans="1:5" x14ac:dyDescent="0.2">
      <c r="A1509" t="s">
        <v>197</v>
      </c>
      <c r="B1509" s="1">
        <v>3.6499999999999998E-2</v>
      </c>
      <c r="C1509" t="s">
        <v>200</v>
      </c>
      <c r="E1509" s="3">
        <f>E1493*B1509</f>
        <v>11.68</v>
      </c>
    </row>
    <row r="1510" spans="1:5" x14ac:dyDescent="0.2">
      <c r="A1510" t="s">
        <v>199</v>
      </c>
      <c r="B1510" s="1">
        <v>3.6499999999999998E-2</v>
      </c>
      <c r="C1510" t="s">
        <v>201</v>
      </c>
      <c r="E1510" s="3">
        <f>E1493*B1510</f>
        <v>11.68</v>
      </c>
    </row>
    <row r="1511" spans="1:5" x14ac:dyDescent="0.2">
      <c r="A1511" t="s">
        <v>198</v>
      </c>
      <c r="B1511" s="2">
        <v>3.6499999999999998E-2</v>
      </c>
      <c r="C1511" t="s">
        <v>51</v>
      </c>
      <c r="E1511" s="4">
        <f>E1493*B1511</f>
        <v>11.68</v>
      </c>
    </row>
    <row r="1512" spans="1:5" x14ac:dyDescent="0.2">
      <c r="B1512" s="1">
        <f>SUM(B1498:B1511)</f>
        <v>0.99999999999999978</v>
      </c>
      <c r="E1512" s="3">
        <f>SUM(E1498:E1511)</f>
        <v>320.00000000000006</v>
      </c>
    </row>
    <row r="1535" spans="1:1" x14ac:dyDescent="0.2">
      <c r="A1535" s="7"/>
    </row>
    <row r="1536" spans="1:1" x14ac:dyDescent="0.2">
      <c r="A1536" t="s">
        <v>225</v>
      </c>
    </row>
    <row r="1537" spans="1:5" x14ac:dyDescent="0.2">
      <c r="A1537" t="s">
        <v>14</v>
      </c>
      <c r="C1537" t="s">
        <v>11</v>
      </c>
      <c r="D1537" s="3">
        <v>1280</v>
      </c>
      <c r="E1537" s="3">
        <v>448</v>
      </c>
    </row>
    <row r="1538" spans="1:5" x14ac:dyDescent="0.2">
      <c r="A1538" t="s">
        <v>193</v>
      </c>
    </row>
    <row r="1541" spans="1:5" x14ac:dyDescent="0.2">
      <c r="B1541" s="1"/>
      <c r="E1541" s="3"/>
    </row>
    <row r="1542" spans="1:5" x14ac:dyDescent="0.2">
      <c r="A1542" t="s">
        <v>15</v>
      </c>
      <c r="B1542" s="1">
        <v>0.04</v>
      </c>
      <c r="C1542" t="s">
        <v>15</v>
      </c>
      <c r="E1542" s="3">
        <f>E1537*B1542</f>
        <v>17.920000000000002</v>
      </c>
    </row>
    <row r="1543" spans="1:5" x14ac:dyDescent="0.2">
      <c r="A1543" t="s">
        <v>16</v>
      </c>
      <c r="B1543" s="1">
        <v>0.61950000000000005</v>
      </c>
      <c r="C1543" t="s">
        <v>16</v>
      </c>
      <c r="E1543" s="3">
        <f>E1537*B1543</f>
        <v>277.536</v>
      </c>
    </row>
    <row r="1544" spans="1:5" x14ac:dyDescent="0.2">
      <c r="A1544" t="s">
        <v>17</v>
      </c>
      <c r="B1544" s="1">
        <v>0.05</v>
      </c>
      <c r="C1544" t="s">
        <v>17</v>
      </c>
      <c r="E1544" s="3">
        <f>E1537*B1544</f>
        <v>22.400000000000002</v>
      </c>
    </row>
    <row r="1545" spans="1:5" x14ac:dyDescent="0.2">
      <c r="A1545" t="s">
        <v>3</v>
      </c>
      <c r="B1545" s="1">
        <v>1.5E-3</v>
      </c>
      <c r="C1545" t="s">
        <v>3</v>
      </c>
      <c r="E1545" s="3">
        <f>E1537*B1545</f>
        <v>0.67200000000000004</v>
      </c>
    </row>
    <row r="1546" spans="1:5" x14ac:dyDescent="0.2">
      <c r="A1546" t="s">
        <v>18</v>
      </c>
      <c r="B1546" s="1">
        <v>8.0000000000000002E-3</v>
      </c>
      <c r="C1546" t="s">
        <v>18</v>
      </c>
      <c r="E1546" s="3">
        <f>E1537*B1546</f>
        <v>3.5840000000000001</v>
      </c>
    </row>
    <row r="1547" spans="1:5" x14ac:dyDescent="0.2">
      <c r="A1547" t="s">
        <v>5</v>
      </c>
      <c r="B1547" s="1">
        <v>1.4E-3</v>
      </c>
      <c r="C1547" t="s">
        <v>5</v>
      </c>
      <c r="E1547">
        <f>E1537*B1547</f>
        <v>0.62719999999999998</v>
      </c>
    </row>
    <row r="1548" spans="1:5" x14ac:dyDescent="0.2">
      <c r="A1548" t="s">
        <v>7</v>
      </c>
      <c r="B1548" s="1">
        <v>5.0000000000000001E-4</v>
      </c>
      <c r="C1548" t="s">
        <v>7</v>
      </c>
      <c r="E1548" s="3">
        <f>E1537*B1548</f>
        <v>0.224</v>
      </c>
    </row>
    <row r="1549" spans="1:5" x14ac:dyDescent="0.2">
      <c r="A1549" t="s">
        <v>8</v>
      </c>
      <c r="B1549" s="1">
        <v>7.1900000000000006E-2</v>
      </c>
      <c r="C1549" t="s">
        <v>8</v>
      </c>
      <c r="E1549" s="3">
        <f>E1537*B1549</f>
        <v>32.211200000000005</v>
      </c>
    </row>
    <row r="1550" spans="1:5" x14ac:dyDescent="0.2">
      <c r="A1550" t="s">
        <v>188</v>
      </c>
      <c r="B1550" s="1">
        <v>0.22020000000000001</v>
      </c>
      <c r="C1550" t="s">
        <v>188</v>
      </c>
      <c r="E1550" s="3">
        <f>E1537*B1550</f>
        <v>98.649600000000007</v>
      </c>
    </row>
    <row r="1551" spans="1:5" x14ac:dyDescent="0.2">
      <c r="A1551" t="s">
        <v>9</v>
      </c>
      <c r="B1551" s="1">
        <v>8.9999999999999998E-4</v>
      </c>
      <c r="C1551" t="s">
        <v>9</v>
      </c>
      <c r="E1551" s="3">
        <f>E1537*B1551</f>
        <v>0.4032</v>
      </c>
    </row>
    <row r="1552" spans="1:5" x14ac:dyDescent="0.2">
      <c r="A1552" t="s">
        <v>21</v>
      </c>
      <c r="B1552" s="2">
        <v>1.5E-3</v>
      </c>
      <c r="C1552" t="s">
        <v>21</v>
      </c>
      <c r="E1552" s="4">
        <f>E1537*B1552</f>
        <v>0.67200000000000004</v>
      </c>
    </row>
    <row r="1553" spans="2:5" x14ac:dyDescent="0.2">
      <c r="B1553" s="1">
        <v>1</v>
      </c>
      <c r="E1553" s="3">
        <f>E1537*B1553</f>
        <v>448</v>
      </c>
    </row>
  </sheetData>
  <phoneticPr fontId="0" type="noConversion"/>
  <pageMargins left="0.75" right="0.75" top="1.365" bottom="1" header="0" footer="0"/>
  <pageSetup scale="9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145"/>
  <sheetViews>
    <sheetView view="pageBreakPreview" zoomScaleNormal="100" workbookViewId="0">
      <selection activeCell="A4" sqref="A4:F20"/>
    </sheetView>
  </sheetViews>
  <sheetFormatPr baseColWidth="10" defaultRowHeight="12.75" x14ac:dyDescent="0.2"/>
  <cols>
    <col min="1" max="1" width="28.5703125" customWidth="1"/>
    <col min="2" max="2" width="14.7109375" customWidth="1"/>
    <col min="3" max="3" width="28.85546875" customWidth="1"/>
    <col min="4" max="4" width="14.85546875" hidden="1" customWidth="1"/>
    <col min="5" max="5" width="12.140625" customWidth="1"/>
  </cols>
  <sheetData>
    <row r="2" spans="1:5" x14ac:dyDescent="0.2">
      <c r="D2" t="s">
        <v>12</v>
      </c>
      <c r="E2" t="s">
        <v>12</v>
      </c>
    </row>
    <row r="4" spans="1:5" ht="12" customHeight="1" x14ac:dyDescent="0.2">
      <c r="A4" t="s">
        <v>0</v>
      </c>
      <c r="C4" t="s">
        <v>11</v>
      </c>
      <c r="D4" s="3">
        <v>945</v>
      </c>
      <c r="E4" s="3">
        <v>320</v>
      </c>
    </row>
    <row r="5" spans="1:5" ht="17.25" hidden="1" customHeight="1" x14ac:dyDescent="0.2">
      <c r="A5" t="s">
        <v>0</v>
      </c>
      <c r="C5" t="s">
        <v>11</v>
      </c>
      <c r="D5" s="3">
        <v>945</v>
      </c>
    </row>
    <row r="9" spans="1:5" x14ac:dyDescent="0.2">
      <c r="A9" t="s">
        <v>1</v>
      </c>
      <c r="B9" s="1">
        <v>0.63170000000000004</v>
      </c>
      <c r="C9" t="s">
        <v>1</v>
      </c>
      <c r="D9" s="3">
        <f>D5*B9</f>
        <v>596.95650000000001</v>
      </c>
      <c r="E9" s="3">
        <f>E4*B9</f>
        <v>202.14400000000001</v>
      </c>
    </row>
    <row r="10" spans="1:5" x14ac:dyDescent="0.2">
      <c r="A10" t="s">
        <v>2</v>
      </c>
      <c r="B10" s="1">
        <v>0.05</v>
      </c>
      <c r="C10" t="s">
        <v>2</v>
      </c>
      <c r="D10" s="3">
        <f>D5*B10</f>
        <v>47.25</v>
      </c>
      <c r="E10" s="3">
        <f>E4*B10</f>
        <v>16</v>
      </c>
    </row>
    <row r="11" spans="1:5" x14ac:dyDescent="0.2">
      <c r="A11" t="s">
        <v>3</v>
      </c>
      <c r="B11" s="1">
        <v>1.5E-3</v>
      </c>
      <c r="C11" t="s">
        <v>3</v>
      </c>
      <c r="D11" s="3">
        <f>D5*B11</f>
        <v>1.4175</v>
      </c>
      <c r="E11" s="3">
        <f>E4*B11</f>
        <v>0.48</v>
      </c>
    </row>
    <row r="12" spans="1:5" x14ac:dyDescent="0.2">
      <c r="A12" t="s">
        <v>4</v>
      </c>
      <c r="B12" s="1">
        <v>8.0000000000000002E-3</v>
      </c>
      <c r="C12" t="s">
        <v>4</v>
      </c>
      <c r="D12" s="3">
        <f>D5*B12</f>
        <v>7.5600000000000005</v>
      </c>
      <c r="E12" s="3">
        <f>E4*B12</f>
        <v>2.56</v>
      </c>
    </row>
    <row r="13" spans="1:5" x14ac:dyDescent="0.2">
      <c r="A13" t="s">
        <v>5</v>
      </c>
      <c r="B13" s="1">
        <v>1.4E-3</v>
      </c>
      <c r="C13" t="s">
        <v>5</v>
      </c>
      <c r="D13">
        <f>D5*B13</f>
        <v>1.323</v>
      </c>
      <c r="E13">
        <f>E4*B13</f>
        <v>0.44800000000000001</v>
      </c>
    </row>
    <row r="14" spans="1:5" x14ac:dyDescent="0.2">
      <c r="A14" t="s">
        <v>6</v>
      </c>
      <c r="B14" s="1">
        <v>1.5E-3</v>
      </c>
      <c r="C14" t="s">
        <v>6</v>
      </c>
      <c r="D14" s="3">
        <f>D5*B14</f>
        <v>1.4175</v>
      </c>
      <c r="E14" s="3">
        <f>E4*B14</f>
        <v>0.48</v>
      </c>
    </row>
    <row r="15" spans="1:5" x14ac:dyDescent="0.2">
      <c r="A15" t="s">
        <v>7</v>
      </c>
      <c r="B15" s="1">
        <v>5.0000000000000001E-4</v>
      </c>
      <c r="C15" t="s">
        <v>7</v>
      </c>
      <c r="D15" s="3">
        <f>D5*B15</f>
        <v>0.47250000000000003</v>
      </c>
      <c r="E15" s="3">
        <f>E4*B15</f>
        <v>0.16</v>
      </c>
    </row>
    <row r="16" spans="1:5" x14ac:dyDescent="0.2">
      <c r="A16" t="s">
        <v>8</v>
      </c>
      <c r="B16" s="1">
        <v>0.16880000000000001</v>
      </c>
      <c r="C16" t="s">
        <v>8</v>
      </c>
      <c r="D16">
        <f>D5*B16</f>
        <v>159.51599999999999</v>
      </c>
      <c r="E16">
        <f>E4*B16</f>
        <v>54.016000000000005</v>
      </c>
    </row>
    <row r="17" spans="1:5" x14ac:dyDescent="0.2">
      <c r="A17" t="s">
        <v>9</v>
      </c>
      <c r="B17" s="1">
        <v>2.0999999999999999E-3</v>
      </c>
      <c r="C17" t="s">
        <v>9</v>
      </c>
      <c r="D17" s="3">
        <f>D5*B17</f>
        <v>1.9844999999999999</v>
      </c>
      <c r="E17" s="3">
        <f>E4*B17</f>
        <v>0.67199999999999993</v>
      </c>
    </row>
    <row r="18" spans="1:5" x14ac:dyDescent="0.2">
      <c r="A18" t="s">
        <v>10</v>
      </c>
      <c r="B18" s="2">
        <v>0.13450000000000001</v>
      </c>
      <c r="C18" t="s">
        <v>10</v>
      </c>
      <c r="D18" s="4">
        <f>D5*B18</f>
        <v>127.10250000000001</v>
      </c>
      <c r="E18" s="4">
        <f>E4*B18</f>
        <v>43.040000000000006</v>
      </c>
    </row>
    <row r="19" spans="1:5" x14ac:dyDescent="0.2">
      <c r="B19" s="1">
        <f>SUM(B9:B18)</f>
        <v>1</v>
      </c>
      <c r="D19" s="3">
        <f>SUM(D9:D18)</f>
        <v>944.99999999999989</v>
      </c>
      <c r="E19" s="3">
        <f>SUM(E9:E18)</f>
        <v>320.00000000000006</v>
      </c>
    </row>
    <row r="41" spans="2:5" x14ac:dyDescent="0.2">
      <c r="D41" s="3"/>
      <c r="E41" s="3"/>
    </row>
    <row r="46" spans="2:5" x14ac:dyDescent="0.2">
      <c r="B46" s="1"/>
      <c r="E46" s="3"/>
    </row>
    <row r="47" spans="2:5" x14ac:dyDescent="0.2">
      <c r="B47" s="1"/>
      <c r="E47" s="3"/>
    </row>
    <row r="48" spans="2:5" x14ac:dyDescent="0.2">
      <c r="B48" s="1"/>
      <c r="E48" s="3"/>
    </row>
    <row r="49" spans="2:5" x14ac:dyDescent="0.2">
      <c r="B49" s="1"/>
      <c r="E49" s="3"/>
    </row>
    <row r="50" spans="2:5" x14ac:dyDescent="0.2">
      <c r="B50" s="1"/>
      <c r="E50" s="3"/>
    </row>
    <row r="51" spans="2:5" x14ac:dyDescent="0.2">
      <c r="B51" s="1"/>
    </row>
    <row r="52" spans="2:5" x14ac:dyDescent="0.2">
      <c r="B52" s="1"/>
      <c r="E52" s="3"/>
    </row>
    <row r="53" spans="2:5" x14ac:dyDescent="0.2">
      <c r="B53" s="1"/>
      <c r="E53" s="3"/>
    </row>
    <row r="54" spans="2:5" x14ac:dyDescent="0.2">
      <c r="B54" s="1"/>
      <c r="E54" s="3"/>
    </row>
    <row r="55" spans="2:5" x14ac:dyDescent="0.2">
      <c r="B55" s="1"/>
      <c r="E55" s="3"/>
    </row>
    <row r="56" spans="2:5" x14ac:dyDescent="0.2">
      <c r="B56" s="1"/>
      <c r="E56" s="3"/>
    </row>
    <row r="57" spans="2:5" x14ac:dyDescent="0.2">
      <c r="B57" s="1"/>
      <c r="E57" s="3"/>
    </row>
    <row r="76" spans="5:5" x14ac:dyDescent="0.2">
      <c r="E76" s="3"/>
    </row>
    <row r="83" spans="2:5" x14ac:dyDescent="0.2">
      <c r="B83" s="1"/>
    </row>
    <row r="84" spans="2:5" x14ac:dyDescent="0.2">
      <c r="B84" s="1"/>
      <c r="E84" s="3"/>
    </row>
    <row r="85" spans="2:5" x14ac:dyDescent="0.2">
      <c r="B85" s="1"/>
      <c r="E85" s="3"/>
    </row>
    <row r="86" spans="2:5" x14ac:dyDescent="0.2">
      <c r="B86" s="1"/>
      <c r="E86" s="3"/>
    </row>
    <row r="87" spans="2:5" x14ac:dyDescent="0.2">
      <c r="B87" s="1"/>
    </row>
    <row r="88" spans="2:5" x14ac:dyDescent="0.2">
      <c r="B88" s="1"/>
      <c r="E88" s="3"/>
    </row>
    <row r="89" spans="2:5" x14ac:dyDescent="0.2">
      <c r="B89" s="1"/>
      <c r="E89" s="3"/>
    </row>
    <row r="90" spans="2:5" x14ac:dyDescent="0.2">
      <c r="B90" s="1"/>
      <c r="E90" s="3"/>
    </row>
    <row r="91" spans="2:5" x14ac:dyDescent="0.2">
      <c r="B91" s="1"/>
      <c r="E91" s="3"/>
    </row>
    <row r="92" spans="2:5" x14ac:dyDescent="0.2">
      <c r="B92" s="1"/>
      <c r="E92" s="3"/>
    </row>
    <row r="93" spans="2:5" x14ac:dyDescent="0.2">
      <c r="B93" s="1"/>
      <c r="E93" s="3"/>
    </row>
    <row r="94" spans="2:5" x14ac:dyDescent="0.2">
      <c r="B94" s="1"/>
      <c r="E94" s="3"/>
    </row>
    <row r="95" spans="2:5" x14ac:dyDescent="0.2">
      <c r="B95" s="1"/>
      <c r="E95" s="3"/>
    </row>
    <row r="112" spans="5:5" x14ac:dyDescent="0.2">
      <c r="E112" s="3"/>
    </row>
    <row r="118" spans="2:5" x14ac:dyDescent="0.2">
      <c r="B118" s="1"/>
      <c r="E118" s="3"/>
    </row>
    <row r="119" spans="2:5" x14ac:dyDescent="0.2">
      <c r="B119" s="1"/>
      <c r="E119" s="3"/>
    </row>
    <row r="120" spans="2:5" x14ac:dyDescent="0.2">
      <c r="B120" s="1"/>
      <c r="E120" s="3"/>
    </row>
    <row r="121" spans="2:5" x14ac:dyDescent="0.2">
      <c r="B121" s="1"/>
      <c r="E121" s="3"/>
    </row>
    <row r="122" spans="2:5" x14ac:dyDescent="0.2">
      <c r="B122" s="1"/>
      <c r="E122" s="3"/>
    </row>
    <row r="123" spans="2:5" x14ac:dyDescent="0.2">
      <c r="B123" s="1"/>
      <c r="E123" s="3"/>
    </row>
    <row r="124" spans="2:5" x14ac:dyDescent="0.2">
      <c r="B124" s="1"/>
      <c r="E124" s="3"/>
    </row>
    <row r="125" spans="2:5" x14ac:dyDescent="0.2">
      <c r="B125" s="1"/>
      <c r="E125" s="3"/>
    </row>
    <row r="126" spans="2:5" x14ac:dyDescent="0.2">
      <c r="B126" s="1"/>
      <c r="E126" s="3"/>
    </row>
    <row r="127" spans="2:5" x14ac:dyDescent="0.2">
      <c r="B127" s="1"/>
      <c r="E127" s="3"/>
    </row>
    <row r="128" spans="2:5" x14ac:dyDescent="0.2">
      <c r="B128" s="1"/>
      <c r="E128" s="3"/>
    </row>
    <row r="129" spans="2:5" x14ac:dyDescent="0.2">
      <c r="B129" s="1"/>
      <c r="E129" s="3"/>
    </row>
    <row r="130" spans="2:5" x14ac:dyDescent="0.2">
      <c r="B130" s="1"/>
      <c r="E130" s="3"/>
    </row>
    <row r="147" spans="2:5" x14ac:dyDescent="0.2">
      <c r="E147" s="3"/>
    </row>
    <row r="151" spans="2:5" x14ac:dyDescent="0.2">
      <c r="B151" s="1"/>
      <c r="E151" s="3"/>
    </row>
    <row r="152" spans="2:5" x14ac:dyDescent="0.2">
      <c r="B152" s="1"/>
    </row>
    <row r="153" spans="2:5" x14ac:dyDescent="0.2">
      <c r="B153" s="1"/>
      <c r="E153" s="3"/>
    </row>
    <row r="154" spans="2:5" x14ac:dyDescent="0.2">
      <c r="B154" s="1"/>
    </row>
    <row r="155" spans="2:5" x14ac:dyDescent="0.2">
      <c r="B155" s="1"/>
    </row>
    <row r="156" spans="2:5" x14ac:dyDescent="0.2">
      <c r="B156" s="1"/>
    </row>
    <row r="157" spans="2:5" x14ac:dyDescent="0.2">
      <c r="B157" s="1"/>
      <c r="E157" s="3"/>
    </row>
    <row r="158" spans="2:5" x14ac:dyDescent="0.2">
      <c r="B158" s="1"/>
      <c r="E158" s="3"/>
    </row>
    <row r="159" spans="2:5" x14ac:dyDescent="0.2">
      <c r="B159" s="1"/>
    </row>
    <row r="160" spans="2:5" x14ac:dyDescent="0.2">
      <c r="B160" s="1"/>
      <c r="E160" s="3"/>
    </row>
    <row r="161" spans="2:5" x14ac:dyDescent="0.2">
      <c r="B161" s="1"/>
      <c r="E161" s="3"/>
    </row>
    <row r="162" spans="2:5" x14ac:dyDescent="0.2">
      <c r="B162" s="1"/>
    </row>
    <row r="163" spans="2:5" x14ac:dyDescent="0.2">
      <c r="B163" s="1"/>
      <c r="E163" s="3"/>
    </row>
    <row r="164" spans="2:5" x14ac:dyDescent="0.2">
      <c r="B164" s="1"/>
      <c r="E164" s="3"/>
    </row>
    <row r="165" spans="2:5" x14ac:dyDescent="0.2">
      <c r="B165" s="1"/>
      <c r="E165" s="3"/>
    </row>
    <row r="166" spans="2:5" x14ac:dyDescent="0.2">
      <c r="B166" s="1"/>
      <c r="E166" s="3"/>
    </row>
    <row r="167" spans="2:5" x14ac:dyDescent="0.2">
      <c r="B167" s="1"/>
      <c r="E167" s="3"/>
    </row>
    <row r="183" spans="2:5" x14ac:dyDescent="0.2">
      <c r="E183" s="3"/>
    </row>
    <row r="191" spans="2:5" x14ac:dyDescent="0.2">
      <c r="B191" s="1"/>
      <c r="E191" s="3"/>
    </row>
    <row r="192" spans="2:5" x14ac:dyDescent="0.2">
      <c r="B192" s="1"/>
    </row>
    <row r="193" spans="2:5" x14ac:dyDescent="0.2">
      <c r="B193" s="1"/>
    </row>
    <row r="194" spans="2:5" x14ac:dyDescent="0.2">
      <c r="B194" s="1"/>
    </row>
    <row r="195" spans="2:5" x14ac:dyDescent="0.2">
      <c r="B195" s="1"/>
    </row>
    <row r="196" spans="2:5" x14ac:dyDescent="0.2">
      <c r="B196" s="1"/>
    </row>
    <row r="197" spans="2:5" x14ac:dyDescent="0.2">
      <c r="B197" s="1"/>
    </row>
    <row r="198" spans="2:5" x14ac:dyDescent="0.2">
      <c r="B198" s="1"/>
    </row>
    <row r="199" spans="2:5" x14ac:dyDescent="0.2">
      <c r="B199" s="1"/>
    </row>
    <row r="200" spans="2:5" x14ac:dyDescent="0.2">
      <c r="B200" s="1"/>
      <c r="E200" s="3"/>
    </row>
    <row r="216" spans="2:5" x14ac:dyDescent="0.2">
      <c r="E216" s="3"/>
    </row>
    <row r="221" spans="2:5" x14ac:dyDescent="0.2">
      <c r="B221" s="1"/>
      <c r="E221" s="3"/>
    </row>
    <row r="222" spans="2:5" x14ac:dyDescent="0.2">
      <c r="B222" s="1"/>
      <c r="E222" s="3"/>
    </row>
    <row r="223" spans="2:5" x14ac:dyDescent="0.2">
      <c r="B223" s="1"/>
      <c r="E223" s="3"/>
    </row>
    <row r="224" spans="2:5" x14ac:dyDescent="0.2">
      <c r="B224" s="1"/>
      <c r="E224" s="3"/>
    </row>
    <row r="225" spans="2:5" x14ac:dyDescent="0.2">
      <c r="B225" s="1"/>
    </row>
    <row r="226" spans="2:5" x14ac:dyDescent="0.2">
      <c r="B226" s="1"/>
      <c r="E226" s="3"/>
    </row>
    <row r="227" spans="2:5" x14ac:dyDescent="0.2">
      <c r="B227" s="1"/>
      <c r="E227" s="3"/>
    </row>
    <row r="228" spans="2:5" x14ac:dyDescent="0.2">
      <c r="B228" s="1"/>
      <c r="E228" s="3"/>
    </row>
    <row r="229" spans="2:5" x14ac:dyDescent="0.2">
      <c r="B229" s="1"/>
      <c r="E229" s="3"/>
    </row>
    <row r="230" spans="2:5" x14ac:dyDescent="0.2">
      <c r="B230" s="1"/>
      <c r="E230" s="3"/>
    </row>
    <row r="231" spans="2:5" x14ac:dyDescent="0.2">
      <c r="B231" s="1"/>
      <c r="E231" s="3"/>
    </row>
    <row r="232" spans="2:5" x14ac:dyDescent="0.2">
      <c r="B232" s="1"/>
      <c r="E232" s="3"/>
    </row>
    <row r="233" spans="2:5" x14ac:dyDescent="0.2">
      <c r="B233" s="1"/>
      <c r="E233" s="3"/>
    </row>
    <row r="234" spans="2:5" x14ac:dyDescent="0.2">
      <c r="B234" s="1"/>
      <c r="E234" s="3"/>
    </row>
    <row r="235" spans="2:5" x14ac:dyDescent="0.2">
      <c r="B235" s="1"/>
      <c r="E235" s="3"/>
    </row>
    <row r="253" spans="5:5" x14ac:dyDescent="0.2">
      <c r="E253" s="3"/>
    </row>
    <row r="260" spans="2:5" x14ac:dyDescent="0.2">
      <c r="B260" s="1"/>
      <c r="E260" s="3"/>
    </row>
    <row r="261" spans="2:5" x14ac:dyDescent="0.2">
      <c r="B261" s="1"/>
    </row>
    <row r="262" spans="2:5" x14ac:dyDescent="0.2">
      <c r="B262" s="1"/>
    </row>
    <row r="263" spans="2:5" x14ac:dyDescent="0.2">
      <c r="B263" s="1"/>
      <c r="E263" s="3"/>
    </row>
    <row r="264" spans="2:5" x14ac:dyDescent="0.2">
      <c r="B264" s="1"/>
      <c r="E264" s="3"/>
    </row>
    <row r="265" spans="2:5" x14ac:dyDescent="0.2">
      <c r="B265" s="1"/>
      <c r="E265" s="3"/>
    </row>
    <row r="266" spans="2:5" x14ac:dyDescent="0.2">
      <c r="B266" s="1"/>
      <c r="E266" s="3"/>
    </row>
    <row r="267" spans="2:5" x14ac:dyDescent="0.2">
      <c r="B267" s="1"/>
    </row>
    <row r="268" spans="2:5" x14ac:dyDescent="0.2">
      <c r="B268" s="1"/>
      <c r="E268" s="3"/>
    </row>
    <row r="269" spans="2:5" x14ac:dyDescent="0.2">
      <c r="B269" s="1"/>
      <c r="E269" s="3"/>
    </row>
    <row r="270" spans="2:5" x14ac:dyDescent="0.2">
      <c r="B270" s="1"/>
      <c r="E270" s="3"/>
    </row>
    <row r="288" spans="5:5" x14ac:dyDescent="0.2">
      <c r="E288" s="3"/>
    </row>
    <row r="292" spans="2:5" x14ac:dyDescent="0.2">
      <c r="B292" s="1"/>
      <c r="E292" s="3"/>
    </row>
    <row r="293" spans="2:5" x14ac:dyDescent="0.2">
      <c r="B293" s="1"/>
      <c r="E293" s="3"/>
    </row>
    <row r="294" spans="2:5" x14ac:dyDescent="0.2">
      <c r="B294" s="1"/>
      <c r="E294" s="3"/>
    </row>
    <row r="295" spans="2:5" x14ac:dyDescent="0.2">
      <c r="B295" s="1"/>
    </row>
    <row r="296" spans="2:5" x14ac:dyDescent="0.2">
      <c r="B296" s="1"/>
      <c r="E296" s="3"/>
    </row>
    <row r="297" spans="2:5" x14ac:dyDescent="0.2">
      <c r="B297" s="1"/>
      <c r="E297" s="3"/>
    </row>
    <row r="298" spans="2:5" x14ac:dyDescent="0.2">
      <c r="B298" s="1"/>
      <c r="E298" s="3"/>
    </row>
    <row r="299" spans="2:5" x14ac:dyDescent="0.2">
      <c r="B299" s="1"/>
    </row>
    <row r="300" spans="2:5" x14ac:dyDescent="0.2">
      <c r="B300" s="1"/>
    </row>
    <row r="301" spans="2:5" x14ac:dyDescent="0.2">
      <c r="B301" s="1"/>
      <c r="E301" s="3"/>
    </row>
    <row r="302" spans="2:5" x14ac:dyDescent="0.2">
      <c r="B302" s="1"/>
      <c r="E302" s="3"/>
    </row>
    <row r="303" spans="2:5" x14ac:dyDescent="0.2">
      <c r="B303" s="1"/>
      <c r="E303" s="3"/>
    </row>
    <row r="304" spans="2:5" x14ac:dyDescent="0.2">
      <c r="B304" s="1"/>
      <c r="E304" s="3"/>
    </row>
    <row r="320" spans="5:5" x14ac:dyDescent="0.2">
      <c r="E320" s="3"/>
    </row>
    <row r="324" spans="2:5" x14ac:dyDescent="0.2">
      <c r="B324" s="1"/>
      <c r="E324" s="3"/>
    </row>
    <row r="325" spans="2:5" x14ac:dyDescent="0.2">
      <c r="B325" s="1"/>
      <c r="E325" s="3"/>
    </row>
    <row r="326" spans="2:5" x14ac:dyDescent="0.2">
      <c r="B326" s="1"/>
      <c r="E326" s="3"/>
    </row>
    <row r="327" spans="2:5" x14ac:dyDescent="0.2">
      <c r="B327" s="1"/>
      <c r="E327" s="3"/>
    </row>
    <row r="328" spans="2:5" x14ac:dyDescent="0.2">
      <c r="B328" s="1"/>
      <c r="E328" s="3"/>
    </row>
    <row r="329" spans="2:5" x14ac:dyDescent="0.2">
      <c r="B329" s="1"/>
      <c r="E329" s="3"/>
    </row>
    <row r="330" spans="2:5" x14ac:dyDescent="0.2">
      <c r="B330" s="1"/>
      <c r="E330" s="3"/>
    </row>
    <row r="331" spans="2:5" x14ac:dyDescent="0.2">
      <c r="B331" s="1"/>
      <c r="E331" s="3"/>
    </row>
    <row r="332" spans="2:5" x14ac:dyDescent="0.2">
      <c r="B332" s="1"/>
      <c r="E332" s="3"/>
    </row>
    <row r="333" spans="2:5" x14ac:dyDescent="0.2">
      <c r="B333" s="1"/>
      <c r="E333" s="3"/>
    </row>
    <row r="334" spans="2:5" x14ac:dyDescent="0.2">
      <c r="B334" s="1"/>
      <c r="E334" s="3"/>
    </row>
    <row r="335" spans="2:5" x14ac:dyDescent="0.2">
      <c r="B335" s="1"/>
      <c r="E335" s="3"/>
    </row>
    <row r="336" spans="2:5" x14ac:dyDescent="0.2">
      <c r="B336" s="1"/>
      <c r="E336" s="3"/>
    </row>
    <row r="337" spans="2:5" x14ac:dyDescent="0.2">
      <c r="B337" s="1"/>
      <c r="E337" s="3"/>
    </row>
    <row r="338" spans="2:5" x14ac:dyDescent="0.2">
      <c r="B338" s="1"/>
      <c r="E338" s="3"/>
    </row>
    <row r="339" spans="2:5" x14ac:dyDescent="0.2">
      <c r="B339" s="1"/>
      <c r="E339" s="3"/>
    </row>
    <row r="340" spans="2:5" x14ac:dyDescent="0.2">
      <c r="B340" s="1"/>
      <c r="E340" s="3"/>
    </row>
    <row r="355" spans="2:5" x14ac:dyDescent="0.2">
      <c r="E355" s="3"/>
    </row>
    <row r="360" spans="2:5" x14ac:dyDescent="0.2">
      <c r="B360" s="1"/>
      <c r="E360" s="3"/>
    </row>
    <row r="361" spans="2:5" x14ac:dyDescent="0.2">
      <c r="B361" s="1"/>
      <c r="E361" s="3"/>
    </row>
    <row r="362" spans="2:5" x14ac:dyDescent="0.2">
      <c r="B362" s="1"/>
      <c r="E362" s="3"/>
    </row>
    <row r="363" spans="2:5" x14ac:dyDescent="0.2">
      <c r="B363" s="1"/>
      <c r="E363" s="3"/>
    </row>
    <row r="364" spans="2:5" x14ac:dyDescent="0.2">
      <c r="B364" s="1"/>
      <c r="E364" s="3"/>
    </row>
    <row r="365" spans="2:5" x14ac:dyDescent="0.2">
      <c r="B365" s="1"/>
      <c r="E365" s="3"/>
    </row>
    <row r="366" spans="2:5" x14ac:dyDescent="0.2">
      <c r="B366" s="1"/>
      <c r="E366" s="3"/>
    </row>
    <row r="367" spans="2:5" x14ac:dyDescent="0.2">
      <c r="B367" s="1"/>
      <c r="E367" s="3"/>
    </row>
    <row r="368" spans="2:5" x14ac:dyDescent="0.2">
      <c r="B368" s="1"/>
      <c r="E368" s="3"/>
    </row>
    <row r="369" spans="2:5" x14ac:dyDescent="0.2">
      <c r="B369" s="1"/>
      <c r="E369" s="3"/>
    </row>
    <row r="370" spans="2:5" x14ac:dyDescent="0.2">
      <c r="B370" s="1"/>
      <c r="E370" s="3"/>
    </row>
    <row r="371" spans="2:5" x14ac:dyDescent="0.2">
      <c r="B371" s="1"/>
      <c r="E371" s="3"/>
    </row>
    <row r="372" spans="2:5" x14ac:dyDescent="0.2">
      <c r="B372" s="1"/>
      <c r="E372" s="3"/>
    </row>
    <row r="373" spans="2:5" x14ac:dyDescent="0.2">
      <c r="B373" s="1"/>
      <c r="E373" s="3"/>
    </row>
    <row r="374" spans="2:5" x14ac:dyDescent="0.2">
      <c r="B374" s="1"/>
      <c r="E374" s="3"/>
    </row>
    <row r="375" spans="2:5" x14ac:dyDescent="0.2">
      <c r="B375" s="1"/>
      <c r="E375" s="3"/>
    </row>
    <row r="376" spans="2:5" x14ac:dyDescent="0.2">
      <c r="B376" s="1"/>
      <c r="E376" s="3"/>
    </row>
    <row r="393" spans="2:5" x14ac:dyDescent="0.2">
      <c r="E393" s="3"/>
    </row>
    <row r="397" spans="2:5" x14ac:dyDescent="0.2">
      <c r="B397" s="1"/>
      <c r="E397" s="3"/>
    </row>
    <row r="398" spans="2:5" x14ac:dyDescent="0.2">
      <c r="B398" s="1"/>
      <c r="E398" s="3"/>
    </row>
    <row r="399" spans="2:5" x14ac:dyDescent="0.2">
      <c r="B399" s="1"/>
      <c r="E399" s="3"/>
    </row>
    <row r="400" spans="2:5" x14ac:dyDescent="0.2">
      <c r="B400" s="1"/>
    </row>
    <row r="401" spans="2:5" x14ac:dyDescent="0.2">
      <c r="B401" s="1"/>
      <c r="E401" s="3"/>
    </row>
    <row r="402" spans="2:5" x14ac:dyDescent="0.2">
      <c r="B402" s="1"/>
      <c r="E402" s="3"/>
    </row>
    <row r="403" spans="2:5" x14ac:dyDescent="0.2">
      <c r="B403" s="1"/>
      <c r="E403" s="3"/>
    </row>
    <row r="404" spans="2:5" x14ac:dyDescent="0.2">
      <c r="B404" s="1"/>
    </row>
    <row r="405" spans="2:5" x14ac:dyDescent="0.2">
      <c r="B405" s="1"/>
    </row>
    <row r="406" spans="2:5" x14ac:dyDescent="0.2">
      <c r="B406" s="1"/>
      <c r="E406" s="3"/>
    </row>
    <row r="407" spans="2:5" x14ac:dyDescent="0.2">
      <c r="B407" s="1"/>
      <c r="E407" s="3"/>
    </row>
    <row r="408" spans="2:5" x14ac:dyDescent="0.2">
      <c r="B408" s="1"/>
      <c r="E408" s="3"/>
    </row>
    <row r="409" spans="2:5" x14ac:dyDescent="0.2">
      <c r="B409" s="1"/>
      <c r="E409" s="3"/>
    </row>
    <row r="425" spans="2:5" x14ac:dyDescent="0.2">
      <c r="E425" s="3"/>
    </row>
    <row r="428" spans="2:5" x14ac:dyDescent="0.2">
      <c r="B428" s="1"/>
    </row>
    <row r="429" spans="2:5" x14ac:dyDescent="0.2">
      <c r="B429" s="1"/>
      <c r="E429" s="3"/>
    </row>
    <row r="430" spans="2:5" x14ac:dyDescent="0.2">
      <c r="B430" s="1"/>
    </row>
    <row r="431" spans="2:5" x14ac:dyDescent="0.2">
      <c r="B431" s="1"/>
      <c r="E431" s="3"/>
    </row>
    <row r="432" spans="2:5" x14ac:dyDescent="0.2">
      <c r="B432" s="1"/>
      <c r="E432" s="3"/>
    </row>
    <row r="433" spans="2:5" x14ac:dyDescent="0.2">
      <c r="B433" s="1"/>
    </row>
    <row r="434" spans="2:5" x14ac:dyDescent="0.2">
      <c r="B434" s="1"/>
      <c r="E434" s="3"/>
    </row>
    <row r="435" spans="2:5" x14ac:dyDescent="0.2">
      <c r="B435" s="1"/>
      <c r="E435" s="3"/>
    </row>
    <row r="436" spans="2:5" x14ac:dyDescent="0.2">
      <c r="B436" s="1"/>
      <c r="E436" s="3"/>
    </row>
    <row r="437" spans="2:5" x14ac:dyDescent="0.2">
      <c r="B437" s="1"/>
      <c r="E437" s="3"/>
    </row>
    <row r="438" spans="2:5" x14ac:dyDescent="0.2">
      <c r="B438" s="1"/>
    </row>
    <row r="439" spans="2:5" x14ac:dyDescent="0.2">
      <c r="B439" s="1"/>
      <c r="E439" s="3"/>
    </row>
    <row r="440" spans="2:5" x14ac:dyDescent="0.2">
      <c r="B440" s="1"/>
      <c r="E440" s="3"/>
    </row>
    <row r="441" spans="2:5" x14ac:dyDescent="0.2">
      <c r="B441" s="1"/>
    </row>
    <row r="459" spans="2:5" x14ac:dyDescent="0.2">
      <c r="E459" s="3"/>
    </row>
    <row r="463" spans="2:5" x14ac:dyDescent="0.2">
      <c r="B463" s="1"/>
      <c r="E463" s="3"/>
    </row>
    <row r="464" spans="2:5" x14ac:dyDescent="0.2">
      <c r="B464" s="1"/>
    </row>
    <row r="465" spans="2:5" x14ac:dyDescent="0.2">
      <c r="B465" s="1"/>
      <c r="E465" s="3"/>
    </row>
    <row r="466" spans="2:5" x14ac:dyDescent="0.2">
      <c r="B466" s="1"/>
      <c r="E466" s="3"/>
    </row>
    <row r="467" spans="2:5" x14ac:dyDescent="0.2">
      <c r="B467" s="1"/>
      <c r="E467" s="3"/>
    </row>
    <row r="468" spans="2:5" x14ac:dyDescent="0.2">
      <c r="B468" s="1"/>
      <c r="E468" s="3"/>
    </row>
    <row r="469" spans="2:5" x14ac:dyDescent="0.2">
      <c r="B469" s="1"/>
    </row>
    <row r="470" spans="2:5" x14ac:dyDescent="0.2">
      <c r="B470" s="1"/>
      <c r="E470" s="3"/>
    </row>
    <row r="471" spans="2:5" x14ac:dyDescent="0.2">
      <c r="B471" s="1"/>
    </row>
    <row r="472" spans="2:5" x14ac:dyDescent="0.2">
      <c r="B472" s="1"/>
      <c r="E472" s="3"/>
    </row>
    <row r="473" spans="2:5" x14ac:dyDescent="0.2">
      <c r="B473" s="1"/>
    </row>
    <row r="474" spans="2:5" x14ac:dyDescent="0.2">
      <c r="B474" s="1"/>
      <c r="E474" s="3"/>
    </row>
    <row r="475" spans="2:5" x14ac:dyDescent="0.2">
      <c r="B475" s="1"/>
      <c r="E475" s="3"/>
    </row>
    <row r="476" spans="2:5" x14ac:dyDescent="0.2">
      <c r="B476" s="1"/>
      <c r="E476" s="3"/>
    </row>
    <row r="477" spans="2:5" x14ac:dyDescent="0.2">
      <c r="B477" s="1"/>
      <c r="E477" s="3"/>
    </row>
    <row r="495" spans="5:5" x14ac:dyDescent="0.2">
      <c r="E495" s="3"/>
    </row>
    <row r="499" spans="2:5" x14ac:dyDescent="0.2">
      <c r="B499" s="1"/>
      <c r="E499" s="3"/>
    </row>
    <row r="500" spans="2:5" x14ac:dyDescent="0.2">
      <c r="B500" s="1"/>
    </row>
    <row r="501" spans="2:5" x14ac:dyDescent="0.2">
      <c r="B501" s="1"/>
      <c r="E501" s="3"/>
    </row>
    <row r="502" spans="2:5" x14ac:dyDescent="0.2">
      <c r="B502" s="1"/>
      <c r="E502" s="3"/>
    </row>
    <row r="503" spans="2:5" x14ac:dyDescent="0.2">
      <c r="B503" s="1"/>
      <c r="E503" s="3"/>
    </row>
    <row r="504" spans="2:5" x14ac:dyDescent="0.2">
      <c r="B504" s="1"/>
    </row>
    <row r="505" spans="2:5" x14ac:dyDescent="0.2">
      <c r="B505" s="1"/>
      <c r="E505" s="3"/>
    </row>
    <row r="506" spans="2:5" x14ac:dyDescent="0.2">
      <c r="B506" s="1"/>
    </row>
    <row r="507" spans="2:5" x14ac:dyDescent="0.2">
      <c r="B507" s="1"/>
    </row>
    <row r="508" spans="2:5" x14ac:dyDescent="0.2">
      <c r="B508" s="1"/>
      <c r="E508" s="3"/>
    </row>
    <row r="531" spans="2:5" x14ac:dyDescent="0.2">
      <c r="E531" s="3"/>
    </row>
    <row r="534" spans="2:5" x14ac:dyDescent="0.2">
      <c r="B534" s="1"/>
    </row>
    <row r="535" spans="2:5" x14ac:dyDescent="0.2">
      <c r="B535" s="1"/>
    </row>
    <row r="536" spans="2:5" x14ac:dyDescent="0.2">
      <c r="B536" s="1"/>
    </row>
    <row r="537" spans="2:5" x14ac:dyDescent="0.2">
      <c r="B537" s="1"/>
    </row>
    <row r="538" spans="2:5" x14ac:dyDescent="0.2">
      <c r="B538" s="1"/>
    </row>
    <row r="539" spans="2:5" x14ac:dyDescent="0.2">
      <c r="B539" s="1"/>
    </row>
    <row r="540" spans="2:5" x14ac:dyDescent="0.2">
      <c r="B540" s="1"/>
      <c r="E540" s="3"/>
    </row>
    <row r="541" spans="2:5" x14ac:dyDescent="0.2">
      <c r="B541" s="1"/>
      <c r="E541" s="3"/>
    </row>
    <row r="542" spans="2:5" x14ac:dyDescent="0.2">
      <c r="B542" s="1"/>
    </row>
    <row r="543" spans="2:5" x14ac:dyDescent="0.2">
      <c r="B543" s="1"/>
      <c r="E543" s="3"/>
    </row>
    <row r="544" spans="2:5" x14ac:dyDescent="0.2">
      <c r="B544" s="1"/>
    </row>
    <row r="545" spans="2:5" x14ac:dyDescent="0.2">
      <c r="B545" s="1"/>
    </row>
    <row r="546" spans="2:5" x14ac:dyDescent="0.2">
      <c r="B546" s="1"/>
    </row>
    <row r="547" spans="2:5" x14ac:dyDescent="0.2">
      <c r="B547" s="1"/>
    </row>
    <row r="548" spans="2:5" x14ac:dyDescent="0.2">
      <c r="B548" s="1"/>
      <c r="E548" s="3"/>
    </row>
    <row r="566" spans="2:5" x14ac:dyDescent="0.2">
      <c r="E566" s="3"/>
    </row>
    <row r="570" spans="2:5" x14ac:dyDescent="0.2">
      <c r="B570" s="1"/>
      <c r="E570" s="3"/>
    </row>
    <row r="571" spans="2:5" x14ac:dyDescent="0.2">
      <c r="B571" s="1"/>
    </row>
    <row r="572" spans="2:5" x14ac:dyDescent="0.2">
      <c r="B572" s="1"/>
      <c r="E572" s="3"/>
    </row>
    <row r="573" spans="2:5" x14ac:dyDescent="0.2">
      <c r="B573" s="1"/>
    </row>
    <row r="574" spans="2:5" x14ac:dyDescent="0.2">
      <c r="B574" s="1"/>
      <c r="E574" s="3"/>
    </row>
    <row r="575" spans="2:5" x14ac:dyDescent="0.2">
      <c r="B575" s="1"/>
    </row>
    <row r="576" spans="2:5" x14ac:dyDescent="0.2">
      <c r="B576" s="1"/>
      <c r="E576" s="3"/>
    </row>
    <row r="577" spans="2:5" x14ac:dyDescent="0.2">
      <c r="B577" s="1"/>
      <c r="E577" s="3"/>
    </row>
    <row r="578" spans="2:5" x14ac:dyDescent="0.2">
      <c r="B578" s="1"/>
      <c r="E578" s="3"/>
    </row>
    <row r="579" spans="2:5" x14ac:dyDescent="0.2">
      <c r="B579" s="1"/>
      <c r="E579" s="3"/>
    </row>
    <row r="580" spans="2:5" x14ac:dyDescent="0.2">
      <c r="B580" s="1"/>
      <c r="E580" s="3"/>
    </row>
    <row r="581" spans="2:5" x14ac:dyDescent="0.2">
      <c r="B581" s="1"/>
    </row>
    <row r="582" spans="2:5" x14ac:dyDescent="0.2">
      <c r="B582" s="1"/>
    </row>
    <row r="583" spans="2:5" x14ac:dyDescent="0.2">
      <c r="B583" s="1"/>
    </row>
    <row r="584" spans="2:5" x14ac:dyDescent="0.2">
      <c r="B584" s="1"/>
      <c r="E584" s="3"/>
    </row>
    <row r="601" spans="2:5" x14ac:dyDescent="0.2">
      <c r="E601" s="3"/>
    </row>
    <row r="607" spans="2:5" x14ac:dyDescent="0.2">
      <c r="B607" s="1"/>
      <c r="E607" s="3"/>
    </row>
    <row r="608" spans="2:5" x14ac:dyDescent="0.2">
      <c r="B608" s="1"/>
    </row>
    <row r="609" spans="2:5" x14ac:dyDescent="0.2">
      <c r="B609" s="1"/>
    </row>
    <row r="610" spans="2:5" x14ac:dyDescent="0.2">
      <c r="B610" s="1"/>
    </row>
    <row r="611" spans="2:5" x14ac:dyDescent="0.2">
      <c r="B611" s="1"/>
      <c r="E611" s="3"/>
    </row>
    <row r="612" spans="2:5" x14ac:dyDescent="0.2">
      <c r="B612" s="1"/>
      <c r="E612" s="3"/>
    </row>
    <row r="613" spans="2:5" x14ac:dyDescent="0.2">
      <c r="B613" s="1"/>
    </row>
    <row r="614" spans="2:5" x14ac:dyDescent="0.2">
      <c r="B614" s="1"/>
    </row>
    <row r="615" spans="2:5" x14ac:dyDescent="0.2">
      <c r="B615" s="1"/>
      <c r="E615" s="3"/>
    </row>
    <row r="616" spans="2:5" x14ac:dyDescent="0.2">
      <c r="B616" s="1"/>
      <c r="E616" s="3"/>
    </row>
    <row r="617" spans="2:5" x14ac:dyDescent="0.2">
      <c r="B617" s="1"/>
      <c r="E617" s="3"/>
    </row>
    <row r="618" spans="2:5" x14ac:dyDescent="0.2">
      <c r="B618" s="1"/>
      <c r="E618" s="3"/>
    </row>
    <row r="619" spans="2:5" x14ac:dyDescent="0.2">
      <c r="B619" s="1"/>
    </row>
    <row r="620" spans="2:5" x14ac:dyDescent="0.2">
      <c r="B620" s="1"/>
      <c r="E620" s="3"/>
    </row>
    <row r="635" spans="5:5" x14ac:dyDescent="0.2">
      <c r="E635" s="3"/>
    </row>
    <row r="641" spans="2:5" x14ac:dyDescent="0.2">
      <c r="B641" s="1"/>
      <c r="E641" s="3"/>
    </row>
    <row r="642" spans="2:5" x14ac:dyDescent="0.2">
      <c r="B642" s="1"/>
      <c r="E642" s="3"/>
    </row>
    <row r="643" spans="2:5" x14ac:dyDescent="0.2">
      <c r="B643" s="1"/>
      <c r="E643" s="3"/>
    </row>
    <row r="644" spans="2:5" x14ac:dyDescent="0.2">
      <c r="B644" s="1"/>
      <c r="E644" s="3"/>
    </row>
    <row r="645" spans="2:5" x14ac:dyDescent="0.2">
      <c r="B645" s="1"/>
      <c r="E645" s="3"/>
    </row>
    <row r="646" spans="2:5" x14ac:dyDescent="0.2">
      <c r="B646" s="1"/>
      <c r="E646" s="3"/>
    </row>
    <row r="647" spans="2:5" x14ac:dyDescent="0.2">
      <c r="B647" s="1"/>
    </row>
    <row r="648" spans="2:5" x14ac:dyDescent="0.2">
      <c r="B648" s="1"/>
    </row>
    <row r="649" spans="2:5" x14ac:dyDescent="0.2">
      <c r="B649" s="1"/>
      <c r="E649" s="3"/>
    </row>
    <row r="650" spans="2:5" x14ac:dyDescent="0.2">
      <c r="B650" s="1"/>
      <c r="E650" s="3"/>
    </row>
    <row r="651" spans="2:5" x14ac:dyDescent="0.2">
      <c r="B651" s="1"/>
      <c r="E651" s="3"/>
    </row>
    <row r="652" spans="2:5" x14ac:dyDescent="0.2">
      <c r="B652" s="1"/>
    </row>
    <row r="653" spans="2:5" x14ac:dyDescent="0.2">
      <c r="B653" s="1"/>
      <c r="E653" s="3"/>
    </row>
    <row r="654" spans="2:5" x14ac:dyDescent="0.2">
      <c r="B654" s="1"/>
      <c r="E654" s="3"/>
    </row>
    <row r="655" spans="2:5" x14ac:dyDescent="0.2">
      <c r="B655" s="1"/>
      <c r="E655" s="3"/>
    </row>
    <row r="670" spans="5:5" x14ac:dyDescent="0.2">
      <c r="E670" s="3"/>
    </row>
    <row r="674" spans="2:5" x14ac:dyDescent="0.2">
      <c r="B674" s="1"/>
      <c r="E674" s="3"/>
    </row>
    <row r="675" spans="2:5" x14ac:dyDescent="0.2">
      <c r="B675" s="1"/>
      <c r="E675" s="3"/>
    </row>
    <row r="676" spans="2:5" x14ac:dyDescent="0.2">
      <c r="B676" s="1"/>
      <c r="E676" s="3"/>
    </row>
    <row r="677" spans="2:5" x14ac:dyDescent="0.2">
      <c r="B677" s="1"/>
      <c r="E677" s="3"/>
    </row>
    <row r="678" spans="2:5" x14ac:dyDescent="0.2">
      <c r="B678" s="1"/>
      <c r="E678" s="3"/>
    </row>
    <row r="679" spans="2:5" x14ac:dyDescent="0.2">
      <c r="B679" s="1"/>
    </row>
    <row r="680" spans="2:5" x14ac:dyDescent="0.2">
      <c r="B680" s="1"/>
      <c r="E680" s="3"/>
    </row>
    <row r="681" spans="2:5" x14ac:dyDescent="0.2">
      <c r="B681" s="1"/>
      <c r="E681" s="3"/>
    </row>
    <row r="682" spans="2:5" x14ac:dyDescent="0.2">
      <c r="B682" s="1"/>
      <c r="E682" s="3"/>
    </row>
    <row r="683" spans="2:5" x14ac:dyDescent="0.2">
      <c r="B683" s="1"/>
      <c r="E683" s="3"/>
    </row>
    <row r="684" spans="2:5" x14ac:dyDescent="0.2">
      <c r="B684" s="1"/>
    </row>
    <row r="685" spans="2:5" x14ac:dyDescent="0.2">
      <c r="B685" s="1"/>
    </row>
    <row r="686" spans="2:5" x14ac:dyDescent="0.2">
      <c r="B686" s="1"/>
      <c r="E686" s="3"/>
    </row>
    <row r="687" spans="2:5" x14ac:dyDescent="0.2">
      <c r="B687" s="1"/>
      <c r="E687" s="3"/>
    </row>
    <row r="688" spans="2:5" x14ac:dyDescent="0.2">
      <c r="B688" s="1"/>
      <c r="E688" s="3"/>
    </row>
    <row r="689" spans="2:5" x14ac:dyDescent="0.2">
      <c r="B689" s="1"/>
      <c r="E689" s="3"/>
    </row>
    <row r="705" spans="2:5" x14ac:dyDescent="0.2">
      <c r="E705" s="3"/>
    </row>
    <row r="708" spans="2:5" x14ac:dyDescent="0.2">
      <c r="B708" s="1"/>
    </row>
    <row r="709" spans="2:5" x14ac:dyDescent="0.2">
      <c r="B709" s="1"/>
      <c r="E709" s="3"/>
    </row>
    <row r="710" spans="2:5" x14ac:dyDescent="0.2">
      <c r="B710" s="1"/>
      <c r="E710" s="3"/>
    </row>
    <row r="711" spans="2:5" x14ac:dyDescent="0.2">
      <c r="B711" s="1"/>
      <c r="E711" s="3"/>
    </row>
    <row r="712" spans="2:5" x14ac:dyDescent="0.2">
      <c r="B712" s="1"/>
      <c r="E712" s="3"/>
    </row>
    <row r="713" spans="2:5" x14ac:dyDescent="0.2">
      <c r="B713" s="1"/>
      <c r="E713" s="3"/>
    </row>
    <row r="714" spans="2:5" x14ac:dyDescent="0.2">
      <c r="B714" s="1"/>
    </row>
    <row r="715" spans="2:5" x14ac:dyDescent="0.2">
      <c r="B715" s="1"/>
      <c r="E715" s="3"/>
    </row>
    <row r="716" spans="2:5" x14ac:dyDescent="0.2">
      <c r="B716" s="1"/>
      <c r="E716" s="3"/>
    </row>
    <row r="717" spans="2:5" x14ac:dyDescent="0.2">
      <c r="B717" s="1"/>
      <c r="E717" s="3"/>
    </row>
    <row r="718" spans="2:5" x14ac:dyDescent="0.2">
      <c r="B718" s="1"/>
      <c r="E718" s="3"/>
    </row>
    <row r="719" spans="2:5" x14ac:dyDescent="0.2">
      <c r="B719" s="1"/>
      <c r="E719" s="3"/>
    </row>
    <row r="720" spans="2:5" x14ac:dyDescent="0.2">
      <c r="B720" s="1"/>
      <c r="E720" s="3"/>
    </row>
    <row r="721" spans="2:5" x14ac:dyDescent="0.2">
      <c r="B721" s="1"/>
      <c r="E721" s="3"/>
    </row>
    <row r="722" spans="2:5" x14ac:dyDescent="0.2">
      <c r="B722" s="1"/>
      <c r="E722" s="3"/>
    </row>
    <row r="723" spans="2:5" x14ac:dyDescent="0.2">
      <c r="B723" s="1"/>
      <c r="E723" s="3"/>
    </row>
    <row r="724" spans="2:5" x14ac:dyDescent="0.2">
      <c r="B724" s="1"/>
      <c r="E724" s="3"/>
    </row>
    <row r="741" spans="2:5" x14ac:dyDescent="0.2">
      <c r="E741" s="3"/>
    </row>
    <row r="748" spans="2:5" x14ac:dyDescent="0.2">
      <c r="B748" s="1"/>
      <c r="E748" s="3"/>
    </row>
    <row r="749" spans="2:5" x14ac:dyDescent="0.2">
      <c r="B749" s="1"/>
    </row>
    <row r="750" spans="2:5" x14ac:dyDescent="0.2">
      <c r="B750" s="1"/>
    </row>
    <row r="751" spans="2:5" x14ac:dyDescent="0.2">
      <c r="B751" s="1"/>
    </row>
    <row r="752" spans="2:5" x14ac:dyDescent="0.2">
      <c r="B752" s="1"/>
    </row>
    <row r="753" spans="2:5" x14ac:dyDescent="0.2">
      <c r="B753" s="1"/>
      <c r="E753" s="3"/>
    </row>
    <row r="754" spans="2:5" x14ac:dyDescent="0.2">
      <c r="B754" s="1"/>
    </row>
    <row r="755" spans="2:5" x14ac:dyDescent="0.2">
      <c r="B755" s="1"/>
      <c r="E755" s="3"/>
    </row>
    <row r="756" spans="2:5" x14ac:dyDescent="0.2">
      <c r="B756" s="1"/>
      <c r="E756" s="3"/>
    </row>
    <row r="757" spans="2:5" x14ac:dyDescent="0.2">
      <c r="B757" s="1"/>
    </row>
    <row r="758" spans="2:5" x14ac:dyDescent="0.2">
      <c r="B758" s="1"/>
      <c r="E758" s="3"/>
    </row>
    <row r="759" spans="2:5" x14ac:dyDescent="0.2">
      <c r="B759" s="1"/>
      <c r="E759" s="3"/>
    </row>
    <row r="760" spans="2:5" x14ac:dyDescent="0.2">
      <c r="B760" s="1"/>
      <c r="E760" s="3"/>
    </row>
    <row r="761" spans="2:5" x14ac:dyDescent="0.2">
      <c r="B761" s="1"/>
    </row>
    <row r="762" spans="2:5" x14ac:dyDescent="0.2">
      <c r="B762" s="1"/>
      <c r="E762" s="3"/>
    </row>
    <row r="775" spans="2:5" x14ac:dyDescent="0.2">
      <c r="E775" s="3"/>
    </row>
    <row r="778" spans="2:5" x14ac:dyDescent="0.2">
      <c r="B778" s="1"/>
      <c r="E778" s="3"/>
    </row>
    <row r="779" spans="2:5" x14ac:dyDescent="0.2">
      <c r="B779" s="1"/>
      <c r="E779" s="3"/>
    </row>
    <row r="780" spans="2:5" x14ac:dyDescent="0.2">
      <c r="B780" s="1"/>
      <c r="E780" s="3"/>
    </row>
    <row r="781" spans="2:5" x14ac:dyDescent="0.2">
      <c r="B781" s="1"/>
    </row>
    <row r="782" spans="2:5" x14ac:dyDescent="0.2">
      <c r="B782" s="1"/>
      <c r="E782" s="3"/>
    </row>
    <row r="783" spans="2:5" x14ac:dyDescent="0.2">
      <c r="B783" s="1"/>
      <c r="E783" s="3"/>
    </row>
    <row r="784" spans="2:5" x14ac:dyDescent="0.2">
      <c r="B784" s="1"/>
      <c r="E784" s="3"/>
    </row>
    <row r="785" spans="2:5" x14ac:dyDescent="0.2">
      <c r="B785" s="1"/>
      <c r="E785" s="3"/>
    </row>
    <row r="786" spans="2:5" x14ac:dyDescent="0.2">
      <c r="B786" s="1"/>
      <c r="E786" s="3"/>
    </row>
    <row r="787" spans="2:5" x14ac:dyDescent="0.2">
      <c r="B787" s="1"/>
    </row>
    <row r="788" spans="2:5" x14ac:dyDescent="0.2">
      <c r="B788" s="1"/>
      <c r="E788" s="3"/>
    </row>
    <row r="789" spans="2:5" x14ac:dyDescent="0.2">
      <c r="B789" s="1"/>
    </row>
    <row r="790" spans="2:5" x14ac:dyDescent="0.2">
      <c r="B790" s="1"/>
      <c r="E790" s="3"/>
    </row>
    <row r="810" spans="2:5" x14ac:dyDescent="0.2">
      <c r="E810" s="3"/>
    </row>
    <row r="814" spans="2:5" x14ac:dyDescent="0.2">
      <c r="B814" s="1"/>
      <c r="E814" s="3"/>
    </row>
    <row r="815" spans="2:5" x14ac:dyDescent="0.2">
      <c r="B815" s="1"/>
      <c r="E815" s="3"/>
    </row>
    <row r="816" spans="2:5" x14ac:dyDescent="0.2">
      <c r="B816" s="1"/>
      <c r="E816" s="3"/>
    </row>
    <row r="817" spans="2:5" x14ac:dyDescent="0.2">
      <c r="B817" s="1"/>
      <c r="E817" s="3"/>
    </row>
    <row r="818" spans="2:5" x14ac:dyDescent="0.2">
      <c r="B818" s="1"/>
      <c r="E818" s="3"/>
    </row>
    <row r="819" spans="2:5" x14ac:dyDescent="0.2">
      <c r="B819" s="1"/>
      <c r="E819" s="3"/>
    </row>
    <row r="820" spans="2:5" x14ac:dyDescent="0.2">
      <c r="B820" s="1"/>
      <c r="E820" s="3"/>
    </row>
    <row r="821" spans="2:5" x14ac:dyDescent="0.2">
      <c r="B821" s="1"/>
      <c r="E821" s="3"/>
    </row>
    <row r="822" spans="2:5" x14ac:dyDescent="0.2">
      <c r="B822" s="1"/>
      <c r="E822" s="3"/>
    </row>
    <row r="823" spans="2:5" x14ac:dyDescent="0.2">
      <c r="B823" s="1"/>
    </row>
    <row r="824" spans="2:5" x14ac:dyDescent="0.2">
      <c r="B824" s="1"/>
      <c r="E824" s="3"/>
    </row>
    <row r="825" spans="2:5" x14ac:dyDescent="0.2">
      <c r="B825" s="1"/>
    </row>
    <row r="826" spans="2:5" x14ac:dyDescent="0.2">
      <c r="B826" s="1"/>
      <c r="E826" s="3"/>
    </row>
    <row r="827" spans="2:5" x14ac:dyDescent="0.2">
      <c r="B827" s="1"/>
      <c r="E827" s="3"/>
    </row>
    <row r="828" spans="2:5" x14ac:dyDescent="0.2">
      <c r="B828" s="1"/>
      <c r="E828" s="3"/>
    </row>
    <row r="844" spans="5:5" x14ac:dyDescent="0.2">
      <c r="E844" s="3"/>
    </row>
    <row r="846" spans="5:5" x14ac:dyDescent="0.2">
      <c r="E846" s="3"/>
    </row>
    <row r="849" spans="2:5" x14ac:dyDescent="0.2">
      <c r="B849" s="1"/>
      <c r="E849" s="3"/>
    </row>
    <row r="850" spans="2:5" x14ac:dyDescent="0.2">
      <c r="B850" s="1"/>
      <c r="E850" s="3"/>
    </row>
    <row r="851" spans="2:5" x14ac:dyDescent="0.2">
      <c r="B851" s="1"/>
      <c r="E851" s="3"/>
    </row>
    <row r="852" spans="2:5" x14ac:dyDescent="0.2">
      <c r="B852" s="1"/>
      <c r="E852" s="3"/>
    </row>
    <row r="853" spans="2:5" x14ac:dyDescent="0.2">
      <c r="B853" s="1"/>
      <c r="E853" s="3"/>
    </row>
    <row r="854" spans="2:5" x14ac:dyDescent="0.2">
      <c r="B854" s="1"/>
      <c r="E854" s="3"/>
    </row>
    <row r="855" spans="2:5" x14ac:dyDescent="0.2">
      <c r="B855" s="1"/>
      <c r="E855" s="3"/>
    </row>
    <row r="856" spans="2:5" x14ac:dyDescent="0.2">
      <c r="B856" s="1"/>
      <c r="E856" s="3"/>
    </row>
    <row r="857" spans="2:5" x14ac:dyDescent="0.2">
      <c r="B857" s="1"/>
      <c r="E857" s="3"/>
    </row>
    <row r="858" spans="2:5" x14ac:dyDescent="0.2">
      <c r="B858" s="1"/>
      <c r="E858" s="3"/>
    </row>
    <row r="859" spans="2:5" x14ac:dyDescent="0.2">
      <c r="B859" s="1"/>
      <c r="E859" s="3"/>
    </row>
    <row r="860" spans="2:5" x14ac:dyDescent="0.2">
      <c r="B860" s="1"/>
      <c r="E860" s="3"/>
    </row>
    <row r="861" spans="2:5" x14ac:dyDescent="0.2">
      <c r="B861" s="1"/>
      <c r="E861" s="3"/>
    </row>
    <row r="862" spans="2:5" x14ac:dyDescent="0.2">
      <c r="B862" s="1"/>
      <c r="E862" s="3"/>
    </row>
    <row r="863" spans="2:5" x14ac:dyDescent="0.2">
      <c r="B863" s="1"/>
      <c r="E863" s="3"/>
    </row>
    <row r="880" spans="5:5" x14ac:dyDescent="0.2">
      <c r="E880" s="3"/>
    </row>
    <row r="883" spans="2:5" x14ac:dyDescent="0.2">
      <c r="B883" s="1"/>
    </row>
    <row r="884" spans="2:5" x14ac:dyDescent="0.2">
      <c r="B884" s="1"/>
      <c r="E884" s="3"/>
    </row>
    <row r="885" spans="2:5" x14ac:dyDescent="0.2">
      <c r="B885" s="1"/>
      <c r="E885" s="3"/>
    </row>
    <row r="886" spans="2:5" x14ac:dyDescent="0.2">
      <c r="B886" s="1"/>
      <c r="E886" s="3"/>
    </row>
    <row r="887" spans="2:5" x14ac:dyDescent="0.2">
      <c r="B887" s="1"/>
      <c r="E887" s="3"/>
    </row>
    <row r="888" spans="2:5" x14ac:dyDescent="0.2">
      <c r="B888" s="1"/>
      <c r="E888" s="3"/>
    </row>
    <row r="889" spans="2:5" x14ac:dyDescent="0.2">
      <c r="B889" s="1"/>
      <c r="E889" s="3"/>
    </row>
    <row r="890" spans="2:5" x14ac:dyDescent="0.2">
      <c r="B890" s="1"/>
      <c r="E890" s="3"/>
    </row>
    <row r="891" spans="2:5" x14ac:dyDescent="0.2">
      <c r="B891" s="1"/>
      <c r="E891" s="3"/>
    </row>
    <row r="892" spans="2:5" x14ac:dyDescent="0.2">
      <c r="B892" s="1"/>
      <c r="E892" s="3"/>
    </row>
    <row r="893" spans="2:5" x14ac:dyDescent="0.2">
      <c r="B893" s="1"/>
    </row>
    <row r="894" spans="2:5" x14ac:dyDescent="0.2">
      <c r="B894" s="1"/>
      <c r="E894" s="3"/>
    </row>
    <row r="895" spans="2:5" x14ac:dyDescent="0.2">
      <c r="B895" s="1"/>
    </row>
    <row r="896" spans="2:5" x14ac:dyDescent="0.2">
      <c r="B896" s="1"/>
      <c r="E896" s="3"/>
    </row>
    <row r="897" spans="2:5" x14ac:dyDescent="0.2">
      <c r="B897" s="1"/>
      <c r="E897" s="3"/>
    </row>
    <row r="898" spans="2:5" x14ac:dyDescent="0.2">
      <c r="B898" s="1"/>
      <c r="E898" s="3"/>
    </row>
    <row r="915" spans="2:5" x14ac:dyDescent="0.2">
      <c r="E915" s="3"/>
    </row>
    <row r="918" spans="2:5" x14ac:dyDescent="0.2">
      <c r="B918" s="1"/>
      <c r="E918" s="3"/>
    </row>
    <row r="919" spans="2:5" x14ac:dyDescent="0.2">
      <c r="B919" s="1"/>
      <c r="E919" s="3"/>
    </row>
    <row r="920" spans="2:5" x14ac:dyDescent="0.2">
      <c r="B920" s="1"/>
      <c r="E920" s="3"/>
    </row>
    <row r="921" spans="2:5" x14ac:dyDescent="0.2">
      <c r="B921" s="1"/>
      <c r="E921" s="3"/>
    </row>
    <row r="922" spans="2:5" x14ac:dyDescent="0.2">
      <c r="B922" s="1"/>
      <c r="E922" s="3"/>
    </row>
    <row r="923" spans="2:5" x14ac:dyDescent="0.2">
      <c r="B923" s="1"/>
      <c r="E923" s="3"/>
    </row>
    <row r="924" spans="2:5" x14ac:dyDescent="0.2">
      <c r="B924" s="1"/>
      <c r="E924" s="3"/>
    </row>
    <row r="925" spans="2:5" x14ac:dyDescent="0.2">
      <c r="B925" s="1"/>
      <c r="E925" s="3"/>
    </row>
    <row r="926" spans="2:5" x14ac:dyDescent="0.2">
      <c r="B926" s="1"/>
      <c r="E926" s="3"/>
    </row>
    <row r="927" spans="2:5" x14ac:dyDescent="0.2">
      <c r="B927" s="1"/>
      <c r="E927" s="3"/>
    </row>
    <row r="928" spans="2:5" x14ac:dyDescent="0.2">
      <c r="B928" s="1"/>
    </row>
    <row r="929" spans="2:5" x14ac:dyDescent="0.2">
      <c r="B929" s="1"/>
      <c r="E929" s="3"/>
    </row>
    <row r="930" spans="2:5" x14ac:dyDescent="0.2">
      <c r="B930" s="1"/>
      <c r="E930" s="3"/>
    </row>
    <row r="931" spans="2:5" x14ac:dyDescent="0.2">
      <c r="B931" s="1"/>
      <c r="E931" s="3"/>
    </row>
    <row r="932" spans="2:5" x14ac:dyDescent="0.2">
      <c r="B932" s="1"/>
      <c r="E932" s="3"/>
    </row>
    <row r="933" spans="2:5" x14ac:dyDescent="0.2">
      <c r="B933" s="1"/>
      <c r="E933" s="3"/>
    </row>
    <row r="950" spans="2:5" x14ac:dyDescent="0.2">
      <c r="E950" s="3"/>
    </row>
    <row r="953" spans="2:5" x14ac:dyDescent="0.2">
      <c r="B953" s="1"/>
      <c r="E953" s="3"/>
    </row>
    <row r="954" spans="2:5" x14ac:dyDescent="0.2">
      <c r="B954" s="1"/>
      <c r="E954" s="3"/>
    </row>
    <row r="955" spans="2:5" x14ac:dyDescent="0.2">
      <c r="B955" s="1"/>
      <c r="E955" s="3"/>
    </row>
    <row r="956" spans="2:5" x14ac:dyDescent="0.2">
      <c r="B956" s="1"/>
      <c r="E956" s="3"/>
    </row>
    <row r="957" spans="2:5" x14ac:dyDescent="0.2">
      <c r="B957" s="1"/>
      <c r="E957" s="3"/>
    </row>
    <row r="958" spans="2:5" x14ac:dyDescent="0.2">
      <c r="B958" s="1"/>
      <c r="E958" s="3"/>
    </row>
    <row r="959" spans="2:5" x14ac:dyDescent="0.2">
      <c r="B959" s="1"/>
      <c r="E959" s="3"/>
    </row>
    <row r="960" spans="2:5" x14ac:dyDescent="0.2">
      <c r="B960" s="1"/>
      <c r="E960" s="3"/>
    </row>
    <row r="961" spans="2:5" x14ac:dyDescent="0.2">
      <c r="B961" s="1"/>
      <c r="E961" s="3"/>
    </row>
    <row r="962" spans="2:5" x14ac:dyDescent="0.2">
      <c r="B962" s="1"/>
      <c r="E962" s="3"/>
    </row>
    <row r="963" spans="2:5" x14ac:dyDescent="0.2">
      <c r="B963" s="1"/>
    </row>
    <row r="964" spans="2:5" x14ac:dyDescent="0.2">
      <c r="B964" s="1"/>
      <c r="E964" s="3"/>
    </row>
    <row r="965" spans="2:5" x14ac:dyDescent="0.2">
      <c r="B965" s="1"/>
      <c r="E965" s="3"/>
    </row>
    <row r="966" spans="2:5" x14ac:dyDescent="0.2">
      <c r="B966" s="1"/>
      <c r="E966" s="3"/>
    </row>
    <row r="967" spans="2:5" x14ac:dyDescent="0.2">
      <c r="B967" s="1"/>
      <c r="E967" s="3"/>
    </row>
    <row r="968" spans="2:5" x14ac:dyDescent="0.2">
      <c r="B968" s="1"/>
      <c r="E968" s="3"/>
    </row>
    <row r="985" spans="2:5" x14ac:dyDescent="0.2">
      <c r="E985" s="3"/>
    </row>
    <row r="988" spans="2:5" x14ac:dyDescent="0.2">
      <c r="B988" s="1"/>
      <c r="E988" s="3"/>
    </row>
    <row r="989" spans="2:5" x14ac:dyDescent="0.2">
      <c r="B989" s="1"/>
      <c r="E989" s="3"/>
    </row>
    <row r="990" spans="2:5" x14ac:dyDescent="0.2">
      <c r="B990" s="1"/>
      <c r="E990" s="3"/>
    </row>
    <row r="991" spans="2:5" x14ac:dyDescent="0.2">
      <c r="B991" s="1"/>
      <c r="E991" s="3"/>
    </row>
    <row r="992" spans="2:5" x14ac:dyDescent="0.2">
      <c r="B992" s="1"/>
      <c r="E992" s="3"/>
    </row>
    <row r="993" spans="2:5" x14ac:dyDescent="0.2">
      <c r="B993" s="1"/>
      <c r="E993" s="3"/>
    </row>
    <row r="994" spans="2:5" x14ac:dyDescent="0.2">
      <c r="B994" s="1"/>
      <c r="E994" s="3"/>
    </row>
    <row r="995" spans="2:5" x14ac:dyDescent="0.2">
      <c r="B995" s="1"/>
      <c r="E995" s="3"/>
    </row>
    <row r="996" spans="2:5" x14ac:dyDescent="0.2">
      <c r="B996" s="1"/>
      <c r="E996" s="3"/>
    </row>
    <row r="997" spans="2:5" x14ac:dyDescent="0.2">
      <c r="B997" s="1"/>
      <c r="E997" s="3"/>
    </row>
    <row r="998" spans="2:5" x14ac:dyDescent="0.2">
      <c r="B998" s="1"/>
    </row>
    <row r="999" spans="2:5" x14ac:dyDescent="0.2">
      <c r="B999" s="1"/>
      <c r="E999" s="3"/>
    </row>
    <row r="1000" spans="2:5" x14ac:dyDescent="0.2">
      <c r="B1000" s="1"/>
      <c r="E1000" s="3"/>
    </row>
    <row r="1001" spans="2:5" x14ac:dyDescent="0.2">
      <c r="B1001" s="1"/>
      <c r="E1001" s="3"/>
    </row>
    <row r="1002" spans="2:5" x14ac:dyDescent="0.2">
      <c r="B1002" s="1"/>
      <c r="E1002" s="3"/>
    </row>
    <row r="1003" spans="2:5" x14ac:dyDescent="0.2">
      <c r="B1003" s="1"/>
      <c r="E1003" s="3"/>
    </row>
    <row r="1020" spans="2:5" x14ac:dyDescent="0.2">
      <c r="E1020" s="3"/>
    </row>
    <row r="1023" spans="2:5" x14ac:dyDescent="0.2">
      <c r="B1023" s="1"/>
      <c r="E1023" s="3"/>
    </row>
    <row r="1024" spans="2:5" x14ac:dyDescent="0.2">
      <c r="B1024" s="1"/>
      <c r="E1024" s="3"/>
    </row>
    <row r="1025" spans="2:5" x14ac:dyDescent="0.2">
      <c r="B1025" s="1"/>
      <c r="E1025" s="3"/>
    </row>
    <row r="1026" spans="2:5" x14ac:dyDescent="0.2">
      <c r="B1026" s="1"/>
      <c r="E1026" s="3"/>
    </row>
    <row r="1027" spans="2:5" x14ac:dyDescent="0.2">
      <c r="B1027" s="1"/>
      <c r="E1027" s="3"/>
    </row>
    <row r="1028" spans="2:5" x14ac:dyDescent="0.2">
      <c r="B1028" s="1"/>
      <c r="E1028" s="3"/>
    </row>
    <row r="1029" spans="2:5" x14ac:dyDescent="0.2">
      <c r="B1029" s="1"/>
      <c r="E1029" s="3"/>
    </row>
    <row r="1030" spans="2:5" x14ac:dyDescent="0.2">
      <c r="B1030" s="1"/>
      <c r="E1030" s="3"/>
    </row>
    <row r="1031" spans="2:5" x14ac:dyDescent="0.2">
      <c r="B1031" s="1"/>
      <c r="E1031" s="3"/>
    </row>
    <row r="1032" spans="2:5" x14ac:dyDescent="0.2">
      <c r="B1032" s="1"/>
      <c r="E1032" s="3"/>
    </row>
    <row r="1033" spans="2:5" x14ac:dyDescent="0.2">
      <c r="B1033" s="1"/>
    </row>
    <row r="1034" spans="2:5" x14ac:dyDescent="0.2">
      <c r="B1034" s="1"/>
      <c r="E1034" s="3"/>
    </row>
    <row r="1035" spans="2:5" x14ac:dyDescent="0.2">
      <c r="B1035" s="1"/>
      <c r="E1035" s="3"/>
    </row>
    <row r="1036" spans="2:5" x14ac:dyDescent="0.2">
      <c r="B1036" s="1"/>
      <c r="E1036" s="3"/>
    </row>
    <row r="1037" spans="2:5" x14ac:dyDescent="0.2">
      <c r="B1037" s="1"/>
      <c r="E1037" s="3"/>
    </row>
    <row r="1038" spans="2:5" x14ac:dyDescent="0.2">
      <c r="B1038" s="1"/>
      <c r="E1038" s="3"/>
    </row>
    <row r="1039" spans="2:5" x14ac:dyDescent="0.2">
      <c r="B1039" s="1"/>
      <c r="E1039" s="3"/>
    </row>
    <row r="1056" spans="4:5" x14ac:dyDescent="0.2">
      <c r="D1056" s="3"/>
      <c r="E1056" s="3"/>
    </row>
    <row r="1060" spans="2:5" x14ac:dyDescent="0.2">
      <c r="B1060" s="1"/>
      <c r="E1060" s="3"/>
    </row>
    <row r="1061" spans="2:5" x14ac:dyDescent="0.2">
      <c r="B1061" s="1"/>
      <c r="E1061" s="3"/>
    </row>
    <row r="1062" spans="2:5" x14ac:dyDescent="0.2">
      <c r="B1062" s="1"/>
      <c r="E1062" s="3"/>
    </row>
    <row r="1063" spans="2:5" x14ac:dyDescent="0.2">
      <c r="B1063" s="1"/>
      <c r="E1063" s="3"/>
    </row>
    <row r="1064" spans="2:5" x14ac:dyDescent="0.2">
      <c r="B1064" s="1"/>
      <c r="E1064" s="3"/>
    </row>
    <row r="1065" spans="2:5" x14ac:dyDescent="0.2">
      <c r="B1065" s="1"/>
      <c r="E1065" s="3"/>
    </row>
    <row r="1066" spans="2:5" x14ac:dyDescent="0.2">
      <c r="B1066" s="1"/>
    </row>
    <row r="1067" spans="2:5" x14ac:dyDescent="0.2">
      <c r="B1067" s="1"/>
      <c r="E1067" s="3"/>
    </row>
    <row r="1068" spans="2:5" x14ac:dyDescent="0.2">
      <c r="B1068" s="1"/>
      <c r="E1068" s="3"/>
    </row>
    <row r="1069" spans="2:5" x14ac:dyDescent="0.2">
      <c r="B1069" s="1"/>
      <c r="E1069" s="3"/>
    </row>
    <row r="1070" spans="2:5" x14ac:dyDescent="0.2">
      <c r="B1070" s="1"/>
      <c r="E1070" s="3"/>
    </row>
    <row r="1071" spans="2:5" x14ac:dyDescent="0.2">
      <c r="B1071" s="1"/>
      <c r="E1071" s="3"/>
    </row>
    <row r="1072" spans="2:5" x14ac:dyDescent="0.2">
      <c r="B1072" s="1"/>
      <c r="E1072" s="3"/>
    </row>
    <row r="1073" spans="2:5" x14ac:dyDescent="0.2">
      <c r="B1073" s="1"/>
      <c r="E1073" s="3"/>
    </row>
    <row r="1092" spans="2:5" x14ac:dyDescent="0.2">
      <c r="E1092" s="3"/>
    </row>
    <row r="1098" spans="2:5" x14ac:dyDescent="0.2">
      <c r="B1098" s="1"/>
      <c r="E1098" s="3"/>
    </row>
    <row r="1099" spans="2:5" x14ac:dyDescent="0.2">
      <c r="B1099" s="1"/>
      <c r="E1099" s="3"/>
    </row>
    <row r="1100" spans="2:5" x14ac:dyDescent="0.2">
      <c r="B1100" s="1"/>
      <c r="E1100" s="3"/>
    </row>
    <row r="1101" spans="2:5" x14ac:dyDescent="0.2">
      <c r="B1101" s="1"/>
      <c r="E1101" s="3"/>
    </row>
    <row r="1102" spans="2:5" x14ac:dyDescent="0.2">
      <c r="B1102" s="1"/>
      <c r="E1102" s="3"/>
    </row>
    <row r="1103" spans="2:5" x14ac:dyDescent="0.2">
      <c r="B1103" s="1"/>
      <c r="E1103" s="3"/>
    </row>
    <row r="1104" spans="2:5" x14ac:dyDescent="0.2">
      <c r="B1104" s="1"/>
      <c r="E1104" s="3"/>
    </row>
    <row r="1105" spans="2:5" x14ac:dyDescent="0.2">
      <c r="B1105" s="1"/>
      <c r="E1105" s="3"/>
    </row>
    <row r="1106" spans="2:5" x14ac:dyDescent="0.2">
      <c r="B1106" s="1"/>
      <c r="E1106" s="3"/>
    </row>
    <row r="1107" spans="2:5" x14ac:dyDescent="0.2">
      <c r="B1107" s="1"/>
      <c r="E1107" s="3"/>
    </row>
    <row r="1108" spans="2:5" x14ac:dyDescent="0.2">
      <c r="B1108" s="1"/>
      <c r="E1108" s="3"/>
    </row>
    <row r="1109" spans="2:5" x14ac:dyDescent="0.2">
      <c r="B1109" s="1"/>
      <c r="E1109" s="3"/>
    </row>
    <row r="1110" spans="2:5" x14ac:dyDescent="0.2">
      <c r="B1110" s="1"/>
      <c r="E1110" s="3"/>
    </row>
    <row r="1129" spans="2:5" x14ac:dyDescent="0.2">
      <c r="E1129" s="3"/>
    </row>
    <row r="1133" spans="2:5" x14ac:dyDescent="0.2">
      <c r="B1133" s="1"/>
      <c r="E1133" s="3"/>
    </row>
    <row r="1134" spans="2:5" x14ac:dyDescent="0.2">
      <c r="B1134" s="1"/>
      <c r="E1134" s="3"/>
    </row>
    <row r="1135" spans="2:5" x14ac:dyDescent="0.2">
      <c r="B1135" s="1"/>
      <c r="E1135" s="3"/>
    </row>
    <row r="1136" spans="2:5" x14ac:dyDescent="0.2">
      <c r="B1136" s="1"/>
    </row>
    <row r="1137" spans="2:5" x14ac:dyDescent="0.2">
      <c r="B1137" s="1"/>
      <c r="E1137" s="3"/>
    </row>
    <row r="1138" spans="2:5" x14ac:dyDescent="0.2">
      <c r="B1138" s="1"/>
      <c r="E1138" s="3"/>
    </row>
    <row r="1139" spans="2:5" x14ac:dyDescent="0.2">
      <c r="B1139" s="1"/>
      <c r="E1139" s="3"/>
    </row>
    <row r="1140" spans="2:5" x14ac:dyDescent="0.2">
      <c r="B1140" s="1"/>
    </row>
    <row r="1141" spans="2:5" x14ac:dyDescent="0.2">
      <c r="B1141" s="1"/>
    </row>
    <row r="1142" spans="2:5" x14ac:dyDescent="0.2">
      <c r="B1142" s="1"/>
      <c r="E1142" s="3"/>
    </row>
    <row r="1143" spans="2:5" x14ac:dyDescent="0.2">
      <c r="B1143" s="1"/>
      <c r="E1143" s="3"/>
    </row>
    <row r="1144" spans="2:5" x14ac:dyDescent="0.2">
      <c r="B1144" s="1"/>
      <c r="E1144" s="3"/>
    </row>
    <row r="1145" spans="2:5" x14ac:dyDescent="0.2">
      <c r="B1145" s="1"/>
      <c r="E1145" s="3"/>
    </row>
  </sheetData>
  <phoneticPr fontId="0" type="noConversion"/>
  <pageMargins left="0.75" right="0.75" top="1" bottom="1" header="0" footer="0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view="pageBreakPreview" zoomScale="60" zoomScaleNormal="100" workbookViewId="0">
      <selection activeCell="G13" sqref="G13"/>
    </sheetView>
  </sheetViews>
  <sheetFormatPr baseColWidth="10" defaultRowHeight="12.75" x14ac:dyDescent="0.2"/>
  <cols>
    <col min="1" max="1" width="28.5703125" customWidth="1"/>
    <col min="2" max="2" width="14.7109375" customWidth="1"/>
    <col min="3" max="3" width="28.85546875" customWidth="1"/>
    <col min="4" max="4" width="14.85546875" hidden="1" customWidth="1"/>
    <col min="5" max="5" width="12.140625" customWidth="1"/>
  </cols>
  <sheetData>
    <row r="1" spans="1:5" x14ac:dyDescent="0.2">
      <c r="D1" t="s">
        <v>13</v>
      </c>
    </row>
    <row r="2" spans="1:5" x14ac:dyDescent="0.2">
      <c r="E2" t="s">
        <v>13</v>
      </c>
    </row>
    <row r="5" spans="1:5" x14ac:dyDescent="0.2">
      <c r="A5" t="s">
        <v>14</v>
      </c>
      <c r="C5" t="s">
        <v>11</v>
      </c>
      <c r="D5" s="3">
        <v>1280</v>
      </c>
      <c r="E5" s="3">
        <v>960</v>
      </c>
    </row>
    <row r="10" spans="1:5" x14ac:dyDescent="0.2">
      <c r="A10" t="s">
        <v>15</v>
      </c>
      <c r="B10" s="1">
        <v>2.3699999999999999E-2</v>
      </c>
      <c r="C10" t="s">
        <v>15</v>
      </c>
      <c r="E10" s="3">
        <f>E5*B10</f>
        <v>22.751999999999999</v>
      </c>
    </row>
    <row r="11" spans="1:5" x14ac:dyDescent="0.2">
      <c r="A11" t="s">
        <v>16</v>
      </c>
      <c r="B11" s="1">
        <v>0.60409999999999997</v>
      </c>
      <c r="C11" t="s">
        <v>16</v>
      </c>
      <c r="E11" s="3">
        <f>E5*B11</f>
        <v>579.93599999999992</v>
      </c>
    </row>
    <row r="12" spans="1:5" x14ac:dyDescent="0.2">
      <c r="A12" t="s">
        <v>17</v>
      </c>
      <c r="B12" s="1">
        <v>0.05</v>
      </c>
      <c r="C12" t="s">
        <v>17</v>
      </c>
      <c r="E12" s="3">
        <f>E5*B12</f>
        <v>48</v>
      </c>
    </row>
    <row r="13" spans="1:5" x14ac:dyDescent="0.2">
      <c r="A13" t="s">
        <v>3</v>
      </c>
      <c r="B13" s="1">
        <v>1.5E-3</v>
      </c>
      <c r="C13" t="s">
        <v>3</v>
      </c>
      <c r="E13" s="3">
        <f>E5*B13</f>
        <v>1.44</v>
      </c>
    </row>
    <row r="14" spans="1:5" x14ac:dyDescent="0.2">
      <c r="A14" t="s">
        <v>18</v>
      </c>
      <c r="B14" s="1">
        <v>8.0000000000000002E-3</v>
      </c>
      <c r="C14" t="s">
        <v>18</v>
      </c>
      <c r="E14" s="3">
        <f>E5*B14</f>
        <v>7.68</v>
      </c>
    </row>
    <row r="15" spans="1:5" x14ac:dyDescent="0.2">
      <c r="A15" t="s">
        <v>5</v>
      </c>
      <c r="B15" s="1">
        <v>1.4E-3</v>
      </c>
      <c r="C15" t="s">
        <v>5</v>
      </c>
      <c r="E15">
        <f>E5*B15</f>
        <v>1.3440000000000001</v>
      </c>
    </row>
    <row r="16" spans="1:5" x14ac:dyDescent="0.2">
      <c r="A16" t="s">
        <v>7</v>
      </c>
      <c r="B16" s="1">
        <v>5.0000000000000001E-4</v>
      </c>
      <c r="C16" t="s">
        <v>7</v>
      </c>
      <c r="E16" s="3">
        <f>E5*B16</f>
        <v>0.48</v>
      </c>
    </row>
    <row r="17" spans="1:5" x14ac:dyDescent="0.2">
      <c r="A17" t="s">
        <v>8</v>
      </c>
      <c r="B17" s="1">
        <v>0.14000000000000001</v>
      </c>
      <c r="C17" t="s">
        <v>8</v>
      </c>
      <c r="E17" s="3">
        <f>E5*B17</f>
        <v>134.4</v>
      </c>
    </row>
    <row r="18" spans="1:5" x14ac:dyDescent="0.2">
      <c r="A18" t="s">
        <v>23</v>
      </c>
      <c r="B18" s="1">
        <v>0.11</v>
      </c>
      <c r="C18" t="s">
        <v>19</v>
      </c>
      <c r="E18" s="3">
        <f>E5*B18</f>
        <v>105.6</v>
      </c>
    </row>
    <row r="19" spans="1:5" x14ac:dyDescent="0.2">
      <c r="A19" t="s">
        <v>22</v>
      </c>
      <c r="B19" s="1">
        <v>5.9299999999999999E-2</v>
      </c>
      <c r="C19" t="s">
        <v>20</v>
      </c>
      <c r="E19" s="3">
        <f>E5*B19</f>
        <v>56.927999999999997</v>
      </c>
    </row>
    <row r="20" spans="1:5" x14ac:dyDescent="0.2">
      <c r="A20" t="s">
        <v>21</v>
      </c>
      <c r="B20" s="2">
        <v>1.5E-3</v>
      </c>
      <c r="C20" t="s">
        <v>21</v>
      </c>
      <c r="E20" s="4">
        <f>E5*B20</f>
        <v>1.44</v>
      </c>
    </row>
    <row r="21" spans="1:5" x14ac:dyDescent="0.2">
      <c r="B21" s="1">
        <f>SUM(B10:B20)</f>
        <v>0.99999999999999978</v>
      </c>
      <c r="E21" s="3">
        <f>SUM(E10:E20)</f>
        <v>960</v>
      </c>
    </row>
  </sheetData>
  <phoneticPr fontId="0" type="noConversion"/>
  <pageMargins left="0.75" right="0.75" top="1" bottom="1" header="0" footer="0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3"/>
  <sheetViews>
    <sheetView view="pageBreakPreview" zoomScaleNormal="100" zoomScaleSheetLayoutView="100" workbookViewId="0">
      <selection activeCell="K18" sqref="K18"/>
    </sheetView>
  </sheetViews>
  <sheetFormatPr baseColWidth="10" defaultRowHeight="12.75" x14ac:dyDescent="0.2"/>
  <cols>
    <col min="1" max="1" width="28.5703125" customWidth="1"/>
    <col min="2" max="2" width="14.7109375" customWidth="1"/>
    <col min="3" max="3" width="28.85546875" customWidth="1"/>
    <col min="4" max="4" width="14.85546875" hidden="1" customWidth="1"/>
    <col min="5" max="5" width="12.140625" customWidth="1"/>
  </cols>
  <sheetData>
    <row r="1" spans="1:5" x14ac:dyDescent="0.2">
      <c r="E1" t="s">
        <v>24</v>
      </c>
    </row>
    <row r="4" spans="1:5" x14ac:dyDescent="0.2">
      <c r="A4" t="s">
        <v>25</v>
      </c>
      <c r="C4" t="s">
        <v>11</v>
      </c>
      <c r="E4" s="3">
        <v>135</v>
      </c>
    </row>
    <row r="11" spans="1:5" x14ac:dyDescent="0.2">
      <c r="A11" t="s">
        <v>8</v>
      </c>
      <c r="B11" s="1">
        <v>0.25280000000000002</v>
      </c>
      <c r="C11" t="s">
        <v>8</v>
      </c>
      <c r="E11" s="6">
        <f>E4*B11</f>
        <v>34.128</v>
      </c>
    </row>
    <row r="12" spans="1:5" x14ac:dyDescent="0.2">
      <c r="A12" t="s">
        <v>26</v>
      </c>
      <c r="B12" s="1">
        <v>1E-3</v>
      </c>
      <c r="C12" t="s">
        <v>26</v>
      </c>
      <c r="E12" s="3">
        <f>E4*B12</f>
        <v>0.13500000000000001</v>
      </c>
    </row>
    <row r="13" spans="1:5" x14ac:dyDescent="0.2">
      <c r="A13" t="s">
        <v>6</v>
      </c>
      <c r="B13" s="1">
        <v>4.0000000000000001E-3</v>
      </c>
      <c r="C13" t="s">
        <v>6</v>
      </c>
      <c r="E13" s="3">
        <f>E4*B13</f>
        <v>0.54</v>
      </c>
    </row>
    <row r="14" spans="1:5" x14ac:dyDescent="0.2">
      <c r="A14" t="s">
        <v>3</v>
      </c>
      <c r="B14" s="1">
        <v>2E-3</v>
      </c>
      <c r="C14" t="s">
        <v>3</v>
      </c>
      <c r="E14" s="3">
        <f>E4*B14</f>
        <v>0.27</v>
      </c>
    </row>
    <row r="15" spans="1:5" x14ac:dyDescent="0.2">
      <c r="A15" t="s">
        <v>30</v>
      </c>
      <c r="B15" s="1">
        <v>1.1999999999999999E-3</v>
      </c>
      <c r="C15" t="s">
        <v>30</v>
      </c>
      <c r="E15" s="3">
        <f>E4*B15</f>
        <v>0.16199999999999998</v>
      </c>
    </row>
    <row r="16" spans="1:5" x14ac:dyDescent="0.2">
      <c r="A16" t="s">
        <v>4</v>
      </c>
      <c r="B16" s="1">
        <v>0.01</v>
      </c>
      <c r="C16" t="s">
        <v>4</v>
      </c>
      <c r="E16" s="3">
        <f>E4*B16</f>
        <v>1.35</v>
      </c>
    </row>
    <row r="17" spans="1:5" x14ac:dyDescent="0.2">
      <c r="A17" t="s">
        <v>27</v>
      </c>
      <c r="B17" s="1">
        <v>2.5000000000000001E-2</v>
      </c>
      <c r="C17" t="s">
        <v>27</v>
      </c>
      <c r="E17" s="3">
        <f>E4*B17</f>
        <v>3.375</v>
      </c>
    </row>
    <row r="18" spans="1:5" x14ac:dyDescent="0.2">
      <c r="A18" t="s">
        <v>9</v>
      </c>
      <c r="B18" s="1">
        <v>3.0000000000000001E-3</v>
      </c>
      <c r="C18" t="s">
        <v>9</v>
      </c>
      <c r="E18" s="3">
        <f>E4*B18</f>
        <v>0.40500000000000003</v>
      </c>
    </row>
    <row r="19" spans="1:5" x14ac:dyDescent="0.2">
      <c r="A19" t="s">
        <v>15</v>
      </c>
      <c r="B19" s="1">
        <v>0.2</v>
      </c>
      <c r="C19" t="s">
        <v>15</v>
      </c>
      <c r="E19" s="3">
        <f>E4*B19</f>
        <v>27</v>
      </c>
    </row>
    <row r="20" spans="1:5" x14ac:dyDescent="0.2">
      <c r="A20" t="s">
        <v>28</v>
      </c>
      <c r="B20" s="1">
        <v>0.2</v>
      </c>
      <c r="C20" t="s">
        <v>28</v>
      </c>
      <c r="E20" s="3">
        <f>E4*B20</f>
        <v>27</v>
      </c>
    </row>
    <row r="21" spans="1:5" x14ac:dyDescent="0.2">
      <c r="A21" t="s">
        <v>29</v>
      </c>
      <c r="B21" s="1">
        <v>0.3</v>
      </c>
      <c r="C21" t="s">
        <v>29</v>
      </c>
      <c r="E21" s="3">
        <f>E4*B21</f>
        <v>40.5</v>
      </c>
    </row>
    <row r="22" spans="1:5" x14ac:dyDescent="0.2">
      <c r="A22" t="s">
        <v>5</v>
      </c>
      <c r="B22" s="2">
        <v>1E-3</v>
      </c>
      <c r="C22" t="s">
        <v>5</v>
      </c>
      <c r="E22" s="4">
        <f>E4*B22</f>
        <v>0.13500000000000001</v>
      </c>
    </row>
    <row r="23" spans="1:5" x14ac:dyDescent="0.2">
      <c r="B23" s="1">
        <f>SUM(B11:B22)</f>
        <v>1</v>
      </c>
      <c r="E23" s="3">
        <f>SUM(E11:E22)</f>
        <v>135</v>
      </c>
    </row>
    <row r="40" spans="2:5" x14ac:dyDescent="0.2">
      <c r="E40" s="3"/>
    </row>
    <row r="46" spans="2:5" x14ac:dyDescent="0.2">
      <c r="B46" s="1"/>
      <c r="E46" s="3"/>
    </row>
    <row r="47" spans="2:5" x14ac:dyDescent="0.2">
      <c r="B47" s="1"/>
      <c r="E47" s="3"/>
    </row>
    <row r="48" spans="2:5" x14ac:dyDescent="0.2">
      <c r="B48" s="1"/>
      <c r="E48" s="3"/>
    </row>
    <row r="49" spans="2:5" x14ac:dyDescent="0.2">
      <c r="B49" s="1"/>
      <c r="E49" s="3"/>
    </row>
    <row r="50" spans="2:5" x14ac:dyDescent="0.2">
      <c r="B50" s="1"/>
      <c r="E50" s="3"/>
    </row>
    <row r="51" spans="2:5" x14ac:dyDescent="0.2">
      <c r="B51" s="1"/>
      <c r="E51" s="3"/>
    </row>
    <row r="52" spans="2:5" x14ac:dyDescent="0.2">
      <c r="B52" s="1"/>
      <c r="E52" s="3"/>
    </row>
    <row r="53" spans="2:5" x14ac:dyDescent="0.2">
      <c r="B53" s="1"/>
      <c r="E53" s="3"/>
    </row>
    <row r="54" spans="2:5" x14ac:dyDescent="0.2">
      <c r="B54" s="1"/>
      <c r="E54" s="3"/>
    </row>
    <row r="55" spans="2:5" x14ac:dyDescent="0.2">
      <c r="B55" s="1"/>
      <c r="E55" s="3"/>
    </row>
    <row r="56" spans="2:5" x14ac:dyDescent="0.2">
      <c r="B56" s="1"/>
      <c r="E56" s="3"/>
    </row>
    <row r="57" spans="2:5" x14ac:dyDescent="0.2">
      <c r="B57" s="1"/>
      <c r="E57" s="3"/>
    </row>
    <row r="58" spans="2:5" x14ac:dyDescent="0.2">
      <c r="B58" s="1"/>
      <c r="E58" s="3"/>
    </row>
    <row r="75" spans="2:5" x14ac:dyDescent="0.2">
      <c r="E75" s="3"/>
    </row>
    <row r="79" spans="2:5" x14ac:dyDescent="0.2">
      <c r="B79" s="1"/>
      <c r="E79" s="3"/>
    </row>
    <row r="80" spans="2:5" x14ac:dyDescent="0.2">
      <c r="B80" s="1"/>
    </row>
    <row r="81" spans="2:5" x14ac:dyDescent="0.2">
      <c r="B81" s="1"/>
      <c r="E81" s="3"/>
    </row>
    <row r="82" spans="2:5" x14ac:dyDescent="0.2">
      <c r="B82" s="1"/>
    </row>
    <row r="83" spans="2:5" x14ac:dyDescent="0.2">
      <c r="B83" s="1"/>
    </row>
    <row r="84" spans="2:5" x14ac:dyDescent="0.2">
      <c r="B84" s="1"/>
    </row>
    <row r="85" spans="2:5" x14ac:dyDescent="0.2">
      <c r="B85" s="1"/>
      <c r="E85" s="3"/>
    </row>
    <row r="86" spans="2:5" x14ac:dyDescent="0.2">
      <c r="B86" s="1"/>
      <c r="E86" s="3"/>
    </row>
    <row r="87" spans="2:5" x14ac:dyDescent="0.2">
      <c r="B87" s="1"/>
    </row>
    <row r="88" spans="2:5" x14ac:dyDescent="0.2">
      <c r="B88" s="1"/>
      <c r="E88" s="3"/>
    </row>
    <row r="89" spans="2:5" x14ac:dyDescent="0.2">
      <c r="B89" s="1"/>
      <c r="E89" s="3"/>
    </row>
    <row r="90" spans="2:5" x14ac:dyDescent="0.2">
      <c r="B90" s="1"/>
    </row>
    <row r="91" spans="2:5" x14ac:dyDescent="0.2">
      <c r="B91" s="1"/>
      <c r="E91" s="3"/>
    </row>
    <row r="92" spans="2:5" x14ac:dyDescent="0.2">
      <c r="B92" s="1"/>
      <c r="E92" s="3"/>
    </row>
    <row r="93" spans="2:5" x14ac:dyDescent="0.2">
      <c r="B93" s="1"/>
      <c r="E93" s="3"/>
    </row>
    <row r="94" spans="2:5" x14ac:dyDescent="0.2">
      <c r="B94" s="1"/>
      <c r="E94" s="3"/>
    </row>
    <row r="95" spans="2:5" x14ac:dyDescent="0.2">
      <c r="B95" s="1"/>
      <c r="E95" s="3"/>
    </row>
    <row r="111" spans="5:5" x14ac:dyDescent="0.2">
      <c r="E111" s="3"/>
    </row>
    <row r="119" spans="2:5" x14ac:dyDescent="0.2">
      <c r="B119" s="1"/>
      <c r="E119" s="3"/>
    </row>
    <row r="120" spans="2:5" x14ac:dyDescent="0.2">
      <c r="B120" s="1"/>
    </row>
    <row r="121" spans="2:5" x14ac:dyDescent="0.2">
      <c r="B121" s="1"/>
    </row>
    <row r="122" spans="2:5" x14ac:dyDescent="0.2">
      <c r="B122" s="1"/>
    </row>
    <row r="123" spans="2:5" x14ac:dyDescent="0.2">
      <c r="B123" s="1"/>
    </row>
    <row r="124" spans="2:5" x14ac:dyDescent="0.2">
      <c r="B124" s="1"/>
    </row>
    <row r="125" spans="2:5" x14ac:dyDescent="0.2">
      <c r="B125" s="1"/>
    </row>
    <row r="126" spans="2:5" x14ac:dyDescent="0.2">
      <c r="B126" s="1"/>
    </row>
    <row r="127" spans="2:5" x14ac:dyDescent="0.2">
      <c r="B127" s="1"/>
    </row>
    <row r="128" spans="2:5" x14ac:dyDescent="0.2">
      <c r="B128" s="1"/>
      <c r="E128" s="3"/>
    </row>
    <row r="144" spans="5:5" x14ac:dyDescent="0.2">
      <c r="E144" s="3"/>
    </row>
    <row r="149" spans="2:5" x14ac:dyDescent="0.2">
      <c r="B149" s="1"/>
      <c r="E149" s="3"/>
    </row>
    <row r="150" spans="2:5" x14ac:dyDescent="0.2">
      <c r="B150" s="1"/>
      <c r="E150" s="3"/>
    </row>
    <row r="151" spans="2:5" x14ac:dyDescent="0.2">
      <c r="B151" s="1"/>
      <c r="E151" s="3"/>
    </row>
    <row r="152" spans="2:5" x14ac:dyDescent="0.2">
      <c r="B152" s="1"/>
      <c r="E152" s="3"/>
    </row>
    <row r="153" spans="2:5" x14ac:dyDescent="0.2">
      <c r="B153" s="1"/>
    </row>
    <row r="154" spans="2:5" x14ac:dyDescent="0.2">
      <c r="B154" s="1"/>
      <c r="E154" s="3"/>
    </row>
    <row r="155" spans="2:5" x14ac:dyDescent="0.2">
      <c r="B155" s="1"/>
      <c r="E155" s="3"/>
    </row>
    <row r="156" spans="2:5" x14ac:dyDescent="0.2">
      <c r="B156" s="1"/>
      <c r="E156" s="3"/>
    </row>
    <row r="157" spans="2:5" x14ac:dyDescent="0.2">
      <c r="B157" s="1"/>
      <c r="E157" s="3"/>
    </row>
    <row r="158" spans="2:5" x14ac:dyDescent="0.2">
      <c r="B158" s="1"/>
      <c r="E158" s="3"/>
    </row>
    <row r="159" spans="2:5" x14ac:dyDescent="0.2">
      <c r="B159" s="1"/>
      <c r="E159" s="3"/>
    </row>
    <row r="160" spans="2:5" x14ac:dyDescent="0.2">
      <c r="B160" s="1"/>
      <c r="E160" s="3"/>
    </row>
    <row r="161" spans="2:5" x14ac:dyDescent="0.2">
      <c r="B161" s="1"/>
      <c r="E161" s="3"/>
    </row>
    <row r="162" spans="2:5" x14ac:dyDescent="0.2">
      <c r="B162" s="1"/>
      <c r="E162" s="3"/>
    </row>
    <row r="163" spans="2:5" x14ac:dyDescent="0.2">
      <c r="B163" s="1"/>
      <c r="E163" s="3"/>
    </row>
    <row r="181" spans="2:5" x14ac:dyDescent="0.2">
      <c r="E181" s="3"/>
    </row>
    <row r="188" spans="2:5" x14ac:dyDescent="0.2">
      <c r="B188" s="1"/>
      <c r="E188" s="3"/>
    </row>
    <row r="189" spans="2:5" x14ac:dyDescent="0.2">
      <c r="B189" s="1"/>
    </row>
    <row r="190" spans="2:5" x14ac:dyDescent="0.2">
      <c r="B190" s="1"/>
    </row>
    <row r="191" spans="2:5" x14ac:dyDescent="0.2">
      <c r="B191" s="1"/>
      <c r="E191" s="3"/>
    </row>
    <row r="192" spans="2:5" x14ac:dyDescent="0.2">
      <c r="B192" s="1"/>
      <c r="E192" s="3"/>
    </row>
    <row r="193" spans="2:5" x14ac:dyDescent="0.2">
      <c r="B193" s="1"/>
      <c r="E193" s="3"/>
    </row>
    <row r="194" spans="2:5" x14ac:dyDescent="0.2">
      <c r="B194" s="1"/>
      <c r="E194" s="3"/>
    </row>
    <row r="195" spans="2:5" x14ac:dyDescent="0.2">
      <c r="B195" s="1"/>
    </row>
    <row r="196" spans="2:5" x14ac:dyDescent="0.2">
      <c r="B196" s="1"/>
      <c r="E196" s="3"/>
    </row>
    <row r="197" spans="2:5" x14ac:dyDescent="0.2">
      <c r="B197" s="1"/>
      <c r="E197" s="3"/>
    </row>
    <row r="198" spans="2:5" x14ac:dyDescent="0.2">
      <c r="B198" s="1"/>
      <c r="E198" s="3"/>
    </row>
    <row r="216" spans="2:5" x14ac:dyDescent="0.2">
      <c r="E216" s="3"/>
    </row>
    <row r="220" spans="2:5" x14ac:dyDescent="0.2">
      <c r="B220" s="1"/>
      <c r="E220" s="3"/>
    </row>
    <row r="221" spans="2:5" x14ac:dyDescent="0.2">
      <c r="B221" s="1"/>
      <c r="E221" s="3"/>
    </row>
    <row r="222" spans="2:5" x14ac:dyDescent="0.2">
      <c r="B222" s="1"/>
      <c r="E222" s="3"/>
    </row>
    <row r="223" spans="2:5" x14ac:dyDescent="0.2">
      <c r="B223" s="1"/>
    </row>
    <row r="224" spans="2:5" x14ac:dyDescent="0.2">
      <c r="B224" s="1"/>
      <c r="E224" s="3"/>
    </row>
    <row r="225" spans="2:5" x14ac:dyDescent="0.2">
      <c r="B225" s="1"/>
      <c r="E225" s="3"/>
    </row>
    <row r="226" spans="2:5" x14ac:dyDescent="0.2">
      <c r="B226" s="1"/>
      <c r="E226" s="3"/>
    </row>
    <row r="227" spans="2:5" x14ac:dyDescent="0.2">
      <c r="B227" s="1"/>
    </row>
    <row r="228" spans="2:5" x14ac:dyDescent="0.2">
      <c r="B228" s="1"/>
    </row>
    <row r="229" spans="2:5" x14ac:dyDescent="0.2">
      <c r="B229" s="1"/>
      <c r="E229" s="3"/>
    </row>
    <row r="230" spans="2:5" x14ac:dyDescent="0.2">
      <c r="B230" s="1"/>
      <c r="E230" s="3"/>
    </row>
    <row r="231" spans="2:5" x14ac:dyDescent="0.2">
      <c r="B231" s="1"/>
      <c r="E231" s="3"/>
    </row>
    <row r="232" spans="2:5" x14ac:dyDescent="0.2">
      <c r="B232" s="1"/>
      <c r="E232" s="3"/>
    </row>
    <row r="248" spans="2:5" x14ac:dyDescent="0.2">
      <c r="E248" s="3"/>
    </row>
    <row r="252" spans="2:5" x14ac:dyDescent="0.2">
      <c r="B252" s="1"/>
      <c r="E252" s="3"/>
    </row>
    <row r="253" spans="2:5" x14ac:dyDescent="0.2">
      <c r="B253" s="1"/>
      <c r="E253" s="3"/>
    </row>
    <row r="254" spans="2:5" x14ac:dyDescent="0.2">
      <c r="B254" s="1"/>
      <c r="E254" s="3"/>
    </row>
    <row r="255" spans="2:5" x14ac:dyDescent="0.2">
      <c r="B255" s="1"/>
      <c r="E255" s="3"/>
    </row>
    <row r="256" spans="2:5" x14ac:dyDescent="0.2">
      <c r="B256" s="1"/>
      <c r="E256" s="3"/>
    </row>
    <row r="257" spans="2:5" x14ac:dyDescent="0.2">
      <c r="B257" s="1"/>
      <c r="E257" s="3"/>
    </row>
    <row r="258" spans="2:5" x14ac:dyDescent="0.2">
      <c r="B258" s="1"/>
      <c r="E258" s="3"/>
    </row>
    <row r="259" spans="2:5" x14ac:dyDescent="0.2">
      <c r="B259" s="1"/>
      <c r="E259" s="3"/>
    </row>
    <row r="260" spans="2:5" x14ac:dyDescent="0.2">
      <c r="B260" s="1"/>
      <c r="E260" s="3"/>
    </row>
    <row r="261" spans="2:5" x14ac:dyDescent="0.2">
      <c r="B261" s="1"/>
      <c r="E261" s="3"/>
    </row>
    <row r="262" spans="2:5" x14ac:dyDescent="0.2">
      <c r="B262" s="1"/>
      <c r="E262" s="3"/>
    </row>
    <row r="263" spans="2:5" x14ac:dyDescent="0.2">
      <c r="B263" s="1"/>
      <c r="E263" s="3"/>
    </row>
    <row r="264" spans="2:5" x14ac:dyDescent="0.2">
      <c r="B264" s="1"/>
      <c r="E264" s="3"/>
    </row>
    <row r="265" spans="2:5" x14ac:dyDescent="0.2">
      <c r="B265" s="1"/>
      <c r="E265" s="3"/>
    </row>
    <row r="266" spans="2:5" x14ac:dyDescent="0.2">
      <c r="B266" s="1"/>
      <c r="E266" s="3"/>
    </row>
    <row r="267" spans="2:5" x14ac:dyDescent="0.2">
      <c r="B267" s="1"/>
      <c r="E267" s="3"/>
    </row>
    <row r="268" spans="2:5" x14ac:dyDescent="0.2">
      <c r="B268" s="1"/>
      <c r="E268" s="3"/>
    </row>
    <row r="283" spans="2:5" x14ac:dyDescent="0.2">
      <c r="E283" s="3"/>
    </row>
    <row r="288" spans="2:5" x14ac:dyDescent="0.2">
      <c r="B288" s="1"/>
      <c r="E288" s="3"/>
    </row>
    <row r="289" spans="2:5" x14ac:dyDescent="0.2">
      <c r="B289" s="1"/>
      <c r="E289" s="3"/>
    </row>
    <row r="290" spans="2:5" x14ac:dyDescent="0.2">
      <c r="B290" s="1"/>
      <c r="E290" s="3"/>
    </row>
    <row r="291" spans="2:5" x14ac:dyDescent="0.2">
      <c r="B291" s="1"/>
      <c r="E291" s="3"/>
    </row>
    <row r="292" spans="2:5" x14ac:dyDescent="0.2">
      <c r="B292" s="1"/>
      <c r="E292" s="3"/>
    </row>
    <row r="293" spans="2:5" x14ac:dyDescent="0.2">
      <c r="B293" s="1"/>
      <c r="E293" s="3"/>
    </row>
    <row r="294" spans="2:5" x14ac:dyDescent="0.2">
      <c r="B294" s="1"/>
      <c r="E294" s="3"/>
    </row>
    <row r="295" spans="2:5" x14ac:dyDescent="0.2">
      <c r="B295" s="1"/>
      <c r="E295" s="3"/>
    </row>
    <row r="296" spans="2:5" x14ac:dyDescent="0.2">
      <c r="B296" s="1"/>
      <c r="E296" s="3"/>
    </row>
    <row r="297" spans="2:5" x14ac:dyDescent="0.2">
      <c r="B297" s="1"/>
      <c r="E297" s="3"/>
    </row>
    <row r="298" spans="2:5" x14ac:dyDescent="0.2">
      <c r="B298" s="1"/>
      <c r="E298" s="3"/>
    </row>
    <row r="299" spans="2:5" x14ac:dyDescent="0.2">
      <c r="B299" s="1"/>
      <c r="E299" s="3"/>
    </row>
    <row r="300" spans="2:5" x14ac:dyDescent="0.2">
      <c r="B300" s="1"/>
      <c r="E300" s="3"/>
    </row>
    <row r="301" spans="2:5" x14ac:dyDescent="0.2">
      <c r="B301" s="1"/>
      <c r="E301" s="3"/>
    </row>
    <row r="302" spans="2:5" x14ac:dyDescent="0.2">
      <c r="B302" s="1"/>
      <c r="E302" s="3"/>
    </row>
    <row r="303" spans="2:5" x14ac:dyDescent="0.2">
      <c r="B303" s="1"/>
      <c r="E303" s="3"/>
    </row>
    <row r="304" spans="2:5" x14ac:dyDescent="0.2">
      <c r="B304" s="1"/>
      <c r="E304" s="3"/>
    </row>
    <row r="321" spans="2:5" x14ac:dyDescent="0.2">
      <c r="E321" s="3"/>
    </row>
    <row r="325" spans="2:5" x14ac:dyDescent="0.2">
      <c r="B325" s="1"/>
      <c r="E325" s="3"/>
    </row>
    <row r="326" spans="2:5" x14ac:dyDescent="0.2">
      <c r="B326" s="1"/>
      <c r="E326" s="3"/>
    </row>
    <row r="327" spans="2:5" x14ac:dyDescent="0.2">
      <c r="B327" s="1"/>
      <c r="E327" s="3"/>
    </row>
    <row r="328" spans="2:5" x14ac:dyDescent="0.2">
      <c r="B328" s="1"/>
    </row>
    <row r="329" spans="2:5" x14ac:dyDescent="0.2">
      <c r="B329" s="1"/>
      <c r="E329" s="3"/>
    </row>
    <row r="330" spans="2:5" x14ac:dyDescent="0.2">
      <c r="B330" s="1"/>
      <c r="E330" s="3"/>
    </row>
    <row r="331" spans="2:5" x14ac:dyDescent="0.2">
      <c r="B331" s="1"/>
      <c r="E331" s="3"/>
    </row>
    <row r="332" spans="2:5" x14ac:dyDescent="0.2">
      <c r="B332" s="1"/>
    </row>
    <row r="333" spans="2:5" x14ac:dyDescent="0.2">
      <c r="B333" s="1"/>
    </row>
    <row r="334" spans="2:5" x14ac:dyDescent="0.2">
      <c r="B334" s="1"/>
      <c r="E334" s="3"/>
    </row>
    <row r="335" spans="2:5" x14ac:dyDescent="0.2">
      <c r="B335" s="1"/>
      <c r="E335" s="3"/>
    </row>
    <row r="336" spans="2:5" x14ac:dyDescent="0.2">
      <c r="B336" s="1"/>
      <c r="E336" s="3"/>
    </row>
    <row r="337" spans="2:5" x14ac:dyDescent="0.2">
      <c r="B337" s="1"/>
      <c r="E337" s="3"/>
    </row>
    <row r="353" spans="2:5" x14ac:dyDescent="0.2">
      <c r="E353" s="3"/>
    </row>
    <row r="356" spans="2:5" x14ac:dyDescent="0.2">
      <c r="B356" s="1"/>
    </row>
    <row r="357" spans="2:5" x14ac:dyDescent="0.2">
      <c r="B357" s="1"/>
      <c r="E357" s="3"/>
    </row>
    <row r="358" spans="2:5" x14ac:dyDescent="0.2">
      <c r="B358" s="1"/>
    </row>
    <row r="359" spans="2:5" x14ac:dyDescent="0.2">
      <c r="B359" s="1"/>
      <c r="E359" s="3"/>
    </row>
    <row r="360" spans="2:5" x14ac:dyDescent="0.2">
      <c r="B360" s="1"/>
      <c r="E360" s="3"/>
    </row>
    <row r="361" spans="2:5" x14ac:dyDescent="0.2">
      <c r="B361" s="1"/>
    </row>
    <row r="362" spans="2:5" x14ac:dyDescent="0.2">
      <c r="B362" s="1"/>
      <c r="E362" s="3"/>
    </row>
    <row r="363" spans="2:5" x14ac:dyDescent="0.2">
      <c r="B363" s="1"/>
      <c r="E363" s="3"/>
    </row>
    <row r="364" spans="2:5" x14ac:dyDescent="0.2">
      <c r="B364" s="1"/>
      <c r="E364" s="3"/>
    </row>
    <row r="365" spans="2:5" x14ac:dyDescent="0.2">
      <c r="B365" s="1"/>
      <c r="E365" s="3"/>
    </row>
    <row r="366" spans="2:5" x14ac:dyDescent="0.2">
      <c r="B366" s="1"/>
    </row>
    <row r="367" spans="2:5" x14ac:dyDescent="0.2">
      <c r="B367" s="1"/>
      <c r="E367" s="3"/>
    </row>
    <row r="368" spans="2:5" x14ac:dyDescent="0.2">
      <c r="B368" s="1"/>
      <c r="E368" s="3"/>
    </row>
    <row r="369" spans="2:2" x14ac:dyDescent="0.2">
      <c r="B369" s="1"/>
    </row>
    <row r="387" spans="2:5" x14ac:dyDescent="0.2">
      <c r="E387" s="3"/>
    </row>
    <row r="391" spans="2:5" x14ac:dyDescent="0.2">
      <c r="B391" s="1"/>
      <c r="E391" s="3"/>
    </row>
    <row r="392" spans="2:5" x14ac:dyDescent="0.2">
      <c r="B392" s="1"/>
    </row>
    <row r="393" spans="2:5" x14ac:dyDescent="0.2">
      <c r="B393" s="1"/>
      <c r="E393" s="3"/>
    </row>
    <row r="394" spans="2:5" x14ac:dyDescent="0.2">
      <c r="B394" s="1"/>
      <c r="E394" s="3"/>
    </row>
    <row r="395" spans="2:5" x14ac:dyDescent="0.2">
      <c r="B395" s="1"/>
      <c r="E395" s="3"/>
    </row>
    <row r="396" spans="2:5" x14ac:dyDescent="0.2">
      <c r="B396" s="1"/>
      <c r="E396" s="3"/>
    </row>
    <row r="397" spans="2:5" x14ac:dyDescent="0.2">
      <c r="B397" s="1"/>
    </row>
    <row r="398" spans="2:5" x14ac:dyDescent="0.2">
      <c r="B398" s="1"/>
      <c r="E398" s="3"/>
    </row>
    <row r="399" spans="2:5" x14ac:dyDescent="0.2">
      <c r="B399" s="1"/>
    </row>
    <row r="400" spans="2:5" x14ac:dyDescent="0.2">
      <c r="B400" s="1"/>
      <c r="E400" s="3"/>
    </row>
    <row r="401" spans="2:5" x14ac:dyDescent="0.2">
      <c r="B401" s="1"/>
    </row>
    <row r="402" spans="2:5" x14ac:dyDescent="0.2">
      <c r="B402" s="1"/>
      <c r="E402" s="3"/>
    </row>
    <row r="403" spans="2:5" x14ac:dyDescent="0.2">
      <c r="B403" s="1"/>
      <c r="E403" s="3"/>
    </row>
    <row r="404" spans="2:5" x14ac:dyDescent="0.2">
      <c r="B404" s="1"/>
      <c r="E404" s="3"/>
    </row>
    <row r="405" spans="2:5" x14ac:dyDescent="0.2">
      <c r="B405" s="1"/>
      <c r="E405" s="3"/>
    </row>
    <row r="423" spans="2:5" x14ac:dyDescent="0.2">
      <c r="E423" s="3"/>
    </row>
    <row r="427" spans="2:5" x14ac:dyDescent="0.2">
      <c r="B427" s="1"/>
      <c r="E427" s="3"/>
    </row>
    <row r="428" spans="2:5" x14ac:dyDescent="0.2">
      <c r="B428" s="1"/>
    </row>
    <row r="429" spans="2:5" x14ac:dyDescent="0.2">
      <c r="B429" s="1"/>
      <c r="E429" s="3"/>
    </row>
    <row r="430" spans="2:5" x14ac:dyDescent="0.2">
      <c r="B430" s="1"/>
      <c r="E430" s="3"/>
    </row>
    <row r="431" spans="2:5" x14ac:dyDescent="0.2">
      <c r="B431" s="1"/>
      <c r="E431" s="3"/>
    </row>
    <row r="432" spans="2:5" x14ac:dyDescent="0.2">
      <c r="B432" s="1"/>
    </row>
    <row r="433" spans="2:5" x14ac:dyDescent="0.2">
      <c r="B433" s="1"/>
      <c r="E433" s="3"/>
    </row>
    <row r="434" spans="2:5" x14ac:dyDescent="0.2">
      <c r="B434" s="1"/>
    </row>
    <row r="435" spans="2:5" x14ac:dyDescent="0.2">
      <c r="B435" s="1"/>
    </row>
    <row r="436" spans="2:5" x14ac:dyDescent="0.2">
      <c r="B436" s="1"/>
      <c r="E436" s="3"/>
    </row>
    <row r="459" spans="2:5" x14ac:dyDescent="0.2">
      <c r="E459" s="3"/>
    </row>
    <row r="462" spans="2:5" x14ac:dyDescent="0.2">
      <c r="B462" s="1"/>
    </row>
    <row r="463" spans="2:5" x14ac:dyDescent="0.2">
      <c r="B463" s="1"/>
    </row>
    <row r="464" spans="2:5" x14ac:dyDescent="0.2">
      <c r="B464" s="1"/>
    </row>
    <row r="465" spans="2:5" x14ac:dyDescent="0.2">
      <c r="B465" s="1"/>
    </row>
    <row r="466" spans="2:5" x14ac:dyDescent="0.2">
      <c r="B466" s="1"/>
    </row>
    <row r="467" spans="2:5" x14ac:dyDescent="0.2">
      <c r="B467" s="1"/>
    </row>
    <row r="468" spans="2:5" x14ac:dyDescent="0.2">
      <c r="B468" s="1"/>
      <c r="E468" s="3"/>
    </row>
    <row r="469" spans="2:5" x14ac:dyDescent="0.2">
      <c r="B469" s="1"/>
      <c r="E469" s="3"/>
    </row>
    <row r="470" spans="2:5" x14ac:dyDescent="0.2">
      <c r="B470" s="1"/>
    </row>
    <row r="471" spans="2:5" x14ac:dyDescent="0.2">
      <c r="B471" s="1"/>
      <c r="E471" s="3"/>
    </row>
    <row r="472" spans="2:5" x14ac:dyDescent="0.2">
      <c r="B472" s="1"/>
    </row>
    <row r="473" spans="2:5" x14ac:dyDescent="0.2">
      <c r="B473" s="1"/>
    </row>
    <row r="474" spans="2:5" x14ac:dyDescent="0.2">
      <c r="B474" s="1"/>
    </row>
    <row r="475" spans="2:5" x14ac:dyDescent="0.2">
      <c r="B475" s="1"/>
    </row>
    <row r="476" spans="2:5" x14ac:dyDescent="0.2">
      <c r="B476" s="1"/>
      <c r="E476" s="3"/>
    </row>
    <row r="494" spans="5:5" x14ac:dyDescent="0.2">
      <c r="E494" s="3"/>
    </row>
    <row r="498" spans="2:5" x14ac:dyDescent="0.2">
      <c r="B498" s="1"/>
      <c r="E498" s="3"/>
    </row>
    <row r="499" spans="2:5" x14ac:dyDescent="0.2">
      <c r="B499" s="1"/>
    </row>
    <row r="500" spans="2:5" x14ac:dyDescent="0.2">
      <c r="B500" s="1"/>
      <c r="E500" s="3"/>
    </row>
    <row r="501" spans="2:5" x14ac:dyDescent="0.2">
      <c r="B501" s="1"/>
    </row>
    <row r="502" spans="2:5" x14ac:dyDescent="0.2">
      <c r="B502" s="1"/>
      <c r="E502" s="3"/>
    </row>
    <row r="503" spans="2:5" x14ac:dyDescent="0.2">
      <c r="B503" s="1"/>
    </row>
    <row r="504" spans="2:5" x14ac:dyDescent="0.2">
      <c r="B504" s="1"/>
      <c r="E504" s="3"/>
    </row>
    <row r="505" spans="2:5" x14ac:dyDescent="0.2">
      <c r="B505" s="1"/>
      <c r="E505" s="3"/>
    </row>
    <row r="506" spans="2:5" x14ac:dyDescent="0.2">
      <c r="B506" s="1"/>
      <c r="E506" s="3"/>
    </row>
    <row r="507" spans="2:5" x14ac:dyDescent="0.2">
      <c r="B507" s="1"/>
      <c r="E507" s="3"/>
    </row>
    <row r="508" spans="2:5" x14ac:dyDescent="0.2">
      <c r="B508" s="1"/>
      <c r="E508" s="3"/>
    </row>
    <row r="509" spans="2:5" x14ac:dyDescent="0.2">
      <c r="B509" s="1"/>
    </row>
    <row r="510" spans="2:5" x14ac:dyDescent="0.2">
      <c r="B510" s="1"/>
    </row>
    <row r="511" spans="2:5" x14ac:dyDescent="0.2">
      <c r="B511" s="1"/>
    </row>
    <row r="512" spans="2:5" x14ac:dyDescent="0.2">
      <c r="B512" s="1"/>
      <c r="E512" s="3"/>
    </row>
    <row r="529" spans="2:5" x14ac:dyDescent="0.2">
      <c r="E529" s="3"/>
    </row>
    <row r="535" spans="2:5" x14ac:dyDescent="0.2">
      <c r="B535" s="1"/>
      <c r="E535" s="3"/>
    </row>
    <row r="536" spans="2:5" x14ac:dyDescent="0.2">
      <c r="B536" s="1"/>
    </row>
    <row r="537" spans="2:5" x14ac:dyDescent="0.2">
      <c r="B537" s="1"/>
    </row>
    <row r="538" spans="2:5" x14ac:dyDescent="0.2">
      <c r="B538" s="1"/>
    </row>
    <row r="539" spans="2:5" x14ac:dyDescent="0.2">
      <c r="B539" s="1"/>
      <c r="E539" s="3"/>
    </row>
    <row r="540" spans="2:5" x14ac:dyDescent="0.2">
      <c r="B540" s="1"/>
      <c r="E540" s="3"/>
    </row>
    <row r="541" spans="2:5" x14ac:dyDescent="0.2">
      <c r="B541" s="1"/>
    </row>
    <row r="542" spans="2:5" x14ac:dyDescent="0.2">
      <c r="B542" s="1"/>
    </row>
    <row r="543" spans="2:5" x14ac:dyDescent="0.2">
      <c r="B543" s="1"/>
      <c r="E543" s="3"/>
    </row>
    <row r="544" spans="2:5" x14ac:dyDescent="0.2">
      <c r="B544" s="1"/>
      <c r="E544" s="3"/>
    </row>
    <row r="545" spans="2:5" x14ac:dyDescent="0.2">
      <c r="B545" s="1"/>
      <c r="E545" s="3"/>
    </row>
    <row r="546" spans="2:5" x14ac:dyDescent="0.2">
      <c r="B546" s="1"/>
      <c r="E546" s="3"/>
    </row>
    <row r="547" spans="2:5" x14ac:dyDescent="0.2">
      <c r="B547" s="1"/>
    </row>
    <row r="548" spans="2:5" x14ac:dyDescent="0.2">
      <c r="B548" s="1"/>
      <c r="E548" s="3"/>
    </row>
    <row r="563" spans="2:5" x14ac:dyDescent="0.2">
      <c r="E563" s="3"/>
    </row>
    <row r="569" spans="2:5" x14ac:dyDescent="0.2">
      <c r="B569" s="1"/>
      <c r="E569" s="3"/>
    </row>
    <row r="570" spans="2:5" x14ac:dyDescent="0.2">
      <c r="B570" s="1"/>
      <c r="E570" s="3"/>
    </row>
    <row r="571" spans="2:5" x14ac:dyDescent="0.2">
      <c r="B571" s="1"/>
      <c r="E571" s="3"/>
    </row>
    <row r="572" spans="2:5" x14ac:dyDescent="0.2">
      <c r="B572" s="1"/>
      <c r="E572" s="3"/>
    </row>
    <row r="573" spans="2:5" x14ac:dyDescent="0.2">
      <c r="B573" s="1"/>
      <c r="E573" s="3"/>
    </row>
    <row r="574" spans="2:5" x14ac:dyDescent="0.2">
      <c r="B574" s="1"/>
      <c r="E574" s="3"/>
    </row>
    <row r="575" spans="2:5" x14ac:dyDescent="0.2">
      <c r="B575" s="1"/>
    </row>
    <row r="576" spans="2:5" x14ac:dyDescent="0.2">
      <c r="B576" s="1"/>
    </row>
    <row r="577" spans="2:5" x14ac:dyDescent="0.2">
      <c r="B577" s="1"/>
      <c r="E577" s="3"/>
    </row>
    <row r="578" spans="2:5" x14ac:dyDescent="0.2">
      <c r="B578" s="1"/>
      <c r="E578" s="3"/>
    </row>
    <row r="579" spans="2:5" x14ac:dyDescent="0.2">
      <c r="B579" s="1"/>
      <c r="E579" s="3"/>
    </row>
    <row r="580" spans="2:5" x14ac:dyDescent="0.2">
      <c r="B580" s="1"/>
    </row>
    <row r="581" spans="2:5" x14ac:dyDescent="0.2">
      <c r="B581" s="1"/>
      <c r="E581" s="3"/>
    </row>
    <row r="582" spans="2:5" x14ac:dyDescent="0.2">
      <c r="B582" s="1"/>
      <c r="E582" s="3"/>
    </row>
    <row r="583" spans="2:5" x14ac:dyDescent="0.2">
      <c r="B583" s="1"/>
      <c r="E583" s="3"/>
    </row>
    <row r="598" spans="2:5" x14ac:dyDescent="0.2">
      <c r="E598" s="3"/>
    </row>
    <row r="602" spans="2:5" x14ac:dyDescent="0.2">
      <c r="B602" s="1"/>
      <c r="E602" s="3"/>
    </row>
    <row r="603" spans="2:5" x14ac:dyDescent="0.2">
      <c r="B603" s="1"/>
      <c r="E603" s="3"/>
    </row>
    <row r="604" spans="2:5" x14ac:dyDescent="0.2">
      <c r="B604" s="1"/>
      <c r="E604" s="3"/>
    </row>
    <row r="605" spans="2:5" x14ac:dyDescent="0.2">
      <c r="B605" s="1"/>
      <c r="E605" s="3"/>
    </row>
    <row r="606" spans="2:5" x14ac:dyDescent="0.2">
      <c r="B606" s="1"/>
      <c r="E606" s="3"/>
    </row>
    <row r="607" spans="2:5" x14ac:dyDescent="0.2">
      <c r="B607" s="1"/>
    </row>
    <row r="608" spans="2:5" x14ac:dyDescent="0.2">
      <c r="B608" s="1"/>
      <c r="E608" s="3"/>
    </row>
    <row r="609" spans="2:5" x14ac:dyDescent="0.2">
      <c r="B609" s="1"/>
      <c r="E609" s="3"/>
    </row>
    <row r="610" spans="2:5" x14ac:dyDescent="0.2">
      <c r="B610" s="1"/>
      <c r="E610" s="3"/>
    </row>
    <row r="611" spans="2:5" x14ac:dyDescent="0.2">
      <c r="B611" s="1"/>
      <c r="E611" s="3"/>
    </row>
    <row r="612" spans="2:5" x14ac:dyDescent="0.2">
      <c r="B612" s="1"/>
    </row>
    <row r="613" spans="2:5" x14ac:dyDescent="0.2">
      <c r="B613" s="1"/>
    </row>
    <row r="614" spans="2:5" x14ac:dyDescent="0.2">
      <c r="B614" s="1"/>
      <c r="E614" s="3"/>
    </row>
    <row r="615" spans="2:5" x14ac:dyDescent="0.2">
      <c r="B615" s="1"/>
      <c r="E615" s="3"/>
    </row>
    <row r="616" spans="2:5" x14ac:dyDescent="0.2">
      <c r="B616" s="1"/>
      <c r="E616" s="3"/>
    </row>
    <row r="617" spans="2:5" x14ac:dyDescent="0.2">
      <c r="B617" s="1"/>
      <c r="E617" s="3"/>
    </row>
    <row r="633" spans="2:5" x14ac:dyDescent="0.2">
      <c r="E633" s="3"/>
    </row>
    <row r="636" spans="2:5" x14ac:dyDescent="0.2">
      <c r="B636" s="1"/>
    </row>
    <row r="637" spans="2:5" x14ac:dyDescent="0.2">
      <c r="B637" s="1"/>
      <c r="E637" s="3"/>
    </row>
    <row r="638" spans="2:5" x14ac:dyDescent="0.2">
      <c r="B638" s="1"/>
      <c r="E638" s="3"/>
    </row>
    <row r="639" spans="2:5" x14ac:dyDescent="0.2">
      <c r="B639" s="1"/>
      <c r="E639" s="3"/>
    </row>
    <row r="640" spans="2:5" x14ac:dyDescent="0.2">
      <c r="B640" s="1"/>
      <c r="E640" s="3"/>
    </row>
    <row r="641" spans="2:5" x14ac:dyDescent="0.2">
      <c r="B641" s="1"/>
      <c r="E641" s="3"/>
    </row>
    <row r="642" spans="2:5" x14ac:dyDescent="0.2">
      <c r="B642" s="1"/>
    </row>
    <row r="643" spans="2:5" x14ac:dyDescent="0.2">
      <c r="B643" s="1"/>
      <c r="E643" s="3"/>
    </row>
    <row r="644" spans="2:5" x14ac:dyDescent="0.2">
      <c r="B644" s="1"/>
      <c r="E644" s="3"/>
    </row>
    <row r="645" spans="2:5" x14ac:dyDescent="0.2">
      <c r="B645" s="1"/>
      <c r="E645" s="3"/>
    </row>
    <row r="646" spans="2:5" x14ac:dyDescent="0.2">
      <c r="B646" s="1"/>
      <c r="E646" s="3"/>
    </row>
    <row r="647" spans="2:5" x14ac:dyDescent="0.2">
      <c r="B647" s="1"/>
      <c r="E647" s="3"/>
    </row>
    <row r="648" spans="2:5" x14ac:dyDescent="0.2">
      <c r="B648" s="1"/>
      <c r="E648" s="3"/>
    </row>
    <row r="649" spans="2:5" x14ac:dyDescent="0.2">
      <c r="B649" s="1"/>
      <c r="E649" s="3"/>
    </row>
    <row r="650" spans="2:5" x14ac:dyDescent="0.2">
      <c r="B650" s="1"/>
      <c r="E650" s="3"/>
    </row>
    <row r="651" spans="2:5" x14ac:dyDescent="0.2">
      <c r="B651" s="1"/>
      <c r="E651" s="3"/>
    </row>
    <row r="652" spans="2:5" x14ac:dyDescent="0.2">
      <c r="B652" s="1"/>
      <c r="E652" s="3"/>
    </row>
    <row r="669" spans="5:5" x14ac:dyDescent="0.2">
      <c r="E669" s="3"/>
    </row>
    <row r="676" spans="2:5" x14ac:dyDescent="0.2">
      <c r="B676" s="1"/>
      <c r="E676" s="3"/>
    </row>
    <row r="677" spans="2:5" x14ac:dyDescent="0.2">
      <c r="B677" s="1"/>
    </row>
    <row r="678" spans="2:5" x14ac:dyDescent="0.2">
      <c r="B678" s="1"/>
    </row>
    <row r="679" spans="2:5" x14ac:dyDescent="0.2">
      <c r="B679" s="1"/>
    </row>
    <row r="680" spans="2:5" x14ac:dyDescent="0.2">
      <c r="B680" s="1"/>
    </row>
    <row r="681" spans="2:5" x14ac:dyDescent="0.2">
      <c r="B681" s="1"/>
      <c r="E681" s="3"/>
    </row>
    <row r="682" spans="2:5" x14ac:dyDescent="0.2">
      <c r="B682" s="1"/>
    </row>
    <row r="683" spans="2:5" x14ac:dyDescent="0.2">
      <c r="B683" s="1"/>
      <c r="E683" s="3"/>
    </row>
    <row r="684" spans="2:5" x14ac:dyDescent="0.2">
      <c r="B684" s="1"/>
      <c r="E684" s="3"/>
    </row>
    <row r="685" spans="2:5" x14ac:dyDescent="0.2">
      <c r="B685" s="1"/>
    </row>
    <row r="686" spans="2:5" x14ac:dyDescent="0.2">
      <c r="B686" s="1"/>
      <c r="E686" s="3"/>
    </row>
    <row r="687" spans="2:5" x14ac:dyDescent="0.2">
      <c r="B687" s="1"/>
      <c r="E687" s="3"/>
    </row>
    <row r="688" spans="2:5" x14ac:dyDescent="0.2">
      <c r="B688" s="1"/>
      <c r="E688" s="3"/>
    </row>
    <row r="689" spans="2:5" x14ac:dyDescent="0.2">
      <c r="B689" s="1"/>
    </row>
    <row r="690" spans="2:5" x14ac:dyDescent="0.2">
      <c r="B690" s="1"/>
      <c r="E690" s="3"/>
    </row>
    <row r="703" spans="2:5" x14ac:dyDescent="0.2">
      <c r="E703" s="3"/>
    </row>
    <row r="706" spans="2:5" x14ac:dyDescent="0.2">
      <c r="B706" s="1"/>
      <c r="E706" s="3"/>
    </row>
    <row r="707" spans="2:5" x14ac:dyDescent="0.2">
      <c r="B707" s="1"/>
      <c r="E707" s="3"/>
    </row>
    <row r="708" spans="2:5" x14ac:dyDescent="0.2">
      <c r="B708" s="1"/>
      <c r="E708" s="3"/>
    </row>
    <row r="709" spans="2:5" x14ac:dyDescent="0.2">
      <c r="B709" s="1"/>
    </row>
    <row r="710" spans="2:5" x14ac:dyDescent="0.2">
      <c r="B710" s="1"/>
      <c r="E710" s="3"/>
    </row>
    <row r="711" spans="2:5" x14ac:dyDescent="0.2">
      <c r="B711" s="1"/>
      <c r="E711" s="3"/>
    </row>
    <row r="712" spans="2:5" x14ac:dyDescent="0.2">
      <c r="B712" s="1"/>
      <c r="E712" s="3"/>
    </row>
    <row r="713" spans="2:5" x14ac:dyDescent="0.2">
      <c r="B713" s="1"/>
      <c r="E713" s="3"/>
    </row>
    <row r="714" spans="2:5" x14ac:dyDescent="0.2">
      <c r="B714" s="1"/>
      <c r="E714" s="3"/>
    </row>
    <row r="715" spans="2:5" x14ac:dyDescent="0.2">
      <c r="B715" s="1"/>
    </row>
    <row r="716" spans="2:5" x14ac:dyDescent="0.2">
      <c r="B716" s="1"/>
      <c r="E716" s="3"/>
    </row>
    <row r="717" spans="2:5" x14ac:dyDescent="0.2">
      <c r="B717" s="1"/>
    </row>
    <row r="718" spans="2:5" x14ac:dyDescent="0.2">
      <c r="B718" s="1"/>
      <c r="E718" s="3"/>
    </row>
    <row r="738" spans="2:5" x14ac:dyDescent="0.2">
      <c r="E738" s="3"/>
    </row>
    <row r="742" spans="2:5" x14ac:dyDescent="0.2">
      <c r="B742" s="1"/>
      <c r="E742" s="3"/>
    </row>
    <row r="743" spans="2:5" x14ac:dyDescent="0.2">
      <c r="B743" s="1"/>
      <c r="E743" s="3"/>
    </row>
    <row r="744" spans="2:5" x14ac:dyDescent="0.2">
      <c r="B744" s="1"/>
      <c r="E744" s="3"/>
    </row>
    <row r="745" spans="2:5" x14ac:dyDescent="0.2">
      <c r="B745" s="1"/>
      <c r="E745" s="3"/>
    </row>
    <row r="746" spans="2:5" x14ac:dyDescent="0.2">
      <c r="B746" s="1"/>
      <c r="E746" s="3"/>
    </row>
    <row r="747" spans="2:5" x14ac:dyDescent="0.2">
      <c r="B747" s="1"/>
      <c r="E747" s="3"/>
    </row>
    <row r="748" spans="2:5" x14ac:dyDescent="0.2">
      <c r="B748" s="1"/>
      <c r="E748" s="3"/>
    </row>
    <row r="749" spans="2:5" x14ac:dyDescent="0.2">
      <c r="B749" s="1"/>
      <c r="E749" s="3"/>
    </row>
    <row r="750" spans="2:5" x14ac:dyDescent="0.2">
      <c r="B750" s="1"/>
      <c r="E750" s="3"/>
    </row>
    <row r="751" spans="2:5" x14ac:dyDescent="0.2">
      <c r="B751" s="1"/>
    </row>
    <row r="752" spans="2:5" x14ac:dyDescent="0.2">
      <c r="B752" s="1"/>
      <c r="E752" s="3"/>
    </row>
    <row r="753" spans="2:5" x14ac:dyDescent="0.2">
      <c r="B753" s="1"/>
    </row>
    <row r="754" spans="2:5" x14ac:dyDescent="0.2">
      <c r="B754" s="1"/>
      <c r="E754" s="3"/>
    </row>
    <row r="755" spans="2:5" x14ac:dyDescent="0.2">
      <c r="B755" s="1"/>
      <c r="E755" s="3"/>
    </row>
    <row r="756" spans="2:5" x14ac:dyDescent="0.2">
      <c r="B756" s="1"/>
      <c r="E756" s="3"/>
    </row>
    <row r="772" spans="2:5" x14ac:dyDescent="0.2">
      <c r="E772" s="3"/>
    </row>
    <row r="774" spans="2:5" x14ac:dyDescent="0.2">
      <c r="E774" s="3"/>
    </row>
    <row r="777" spans="2:5" x14ac:dyDescent="0.2">
      <c r="B777" s="1"/>
      <c r="E777" s="3"/>
    </row>
    <row r="778" spans="2:5" x14ac:dyDescent="0.2">
      <c r="B778" s="1"/>
      <c r="E778" s="3"/>
    </row>
    <row r="779" spans="2:5" x14ac:dyDescent="0.2">
      <c r="B779" s="1"/>
      <c r="E779" s="3"/>
    </row>
    <row r="780" spans="2:5" x14ac:dyDescent="0.2">
      <c r="B780" s="1"/>
      <c r="E780" s="3"/>
    </row>
    <row r="781" spans="2:5" x14ac:dyDescent="0.2">
      <c r="B781" s="1"/>
      <c r="E781" s="3"/>
    </row>
    <row r="782" spans="2:5" x14ac:dyDescent="0.2">
      <c r="B782" s="1"/>
      <c r="E782" s="3"/>
    </row>
    <row r="783" spans="2:5" x14ac:dyDescent="0.2">
      <c r="B783" s="1"/>
      <c r="E783" s="3"/>
    </row>
    <row r="784" spans="2:5" x14ac:dyDescent="0.2">
      <c r="B784" s="1"/>
      <c r="E784" s="3"/>
    </row>
    <row r="785" spans="2:5" x14ac:dyDescent="0.2">
      <c r="B785" s="1"/>
      <c r="E785" s="3"/>
    </row>
    <row r="786" spans="2:5" x14ac:dyDescent="0.2">
      <c r="B786" s="1"/>
      <c r="E786" s="3"/>
    </row>
    <row r="787" spans="2:5" x14ac:dyDescent="0.2">
      <c r="B787" s="1"/>
      <c r="E787" s="3"/>
    </row>
    <row r="788" spans="2:5" x14ac:dyDescent="0.2">
      <c r="B788" s="1"/>
      <c r="E788" s="3"/>
    </row>
    <row r="789" spans="2:5" x14ac:dyDescent="0.2">
      <c r="B789" s="1"/>
      <c r="E789" s="3"/>
    </row>
    <row r="790" spans="2:5" x14ac:dyDescent="0.2">
      <c r="B790" s="1"/>
      <c r="E790" s="3"/>
    </row>
    <row r="791" spans="2:5" x14ac:dyDescent="0.2">
      <c r="B791" s="1"/>
      <c r="E791" s="3"/>
    </row>
    <row r="808" spans="2:5" x14ac:dyDescent="0.2">
      <c r="E808" s="3"/>
    </row>
    <row r="811" spans="2:5" x14ac:dyDescent="0.2">
      <c r="B811" s="1"/>
    </row>
    <row r="812" spans="2:5" x14ac:dyDescent="0.2">
      <c r="B812" s="1"/>
      <c r="E812" s="3"/>
    </row>
    <row r="813" spans="2:5" x14ac:dyDescent="0.2">
      <c r="B813" s="1"/>
      <c r="E813" s="3"/>
    </row>
    <row r="814" spans="2:5" x14ac:dyDescent="0.2">
      <c r="B814" s="1"/>
      <c r="E814" s="3"/>
    </row>
    <row r="815" spans="2:5" x14ac:dyDescent="0.2">
      <c r="B815" s="1"/>
      <c r="E815" s="3"/>
    </row>
    <row r="816" spans="2:5" x14ac:dyDescent="0.2">
      <c r="B816" s="1"/>
      <c r="E816" s="3"/>
    </row>
    <row r="817" spans="2:5" x14ac:dyDescent="0.2">
      <c r="B817" s="1"/>
      <c r="E817" s="3"/>
    </row>
    <row r="818" spans="2:5" x14ac:dyDescent="0.2">
      <c r="B818" s="1"/>
      <c r="E818" s="3"/>
    </row>
    <row r="819" spans="2:5" x14ac:dyDescent="0.2">
      <c r="B819" s="1"/>
      <c r="E819" s="3"/>
    </row>
    <row r="820" spans="2:5" x14ac:dyDescent="0.2">
      <c r="B820" s="1"/>
      <c r="E820" s="3"/>
    </row>
    <row r="821" spans="2:5" x14ac:dyDescent="0.2">
      <c r="B821" s="1"/>
    </row>
    <row r="822" spans="2:5" x14ac:dyDescent="0.2">
      <c r="B822" s="1"/>
      <c r="E822" s="3"/>
    </row>
    <row r="823" spans="2:5" x14ac:dyDescent="0.2">
      <c r="B823" s="1"/>
    </row>
    <row r="824" spans="2:5" x14ac:dyDescent="0.2">
      <c r="B824" s="1"/>
      <c r="E824" s="3"/>
    </row>
    <row r="825" spans="2:5" x14ac:dyDescent="0.2">
      <c r="B825" s="1"/>
      <c r="E825" s="3"/>
    </row>
    <row r="826" spans="2:5" x14ac:dyDescent="0.2">
      <c r="B826" s="1"/>
      <c r="E826" s="3"/>
    </row>
    <row r="843" spans="2:5" x14ac:dyDescent="0.2">
      <c r="E843" s="3"/>
    </row>
    <row r="846" spans="2:5" x14ac:dyDescent="0.2">
      <c r="B846" s="1"/>
      <c r="E846" s="3"/>
    </row>
    <row r="847" spans="2:5" x14ac:dyDescent="0.2">
      <c r="B847" s="1"/>
      <c r="E847" s="3"/>
    </row>
    <row r="848" spans="2:5" x14ac:dyDescent="0.2">
      <c r="B848" s="1"/>
      <c r="E848" s="3"/>
    </row>
    <row r="849" spans="2:5" x14ac:dyDescent="0.2">
      <c r="B849" s="1"/>
      <c r="E849" s="3"/>
    </row>
    <row r="850" spans="2:5" x14ac:dyDescent="0.2">
      <c r="B850" s="1"/>
      <c r="E850" s="3"/>
    </row>
    <row r="851" spans="2:5" x14ac:dyDescent="0.2">
      <c r="B851" s="1"/>
      <c r="E851" s="3"/>
    </row>
    <row r="852" spans="2:5" x14ac:dyDescent="0.2">
      <c r="B852" s="1"/>
      <c r="E852" s="3"/>
    </row>
    <row r="853" spans="2:5" x14ac:dyDescent="0.2">
      <c r="B853" s="1"/>
      <c r="E853" s="3"/>
    </row>
    <row r="854" spans="2:5" x14ac:dyDescent="0.2">
      <c r="B854" s="1"/>
      <c r="E854" s="3"/>
    </row>
    <row r="855" spans="2:5" x14ac:dyDescent="0.2">
      <c r="B855" s="1"/>
      <c r="E855" s="3"/>
    </row>
    <row r="856" spans="2:5" x14ac:dyDescent="0.2">
      <c r="B856" s="1"/>
    </row>
    <row r="857" spans="2:5" x14ac:dyDescent="0.2">
      <c r="B857" s="1"/>
      <c r="E857" s="3"/>
    </row>
    <row r="858" spans="2:5" x14ac:dyDescent="0.2">
      <c r="B858" s="1"/>
      <c r="E858" s="3"/>
    </row>
    <row r="859" spans="2:5" x14ac:dyDescent="0.2">
      <c r="B859" s="1"/>
      <c r="E859" s="3"/>
    </row>
    <row r="860" spans="2:5" x14ac:dyDescent="0.2">
      <c r="B860" s="1"/>
      <c r="E860" s="3"/>
    </row>
    <row r="861" spans="2:5" x14ac:dyDescent="0.2">
      <c r="B861" s="1"/>
      <c r="E861" s="3"/>
    </row>
    <row r="878" spans="5:5" x14ac:dyDescent="0.2">
      <c r="E878" s="3"/>
    </row>
    <row r="881" spans="2:5" x14ac:dyDescent="0.2">
      <c r="B881" s="1"/>
      <c r="E881" s="3"/>
    </row>
    <row r="882" spans="2:5" x14ac:dyDescent="0.2">
      <c r="B882" s="1"/>
      <c r="E882" s="3"/>
    </row>
    <row r="883" spans="2:5" x14ac:dyDescent="0.2">
      <c r="B883" s="1"/>
      <c r="E883" s="3"/>
    </row>
    <row r="884" spans="2:5" x14ac:dyDescent="0.2">
      <c r="B884" s="1"/>
      <c r="E884" s="3"/>
    </row>
    <row r="885" spans="2:5" x14ac:dyDescent="0.2">
      <c r="B885" s="1"/>
      <c r="E885" s="3"/>
    </row>
    <row r="886" spans="2:5" x14ac:dyDescent="0.2">
      <c r="B886" s="1"/>
      <c r="E886" s="3"/>
    </row>
    <row r="887" spans="2:5" x14ac:dyDescent="0.2">
      <c r="B887" s="1"/>
      <c r="E887" s="3"/>
    </row>
    <row r="888" spans="2:5" x14ac:dyDescent="0.2">
      <c r="B888" s="1"/>
      <c r="E888" s="3"/>
    </row>
    <row r="889" spans="2:5" x14ac:dyDescent="0.2">
      <c r="B889" s="1"/>
      <c r="E889" s="3"/>
    </row>
    <row r="890" spans="2:5" x14ac:dyDescent="0.2">
      <c r="B890" s="1"/>
      <c r="E890" s="3"/>
    </row>
    <row r="891" spans="2:5" x14ac:dyDescent="0.2">
      <c r="B891" s="1"/>
    </row>
    <row r="892" spans="2:5" x14ac:dyDescent="0.2">
      <c r="B892" s="1"/>
      <c r="E892" s="3"/>
    </row>
    <row r="893" spans="2:5" x14ac:dyDescent="0.2">
      <c r="B893" s="1"/>
      <c r="E893" s="3"/>
    </row>
    <row r="894" spans="2:5" x14ac:dyDescent="0.2">
      <c r="B894" s="1"/>
      <c r="E894" s="3"/>
    </row>
    <row r="895" spans="2:5" x14ac:dyDescent="0.2">
      <c r="B895" s="1"/>
      <c r="E895" s="3"/>
    </row>
    <row r="896" spans="2:5" x14ac:dyDescent="0.2">
      <c r="B896" s="1"/>
      <c r="E896" s="3"/>
    </row>
    <row r="913" spans="2:5" x14ac:dyDescent="0.2">
      <c r="E913" s="3"/>
    </row>
    <row r="916" spans="2:5" x14ac:dyDescent="0.2">
      <c r="B916" s="1"/>
      <c r="E916" s="3"/>
    </row>
    <row r="917" spans="2:5" x14ac:dyDescent="0.2">
      <c r="B917" s="1"/>
      <c r="E917" s="3"/>
    </row>
    <row r="918" spans="2:5" x14ac:dyDescent="0.2">
      <c r="B918" s="1"/>
      <c r="E918" s="3"/>
    </row>
    <row r="919" spans="2:5" x14ac:dyDescent="0.2">
      <c r="B919" s="1"/>
      <c r="E919" s="3"/>
    </row>
    <row r="920" spans="2:5" x14ac:dyDescent="0.2">
      <c r="B920" s="1"/>
      <c r="E920" s="3"/>
    </row>
    <row r="921" spans="2:5" x14ac:dyDescent="0.2">
      <c r="B921" s="1"/>
      <c r="E921" s="3"/>
    </row>
    <row r="922" spans="2:5" x14ac:dyDescent="0.2">
      <c r="B922" s="1"/>
      <c r="E922" s="3"/>
    </row>
    <row r="923" spans="2:5" x14ac:dyDescent="0.2">
      <c r="B923" s="1"/>
      <c r="E923" s="3"/>
    </row>
    <row r="924" spans="2:5" x14ac:dyDescent="0.2">
      <c r="B924" s="1"/>
      <c r="E924" s="3"/>
    </row>
    <row r="925" spans="2:5" x14ac:dyDescent="0.2">
      <c r="B925" s="1"/>
      <c r="E925" s="3"/>
    </row>
    <row r="926" spans="2:5" x14ac:dyDescent="0.2">
      <c r="B926" s="1"/>
    </row>
    <row r="927" spans="2:5" x14ac:dyDescent="0.2">
      <c r="B927" s="1"/>
      <c r="E927" s="3"/>
    </row>
    <row r="928" spans="2:5" x14ac:dyDescent="0.2">
      <c r="B928" s="1"/>
      <c r="E928" s="3"/>
    </row>
    <row r="929" spans="2:5" x14ac:dyDescent="0.2">
      <c r="B929" s="1"/>
      <c r="E929" s="3"/>
    </row>
    <row r="930" spans="2:5" x14ac:dyDescent="0.2">
      <c r="B930" s="1"/>
      <c r="E930" s="3"/>
    </row>
    <row r="931" spans="2:5" x14ac:dyDescent="0.2">
      <c r="B931" s="1"/>
      <c r="E931" s="3"/>
    </row>
    <row r="948" spans="2:5" x14ac:dyDescent="0.2">
      <c r="E948" s="3"/>
    </row>
    <row r="951" spans="2:5" x14ac:dyDescent="0.2">
      <c r="B951" s="1"/>
      <c r="E951" s="3"/>
    </row>
    <row r="952" spans="2:5" x14ac:dyDescent="0.2">
      <c r="B952" s="1"/>
      <c r="E952" s="3"/>
    </row>
    <row r="953" spans="2:5" x14ac:dyDescent="0.2">
      <c r="B953" s="1"/>
      <c r="E953" s="3"/>
    </row>
    <row r="954" spans="2:5" x14ac:dyDescent="0.2">
      <c r="B954" s="1"/>
      <c r="E954" s="3"/>
    </row>
    <row r="955" spans="2:5" x14ac:dyDescent="0.2">
      <c r="B955" s="1"/>
      <c r="E955" s="3"/>
    </row>
    <row r="956" spans="2:5" x14ac:dyDescent="0.2">
      <c r="B956" s="1"/>
      <c r="E956" s="3"/>
    </row>
    <row r="957" spans="2:5" x14ac:dyDescent="0.2">
      <c r="B957" s="1"/>
      <c r="E957" s="3"/>
    </row>
    <row r="958" spans="2:5" x14ac:dyDescent="0.2">
      <c r="B958" s="1"/>
      <c r="E958" s="3"/>
    </row>
    <row r="959" spans="2:5" x14ac:dyDescent="0.2">
      <c r="B959" s="1"/>
      <c r="E959" s="3"/>
    </row>
    <row r="960" spans="2:5" x14ac:dyDescent="0.2">
      <c r="B960" s="1"/>
      <c r="E960" s="3"/>
    </row>
    <row r="961" spans="2:5" x14ac:dyDescent="0.2">
      <c r="B961" s="1"/>
    </row>
    <row r="962" spans="2:5" x14ac:dyDescent="0.2">
      <c r="B962" s="1"/>
      <c r="E962" s="3"/>
    </row>
    <row r="963" spans="2:5" x14ac:dyDescent="0.2">
      <c r="B963" s="1"/>
      <c r="E963" s="3"/>
    </row>
    <row r="964" spans="2:5" x14ac:dyDescent="0.2">
      <c r="B964" s="1"/>
      <c r="E964" s="3"/>
    </row>
    <row r="965" spans="2:5" x14ac:dyDescent="0.2">
      <c r="B965" s="1"/>
      <c r="E965" s="3"/>
    </row>
    <row r="966" spans="2:5" x14ac:dyDescent="0.2">
      <c r="B966" s="1"/>
      <c r="E966" s="3"/>
    </row>
    <row r="967" spans="2:5" x14ac:dyDescent="0.2">
      <c r="B967" s="1"/>
      <c r="E967" s="3"/>
    </row>
    <row r="984" spans="2:5" x14ac:dyDescent="0.2">
      <c r="D984" s="3"/>
      <c r="E984" s="3"/>
    </row>
    <row r="988" spans="2:5" x14ac:dyDescent="0.2">
      <c r="B988" s="1"/>
      <c r="E988" s="3"/>
    </row>
    <row r="989" spans="2:5" x14ac:dyDescent="0.2">
      <c r="B989" s="1"/>
      <c r="E989" s="3"/>
    </row>
    <row r="990" spans="2:5" x14ac:dyDescent="0.2">
      <c r="B990" s="1"/>
      <c r="E990" s="3"/>
    </row>
    <row r="991" spans="2:5" x14ac:dyDescent="0.2">
      <c r="B991" s="1"/>
      <c r="E991" s="3"/>
    </row>
    <row r="992" spans="2:5" x14ac:dyDescent="0.2">
      <c r="B992" s="1"/>
      <c r="E992" s="3"/>
    </row>
    <row r="993" spans="2:5" x14ac:dyDescent="0.2">
      <c r="B993" s="1"/>
      <c r="E993" s="3"/>
    </row>
    <row r="994" spans="2:5" x14ac:dyDescent="0.2">
      <c r="B994" s="1"/>
    </row>
    <row r="995" spans="2:5" x14ac:dyDescent="0.2">
      <c r="B995" s="1"/>
      <c r="E995" s="3"/>
    </row>
    <row r="996" spans="2:5" x14ac:dyDescent="0.2">
      <c r="B996" s="1"/>
      <c r="E996" s="3"/>
    </row>
    <row r="997" spans="2:5" x14ac:dyDescent="0.2">
      <c r="B997" s="1"/>
      <c r="E997" s="3"/>
    </row>
    <row r="998" spans="2:5" x14ac:dyDescent="0.2">
      <c r="B998" s="1"/>
      <c r="E998" s="3"/>
    </row>
    <row r="999" spans="2:5" x14ac:dyDescent="0.2">
      <c r="B999" s="1"/>
      <c r="E999" s="3"/>
    </row>
    <row r="1000" spans="2:5" x14ac:dyDescent="0.2">
      <c r="B1000" s="1"/>
      <c r="E1000" s="3"/>
    </row>
    <row r="1001" spans="2:5" x14ac:dyDescent="0.2">
      <c r="B1001" s="1"/>
      <c r="E1001" s="3"/>
    </row>
    <row r="1020" spans="5:5" x14ac:dyDescent="0.2">
      <c r="E1020" s="3"/>
    </row>
    <row r="1026" spans="2:5" x14ac:dyDescent="0.2">
      <c r="B1026" s="1"/>
      <c r="E1026" s="3"/>
    </row>
    <row r="1027" spans="2:5" x14ac:dyDescent="0.2">
      <c r="B1027" s="1"/>
      <c r="E1027" s="3"/>
    </row>
    <row r="1028" spans="2:5" x14ac:dyDescent="0.2">
      <c r="B1028" s="1"/>
      <c r="E1028" s="3"/>
    </row>
    <row r="1029" spans="2:5" x14ac:dyDescent="0.2">
      <c r="B1029" s="1"/>
      <c r="E1029" s="3"/>
    </row>
    <row r="1030" spans="2:5" x14ac:dyDescent="0.2">
      <c r="B1030" s="1"/>
      <c r="E1030" s="3"/>
    </row>
    <row r="1031" spans="2:5" x14ac:dyDescent="0.2">
      <c r="B1031" s="1"/>
      <c r="E1031" s="3"/>
    </row>
    <row r="1032" spans="2:5" x14ac:dyDescent="0.2">
      <c r="B1032" s="1"/>
      <c r="E1032" s="3"/>
    </row>
    <row r="1033" spans="2:5" x14ac:dyDescent="0.2">
      <c r="B1033" s="1"/>
      <c r="E1033" s="3"/>
    </row>
    <row r="1034" spans="2:5" x14ac:dyDescent="0.2">
      <c r="B1034" s="1"/>
      <c r="E1034" s="3"/>
    </row>
    <row r="1035" spans="2:5" x14ac:dyDescent="0.2">
      <c r="B1035" s="1"/>
      <c r="E1035" s="3"/>
    </row>
    <row r="1036" spans="2:5" x14ac:dyDescent="0.2">
      <c r="B1036" s="1"/>
      <c r="E1036" s="3"/>
    </row>
    <row r="1037" spans="2:5" x14ac:dyDescent="0.2">
      <c r="B1037" s="1"/>
      <c r="E1037" s="3"/>
    </row>
    <row r="1038" spans="2:5" x14ac:dyDescent="0.2">
      <c r="B1038" s="1"/>
      <c r="E1038" s="3"/>
    </row>
    <row r="1057" spans="2:5" x14ac:dyDescent="0.2">
      <c r="E1057" s="3"/>
    </row>
    <row r="1061" spans="2:5" x14ac:dyDescent="0.2">
      <c r="B1061" s="1"/>
      <c r="E1061" s="3"/>
    </row>
    <row r="1062" spans="2:5" x14ac:dyDescent="0.2">
      <c r="B1062" s="1"/>
      <c r="E1062" s="3"/>
    </row>
    <row r="1063" spans="2:5" x14ac:dyDescent="0.2">
      <c r="B1063" s="1"/>
      <c r="E1063" s="3"/>
    </row>
    <row r="1064" spans="2:5" x14ac:dyDescent="0.2">
      <c r="B1064" s="1"/>
    </row>
    <row r="1065" spans="2:5" x14ac:dyDescent="0.2">
      <c r="B1065" s="1"/>
      <c r="E1065" s="3"/>
    </row>
    <row r="1066" spans="2:5" x14ac:dyDescent="0.2">
      <c r="B1066" s="1"/>
      <c r="E1066" s="3"/>
    </row>
    <row r="1067" spans="2:5" x14ac:dyDescent="0.2">
      <c r="B1067" s="1"/>
      <c r="E1067" s="3"/>
    </row>
    <row r="1068" spans="2:5" x14ac:dyDescent="0.2">
      <c r="B1068" s="1"/>
    </row>
    <row r="1069" spans="2:5" x14ac:dyDescent="0.2">
      <c r="B1069" s="1"/>
    </row>
    <row r="1070" spans="2:5" x14ac:dyDescent="0.2">
      <c r="B1070" s="1"/>
      <c r="E1070" s="3"/>
    </row>
    <row r="1071" spans="2:5" x14ac:dyDescent="0.2">
      <c r="B1071" s="1"/>
      <c r="E1071" s="3"/>
    </row>
    <row r="1072" spans="2:5" x14ac:dyDescent="0.2">
      <c r="B1072" s="1"/>
      <c r="E1072" s="3"/>
    </row>
    <row r="1073" spans="2:5" x14ac:dyDescent="0.2">
      <c r="B1073" s="1"/>
      <c r="E1073" s="3"/>
    </row>
  </sheetData>
  <phoneticPr fontId="0" type="noConversion"/>
  <pageMargins left="0.75" right="0.75" top="1.365" bottom="1" header="0" footer="0"/>
  <pageSetup scale="9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21"/>
  <sheetViews>
    <sheetView view="pageBreakPreview" zoomScaleNormal="100" workbookViewId="0">
      <selection activeCell="I9" sqref="I9"/>
    </sheetView>
  </sheetViews>
  <sheetFormatPr baseColWidth="10" defaultRowHeight="12.75" x14ac:dyDescent="0.2"/>
  <cols>
    <col min="1" max="1" width="28.5703125" customWidth="1"/>
    <col min="2" max="2" width="14.7109375" customWidth="1"/>
    <col min="3" max="3" width="28.85546875" customWidth="1"/>
    <col min="4" max="4" width="14.85546875" hidden="1" customWidth="1"/>
    <col min="5" max="5" width="12.140625" customWidth="1"/>
  </cols>
  <sheetData>
    <row r="3" spans="1:5" x14ac:dyDescent="0.2">
      <c r="A3" t="s">
        <v>31</v>
      </c>
      <c r="C3" t="s">
        <v>11</v>
      </c>
      <c r="E3" s="3">
        <v>25</v>
      </c>
    </row>
    <row r="9" spans="1:5" x14ac:dyDescent="0.2">
      <c r="A9" t="s">
        <v>27</v>
      </c>
      <c r="B9" s="1">
        <v>6.4999999999999997E-3</v>
      </c>
      <c r="C9" t="s">
        <v>27</v>
      </c>
      <c r="E9" s="3">
        <f>E3*B9</f>
        <v>0.16250000000000001</v>
      </c>
    </row>
    <row r="10" spans="1:5" x14ac:dyDescent="0.2">
      <c r="A10" t="s">
        <v>8</v>
      </c>
      <c r="B10" s="1">
        <v>0.32219999999999999</v>
      </c>
      <c r="C10" t="s">
        <v>8</v>
      </c>
      <c r="E10" s="3">
        <f>E3*B10</f>
        <v>8.0549999999999997</v>
      </c>
    </row>
    <row r="11" spans="1:5" x14ac:dyDescent="0.2">
      <c r="A11" t="s">
        <v>30</v>
      </c>
      <c r="B11" s="1">
        <v>1.1999999999999999E-3</v>
      </c>
      <c r="C11" t="s">
        <v>30</v>
      </c>
      <c r="E11" s="3">
        <f>E3*B11</f>
        <v>0.03</v>
      </c>
    </row>
    <row r="12" spans="1:5" x14ac:dyDescent="0.2">
      <c r="A12" t="s">
        <v>7</v>
      </c>
      <c r="B12" s="1">
        <v>6.9999999999999999E-4</v>
      </c>
      <c r="C12" t="s">
        <v>7</v>
      </c>
      <c r="E12" s="3">
        <f>E3*B12</f>
        <v>1.7499999999999998E-2</v>
      </c>
    </row>
    <row r="13" spans="1:5" x14ac:dyDescent="0.2">
      <c r="A13" t="s">
        <v>6</v>
      </c>
      <c r="B13" s="1">
        <v>2.8999999999999998E-3</v>
      </c>
      <c r="C13" t="s">
        <v>6</v>
      </c>
      <c r="E13" s="3">
        <f>E3*B13</f>
        <v>7.2499999999999995E-2</v>
      </c>
    </row>
    <row r="14" spans="1:5" x14ac:dyDescent="0.2">
      <c r="A14" t="s">
        <v>5</v>
      </c>
      <c r="B14" s="1">
        <v>3.0000000000000001E-3</v>
      </c>
      <c r="C14" t="s">
        <v>5</v>
      </c>
      <c r="E14" s="3">
        <f>E3*B14</f>
        <v>7.4999999999999997E-2</v>
      </c>
    </row>
    <row r="15" spans="1:5" x14ac:dyDescent="0.2">
      <c r="A15" t="s">
        <v>32</v>
      </c>
      <c r="B15" s="1">
        <v>5.0000000000000001E-3</v>
      </c>
      <c r="C15" t="s">
        <v>32</v>
      </c>
      <c r="E15" s="3">
        <f>E3*B15</f>
        <v>0.125</v>
      </c>
    </row>
    <row r="16" spans="1:5" x14ac:dyDescent="0.2">
      <c r="A16" t="s">
        <v>3</v>
      </c>
      <c r="B16" s="1">
        <v>1.4E-3</v>
      </c>
      <c r="C16" t="s">
        <v>3</v>
      </c>
      <c r="E16" s="3">
        <f>E3*B16</f>
        <v>3.4999999999999996E-2</v>
      </c>
    </row>
    <row r="17" spans="1:5" x14ac:dyDescent="0.2">
      <c r="A17" t="s">
        <v>33</v>
      </c>
      <c r="B17" s="1">
        <v>0.43490000000000001</v>
      </c>
      <c r="C17" t="s">
        <v>33</v>
      </c>
      <c r="E17" s="3">
        <f>E3*B17</f>
        <v>10.8725</v>
      </c>
    </row>
    <row r="18" spans="1:5" x14ac:dyDescent="0.2">
      <c r="A18" t="s">
        <v>34</v>
      </c>
      <c r="B18" s="1">
        <v>0.14949999999999999</v>
      </c>
      <c r="C18" t="s">
        <v>34</v>
      </c>
      <c r="E18" s="3">
        <f>E3*B18</f>
        <v>3.7374999999999998</v>
      </c>
    </row>
    <row r="19" spans="1:5" x14ac:dyDescent="0.2">
      <c r="A19" t="s">
        <v>15</v>
      </c>
      <c r="B19" s="1">
        <v>7.0000000000000007E-2</v>
      </c>
      <c r="C19" t="s">
        <v>15</v>
      </c>
      <c r="E19" s="3">
        <f>E3*B19</f>
        <v>1.7500000000000002</v>
      </c>
    </row>
    <row r="20" spans="1:5" x14ac:dyDescent="0.2">
      <c r="A20" t="s">
        <v>9</v>
      </c>
      <c r="B20" s="2">
        <v>2.7000000000000001E-3</v>
      </c>
      <c r="C20" t="s">
        <v>9</v>
      </c>
      <c r="E20" s="4">
        <f>E3*B20</f>
        <v>6.7500000000000004E-2</v>
      </c>
    </row>
    <row r="21" spans="1:5" x14ac:dyDescent="0.2">
      <c r="B21" s="1">
        <f>SUM(B9:B20)</f>
        <v>1</v>
      </c>
      <c r="E21" s="3">
        <f>SUM(E9:E20)</f>
        <v>25</v>
      </c>
    </row>
  </sheetData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Hoja1</vt:lpstr>
      <vt:lpstr>ARENA SILICA</vt:lpstr>
      <vt:lpstr>CASCARA DE NARANJA</vt:lpstr>
      <vt:lpstr>PINTU FLEX</vt:lpstr>
      <vt:lpstr>PINTURA VINILICA</vt:lpstr>
      <vt:lpstr>'ARENA SILICA'!Área_de_impresión</vt:lpstr>
      <vt:lpstr>'CASCARA DE NARANJA'!Área_de_impresión</vt:lpstr>
      <vt:lpstr>'PINTU FLEX'!Área_de_impresión</vt:lpstr>
      <vt:lpstr>'PINTURA VINILICA'!Área_de_impresión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HP20_C019la</cp:lastModifiedBy>
  <cp:lastPrinted>2025-08-20T15:27:22Z</cp:lastPrinted>
  <dcterms:created xsi:type="dcterms:W3CDTF">2008-06-15T20:54:52Z</dcterms:created>
  <dcterms:modified xsi:type="dcterms:W3CDTF">2025-08-20T15:27:26Z</dcterms:modified>
</cp:coreProperties>
</file>