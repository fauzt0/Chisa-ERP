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ntas\Nextcloud\COTIZACIONES 2026\"/>
    </mc:Choice>
  </mc:AlternateContent>
  <xr:revisionPtr revIDLastSave="0" documentId="13_ncr:1_{60B75FA0-F5C1-4EA8-A697-9557CEC2F559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UMINISTRO Y APLICACION" sheetId="1" r:id="rId1"/>
    <sheet name="SUMINISTRO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7" i="3" l="1"/>
  <c r="F26" i="3"/>
  <c r="F25" i="3"/>
  <c r="F24" i="3"/>
  <c r="F23" i="3"/>
  <c r="F33" i="3"/>
  <c r="F35" i="3" l="1"/>
  <c r="F29" i="3" l="1"/>
  <c r="F37" i="3" s="1"/>
  <c r="F39" i="3" s="1"/>
  <c r="D21" i="1"/>
  <c r="D22" i="1" s="1"/>
  <c r="F40" i="3" l="1"/>
  <c r="F41" i="3" s="1"/>
</calcChain>
</file>

<file path=xl/sharedStrings.xml><?xml version="1.0" encoding="utf-8"?>
<sst xmlns="http://schemas.openxmlformats.org/spreadsheetml/2006/main" count="81" uniqueCount="71">
  <si>
    <t xml:space="preserve">P  R  E  S  E  N  T  E                                                                                                 </t>
  </si>
  <si>
    <t xml:space="preserve">         </t>
  </si>
  <si>
    <t xml:space="preserve">     </t>
  </si>
  <si>
    <t>IMPORTE:</t>
  </si>
  <si>
    <t>16% I.V.A.</t>
  </si>
  <si>
    <t>T O T A L</t>
  </si>
  <si>
    <t>FORMA DE PAGO</t>
  </si>
  <si>
    <t>N O T A S:</t>
  </si>
  <si>
    <t>TODO AUMENTO DE OBRA O CAMBIO DE ESPECIFICACIÓN, DEBERÁ SER NOTIFICADO POR EL CLIENTE MEDIANTE ORDEN DE TRABAJO, CON LO CUAL  SE REALIZARA LA MODIFICACIÓN BAJO EL CARGO CORRESPONDIENTE EN SU CASO.</t>
  </si>
  <si>
    <t xml:space="preserve">EL PERSONAL APLICADOR DE CHISA RECUBRIMIENTOS, S.A. DE C.V.  NO SE ENCUENTRA AUTORIZADO PARA REALIZAR TRABAJOS DE TABLAROCA, RESANES DE ALBAÑILERÍA O YESO, DESPRENDIMIENTO DE PAPEL TAPIZ, COLOCACIÓN O RETIRO DE SEÑALIZACIÓN,  RETIRO DE MOBILIARIO,  APARATOS, O EQUIPO, EVITANDO ASÍ CUALQUIER DAÑO A LOS MISMOS.  </t>
  </si>
  <si>
    <t>EN CASO DE QUE EL CLIENTE NO LIBERE ÁREAS PARA SER APLICADO EL RECUBRIMIENTO,  SE  REALIZARAN LOS CARGOS CORRESPONDIENTES POR TIEMPOS MUERTOS, VIÁTICOS,  Y LOS GASTOS QUE SE GENEREN DERIVADOS DEL MISMO,  EN EL SUPUESTO DE QUE LOS VOLÚMENES CONTRATADOS VARÍEN A LOS EXISTENTES EN OBRA, EL CLIENTE LIQUIDARA EL MATERIAL EXCEDENTE FABRICADO PARA LA MISMA.</t>
  </si>
  <si>
    <t>EL PRESENTE  PRESUPUESTO TIENE UNA VIGENCIA DE 15 DÍAS HÁBILES, AL TERMINO DE ESTA FECHA SE DEBERÁ ACTUALIZAR LA COTIZACIÓN, PARA VERIFICAR LA VIGENCIA DE LOS PRECIOS.</t>
  </si>
  <si>
    <t>ESTE TIPO DE MATERIAL POR SUS COMPONENTES REQUIERE DE UNA SUPERFICIE SECA, LIBRE DE HUMEDAD Y/O SALITRE,  DE LO CONTRARIO NO RECOMENDAMOS LA APLICACIÓN DE NUESTROS PRODUCTOS HASTA CORREGIR EL PROBLEMA, YA QUE NO SEREMOS RESPONSABLES POR DEFECTOS, MANCHAS O DESPRENDIMIENTOS QUE PUDIERAN PRESENTARSE, SI EN LAS SUPERFICIES DONDE SERÁN APLICADOS LOS PRODUCTOS COTIZADOS EXISTIERA PINTURA EN MAL ESTADO O CON FALSA ADHERENCIA, EL CLIENTE SE COMPROMETE A RETIRAR LA MISMA, PREVIO A LA APLICACIÓN DE NUESTROS PRODUCTOS.</t>
  </si>
  <si>
    <t>TODO LO RELACIONADO A LICENCIAS, PERMISOS DE  CONSTRUCCIÓN Y SINDICATOS, CORRERÁ POR  CUENTA DEL CLIENTE.</t>
  </si>
  <si>
    <t>INICIAMOS LOS TRABAJOS PREVIA ENTREGA  DE PAGO TOTAL ANTICIPADO  A LOS 15 DIAS HABILES PARA OBRAS FORANEAS Y EN 5 DIAS HABILES EN OBRAS EN LA CDMX, SIEMPRE Y CUANDO EL ACABADO DE LOS MUROS SEA DE MEZCLA FINO Y LIBRE DE DETALLES DE ALBAÑILERIA Y/O TABLAROCA, EN DICHOS TIEMPOS SE CONSIDERA LA FABRICACION DEL MATERIAL Y EL TRASLADO DE MATERIALES A EL LUGAR DE LOS TRABAJOS.</t>
  </si>
  <si>
    <t>TODA DEVOLUCIÓN DE CHEQUE, CAUSARA EL 20% DE CARGO DE ACUERDO CON EL ART. 193 DE LA LEY GENERAL DE TÍTULOS Y OPERACIONES DE CRÉDITO.</t>
  </si>
  <si>
    <t xml:space="preserve">CHISA RECUBRIMIENTOS, S.A. DE C.V. CON DOMICILIO EN ANDRES MOLINA ENRIQUEZ No. 156 COL. SAN PEDRO IZTACALCO, ALCALDÍA IZTACALCO, EN CIUDAD DE MÉXICO,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www.chisarecubrimientos.com.mx </t>
  </si>
  <si>
    <t xml:space="preserve">SIN MAS POR EL MOMENTO, LE REITERO A USTED, LAS SEGURIDADES DE MI MAS DISTINGUIDA CONSIDERACIÓN. </t>
  </si>
  <si>
    <t xml:space="preserve">   </t>
  </si>
  <si>
    <t>CANTIDAD</t>
  </si>
  <si>
    <t>IMPORTE</t>
  </si>
  <si>
    <t>CONCEPTO</t>
  </si>
  <si>
    <t>ACEPTO</t>
  </si>
  <si>
    <t xml:space="preserve">NOTAS: </t>
  </si>
  <si>
    <t xml:space="preserve">ANDRES MOLINA ENRIQUEZ #156 COL. SAN PEDRO ALCALDÍA IZTACALCO, C.P. 08220, CDMX. CONTACTO: 55-55-79-9434| 55-55-7908-95| 55-55-79-62-70 ventas@chisarecubrimientos.com.mx|www.chisarecubrimientos.com.mx </t>
  </si>
  <si>
    <r>
      <t xml:space="preserve">PRECIO  U.                </t>
    </r>
    <r>
      <rPr>
        <sz val="9"/>
        <color theme="1"/>
        <rFont val="Times New Roman"/>
        <family val="1"/>
      </rPr>
      <t xml:space="preserve">       </t>
    </r>
  </si>
  <si>
    <t>1.-EL PRESENTE PRESUPUESTO TIENE UNA VIGENCIA DE 5 DIAS HABILES, AL TERMINO  DE ESTA FECHA,   NUESTROS PRECIOS PODRIAN CAMBIAR SIN PREVIO AVISO, EN EL MARGEN QUE VARIEN  NUESTRAS MATERIAS PRIMAS.</t>
  </si>
  <si>
    <r>
      <t xml:space="preserve">2.-AL ACEPTAR EL PRESENTE PRESUPUESTO REQUERIMOS DEL </t>
    </r>
    <r>
      <rPr>
        <b/>
        <sz val="9"/>
        <color theme="1"/>
        <rFont val="Times New Roman"/>
        <family val="1"/>
      </rPr>
      <t>PAGO TOTAL ANTICIPADO</t>
    </r>
  </si>
  <si>
    <t>3.-ENTREGA DE MATERIALES L.A.B. EN LA PLANTA DE CHISA RECUBRIMIENTOS,  S.A. DE C.V.</t>
  </si>
  <si>
    <t>4.-PRECIOS CONSIDERADOS EN LA COMPRA TOTAL EN UNA SOLA EXHIBICION.</t>
  </si>
  <si>
    <r>
      <t xml:space="preserve">5.-CHISA RECUBRIMIENTOS, S.A. DE C.V. CON DOMICILIO EN ANDRES MOLINA ENRIQUEZ No. 156 COL. SAN PEDRO IZTACALCO, ALCALDÍA IZTACALCO EN CDMX, UTILIZARA SUS DATOS PERSONALES RECABADOS UNICA Y EXCLUSIVAMENTE PARA EFECTOS DE PROPORCIONARLE INFORMACION DE NUESTROS SERVICIOS, PRODUCTOS Y COSTOS. PARA MAYOR INFORMACION ACERCA DEL TRATAMIENTO Y DE LOS DERECHOS QUE PUEDE HACER VALER, USTED PUEDE ACCEDER AL AVISO DE PRIVACIDAD INTEGRAL A TRAVES DE NUESTRA PAGINA DE INTERNET </t>
    </r>
    <r>
      <rPr>
        <u/>
        <sz val="9"/>
        <color rgb="FF002060"/>
        <rFont val="Times New Roman"/>
        <family val="1"/>
      </rPr>
      <t>www.chisarecubrimientos.com.mx</t>
    </r>
  </si>
  <si>
    <t>ATENTAMENTE</t>
  </si>
  <si>
    <r>
      <t>PRESENTAMOS  A  SU AMABLE  CONSIDERACIÓN EL PRESUPUESTO DE SUMINISTRO Y APLICACIÓN  DE  LOS SIGUIENTES CONCEPTOS.</t>
    </r>
    <r>
      <rPr>
        <b/>
        <sz val="9"/>
        <color theme="1"/>
        <rFont val="Times New Roman"/>
        <family val="1"/>
      </rPr>
      <t xml:space="preserve">                                                   </t>
    </r>
  </si>
  <si>
    <t xml:space="preserve">                                  CONCEPTO</t>
  </si>
  <si>
    <r>
      <t xml:space="preserve">1.-SUMINISTRO Y APLICACIÓN DE RECUBRIMIENTO CHISA GLASS REF-S.M.A. EN MUROS CON RECUBRIMIENTO EXISTENTE, INCLUYE : LIMPIEZA Y LIJADO DE MURO, </t>
    </r>
    <r>
      <rPr>
        <sz val="9"/>
        <color theme="1"/>
        <rFont val="Times New Roman"/>
        <family val="1"/>
      </rPr>
      <t>APLICACION DE ARENA SILICA MALLA 250-300 A MANO CON LLANA METALICA, APLICACIÓN DE SELLADOR ACRÍLICO 4648 A MANO CON RODILLO DE FELPA Y BROCHA, APLICACIÓN DE PRAIMER GLASS APLICADO CON RODILLO DE FELPA Y BROCHA, APLICACIÓN DE RECUBRIMIENTO CHISA GLASS REF-S.M.A. CON EQUIPO NEUMÁTICO POR ASPERSIÓN DE AIRE, APLICACIÓN DE VITROGLASS ECOLÓGICO CON RODILLO DE FELPA Y BROCHA,   PROTECCIÓN DE SUPERFICIES ADYACENTES  CON PAPEL Y MASKING TAPE, LIMPIEZA Y  RETIRO DE SOBRANTES PROPIOS HASTA EL LUGAR INDICADO DENTRO DE  OBRA, FLETE, Y MANO DE OBRA ESPECIALIZADA, TODO LO ANTERIOR CONSIDERADO HASTA UNA ALTURA DE  2.70  MTS.   Y  DEMÁS DERIVADOS DEL USO DE HERRAMIENTA. NO INCLUYE ANDAMIAJE.</t>
    </r>
  </si>
  <si>
    <t>EN CASO DE SER ACEPTADO EL PRESENTE PRESUPUESTO REQUERIMOS DEL PAGO TOTAL, EL CUAL SERA APLICADO A LA FABRICACIÓN, Y GASTOS DE ENVIÓ DE MATERIALES AL LUGAR DE LOS TRABAJOS:  AL OTORGAR EL PAGO DE ANTICIPO PARA LA EJECUCIÓN DE LOS TRABAJOS, SE CONSIDERA COMO ACEPTADO EL PRESUPUESTO EN TODOS SUS PUNTOS Y EL MISMO FUNGIRÁ COMO CONTRATO.</t>
  </si>
  <si>
    <t xml:space="preserve">                          ________________________________                                                _______________________________________</t>
  </si>
  <si>
    <t>CIUDAD DE MEXICO A 14 DE NOVIEMBRE DEL 2023</t>
  </si>
  <si>
    <t xml:space="preserve">                       ATN: ING. CESAR BRAVO</t>
  </si>
  <si>
    <t>PRES. REF. 15262/2023</t>
  </si>
  <si>
    <t xml:space="preserve">TAG2 TALLER DE ARQUITECTURA </t>
  </si>
  <si>
    <r>
      <t xml:space="preserve">FORMA DE PAGO Y CONSIDERACIONES GENERALES CORRESPONDIENTES AL PRESUPUESTO </t>
    </r>
    <r>
      <rPr>
        <b/>
        <sz val="9"/>
        <color theme="1"/>
        <rFont val="Times New Roman"/>
        <family val="1"/>
      </rPr>
      <t>REF. 15262/2023.</t>
    </r>
  </si>
  <si>
    <t xml:space="preserve">                                             ING. CESAR BRAVO                                                                        CHISA RECUBRIMIENTOS, S.A. DE C.V    </t>
  </si>
  <si>
    <t>LOTE DE DETALLES HASTA 80 M2</t>
  </si>
  <si>
    <t>IVA:</t>
  </si>
  <si>
    <t xml:space="preserve">TOTAL: </t>
  </si>
  <si>
    <t>CUBETAS</t>
  </si>
  <si>
    <t xml:space="preserve">  A T E N T A M E N T E</t>
  </si>
  <si>
    <t xml:space="preserve">                                   A C E P T O</t>
  </si>
  <si>
    <r>
      <t xml:space="preserve">PRESENTAMOS A SU AMABLE CONSIDERACIÓN EL PRESUPUESTO DE SUMINISTRO </t>
    </r>
    <r>
      <rPr>
        <sz val="9"/>
        <color theme="1"/>
        <rFont val="Times New Roman"/>
        <family val="1"/>
      </rPr>
      <t xml:space="preserve">DE LOS SIGUIENTES MATERIALES: </t>
    </r>
  </si>
  <si>
    <t>RFC: CRE-880613-DY4</t>
  </si>
  <si>
    <t xml:space="preserve">                                         CHISA RECUBRIMIENTOS, S.A DE C.V</t>
  </si>
  <si>
    <t xml:space="preserve">
</t>
  </si>
  <si>
    <t xml:space="preserve">                           ARQ. JESICA YOVAL</t>
  </si>
  <si>
    <t>COMPLEMENTOS Y MATERIALES</t>
  </si>
  <si>
    <t>PZAS</t>
  </si>
  <si>
    <t>5.- MASKING TAPE PARA PROTECCIÓN (REND. 12.5M2)</t>
  </si>
  <si>
    <t>SUMATORIA  1</t>
  </si>
  <si>
    <t>SUMATORIA  2</t>
  </si>
  <si>
    <t>CIUDAD DE MEXICO A 29 DE ABRIL DEL 2026</t>
  </si>
  <si>
    <t>OBRA: IMSS COLIMA</t>
  </si>
  <si>
    <t>AT´N: INGRID GUTIERREZ</t>
  </si>
  <si>
    <t>PRES. REF. 16508-S/2026CG</t>
  </si>
  <si>
    <t xml:space="preserve">1.- MORTERO PLASTICO MALLA 350-400 (REND. 16M2) </t>
  </si>
  <si>
    <t>2.- ARENA SILICA MALLA 250-300 (REND. 22M2)</t>
  </si>
  <si>
    <t>5.- VITROGLASS REF. S.M.A (REND. 180M2)</t>
  </si>
  <si>
    <t xml:space="preserve">3.- SELLADOR INICIAL  (REND. 90M2) </t>
  </si>
  <si>
    <t>4.- SHELL HARD (CASCARA LISO) (REND. 25M2)</t>
  </si>
  <si>
    <t>ENVIO</t>
  </si>
  <si>
    <t>SUB TOTAL</t>
  </si>
  <si>
    <r>
      <t xml:space="preserve">                                    INGRID GUTIERREZ</t>
    </r>
    <r>
      <rPr>
        <b/>
        <sz val="9"/>
        <color theme="1"/>
        <rFont val="Times New Roman"/>
        <family val="1"/>
      </rPr>
      <t xml:space="preserve">                                                                                                              </t>
    </r>
    <r>
      <rPr>
        <b/>
        <sz val="8"/>
        <color theme="1"/>
        <rFont val="Times New Roman"/>
        <family val="1"/>
      </rPr>
      <t>CHISA RECUBRIMIENTOS</t>
    </r>
    <r>
      <rPr>
        <b/>
        <sz val="9"/>
        <color theme="1"/>
        <rFont val="Times New Roman"/>
        <family val="1"/>
      </rPr>
      <t xml:space="preserve"> SA DE CV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</si>
</sst>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;[Red]\-&quot;$&quot;#,##0.00"/>
    <numFmt numFmtId="44" formatCode="_-&quot;$&quot;* #,##0.00_-;\-&quot;$&quot;* #,##0.00_-;_-&quot;$&quot;* &quot;-&quot;??_-;_-@_-"/>
    <numFmt numFmtId="164" formatCode="&quot;$&quot;#,##0.00"/>
    <numFmt numFmtId="168" formatCode="_-&quot;$&quot;* #,##0.00_-;\-&quot;$&quot;* #,##0.00_-;_-&quot;$&quot;* &quot;-&quot;??_-;_-@_-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sz val="8"/>
      <color theme="1"/>
      <name val="Times New Roman"/>
      <family val="1"/>
    </font>
    <font>
      <b/>
      <u/>
      <sz val="9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2060"/>
      <name val="Calibri"/>
      <family val="2"/>
    </font>
    <font>
      <b/>
      <sz val="8"/>
      <color rgb="FF002060"/>
      <name val="Calibri"/>
      <family val="2"/>
    </font>
    <font>
      <u/>
      <sz val="9"/>
      <color rgb="FF002060"/>
      <name val="Times New Roman"/>
      <family val="1"/>
    </font>
    <font>
      <sz val="9"/>
      <color theme="1"/>
      <name val="Calibri"/>
      <family val="2"/>
      <scheme val="minor"/>
    </font>
    <font>
      <b/>
      <sz val="8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48">
    <xf numFmtId="0" fontId="0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</cellStyleXfs>
  <cellXfs count="88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horizontal="justify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justify" vertical="top" wrapText="1"/>
    </xf>
    <xf numFmtId="0" fontId="2" fillId="0" borderId="0" xfId="0" applyFont="1" applyAlignment="1">
      <alignment horizontal="justify" vertical="center"/>
    </xf>
    <xf numFmtId="0" fontId="1" fillId="0" borderId="0" xfId="0" applyFont="1" applyAlignment="1">
      <alignment horizontal="justify" vertical="center"/>
    </xf>
    <xf numFmtId="8" fontId="1" fillId="0" borderId="0" xfId="0" applyNumberFormat="1" applyFont="1" applyAlignment="1">
      <alignment horizontal="justify" wrapText="1"/>
    </xf>
    <xf numFmtId="44" fontId="1" fillId="0" borderId="0" xfId="1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/>
    </xf>
    <xf numFmtId="44" fontId="1" fillId="0" borderId="0" xfId="1" applyFont="1" applyAlignment="1">
      <alignment horizont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>
      <alignment horizontal="justify" vertical="center"/>
    </xf>
    <xf numFmtId="0" fontId="2" fillId="0" borderId="0" xfId="0" applyFont="1" applyAlignment="1">
      <alignment horizontal="justify"/>
    </xf>
    <xf numFmtId="0" fontId="0" fillId="0" borderId="0" xfId="0" applyAlignment="1">
      <alignment horizontal="center" wrapText="1"/>
    </xf>
    <xf numFmtId="0" fontId="0" fillId="0" borderId="0" xfId="0" applyAlignment="1">
      <alignment horizontal="justify"/>
    </xf>
    <xf numFmtId="0" fontId="0" fillId="0" borderId="0" xfId="0" applyAlignment="1">
      <alignment horizontal="justify" vertical="top" wrapText="1"/>
    </xf>
    <xf numFmtId="0" fontId="9" fillId="0" borderId="0" xfId="0" applyFont="1"/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right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44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164" fontId="1" fillId="0" borderId="0" xfId="0" applyNumberFormat="1" applyFont="1" applyAlignment="1">
      <alignment horizontal="right" vertical="center" wrapText="1"/>
    </xf>
    <xf numFmtId="164" fontId="1" fillId="0" borderId="0" xfId="0" applyNumberFormat="1" applyFont="1" applyAlignment="1">
      <alignment horizontal="right" vertical="center"/>
    </xf>
    <xf numFmtId="164" fontId="1" fillId="0" borderId="0" xfId="1" applyNumberFormat="1" applyFont="1" applyAlignment="1">
      <alignment horizontal="right" vertic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top" wrapText="1"/>
    </xf>
    <xf numFmtId="164" fontId="1" fillId="0" borderId="0" xfId="1" applyNumberFormat="1" applyFont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2" fillId="0" borderId="0" xfId="0" applyFont="1" applyAlignment="1">
      <alignment horizontal="justify" vertic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justify" vertical="center" wrapText="1"/>
    </xf>
    <xf numFmtId="0" fontId="2" fillId="0" borderId="0" xfId="0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justify" vertical="top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0" fillId="0" borderId="0" xfId="0"/>
    <xf numFmtId="0" fontId="1" fillId="0" borderId="0" xfId="0" applyFont="1" applyAlignment="1">
      <alignment horizontal="justify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top"/>
    </xf>
    <xf numFmtId="0" fontId="1" fillId="0" borderId="0" xfId="0" applyFont="1" applyAlignment="1">
      <alignment horizontal="justify" vertical="top" wrapText="1"/>
    </xf>
    <xf numFmtId="0" fontId="6" fillId="0" borderId="0" xfId="0" applyFont="1"/>
    <xf numFmtId="0" fontId="1" fillId="0" borderId="0" xfId="0" applyFont="1"/>
    <xf numFmtId="0" fontId="1" fillId="0" borderId="0" xfId="0" applyFont="1" applyAlignment="1">
      <alignment horizontal="justify" vertical="justify"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0" applyFont="1" applyAlignment="1">
      <alignment horizontal="justify" vertical="center" wrapText="1"/>
    </xf>
    <xf numFmtId="0" fontId="4" fillId="0" borderId="0" xfId="0" applyFont="1" applyAlignment="1">
      <alignment horizontal="left" vertical="top" wrapText="1"/>
    </xf>
    <xf numFmtId="168" fontId="1" fillId="0" borderId="0" xfId="61" applyFont="1" applyAlignment="1">
      <alignment wrapText="1"/>
    </xf>
  </cellXfs>
  <cellStyles count="148">
    <cellStyle name="Moneda" xfId="1" builtinId="4"/>
    <cellStyle name="Moneda 10" xfId="7" xr:uid="{F5ABECD8-240E-418C-879B-9CE9BA8C9383}"/>
    <cellStyle name="Moneda 10 2" xfId="61" xr:uid="{700F6C88-C9DD-4607-8679-C175FA6EB786}"/>
    <cellStyle name="Moneda 10 3" xfId="102" xr:uid="{3299846F-023A-4D59-9A09-FD2995E3F006}"/>
    <cellStyle name="Moneda 11" xfId="77" xr:uid="{89290CD0-F3E3-421B-BFE8-1CA1D8A15C9C}"/>
    <cellStyle name="Moneda 11 2" xfId="147" xr:uid="{DF56B2CB-C41B-455D-8FFF-D448F7DCCE29}"/>
    <cellStyle name="Moneda 12" xfId="60" xr:uid="{43B8881E-1D50-4732-AC76-506C4EF79DA6}"/>
    <cellStyle name="Moneda 12 2" xfId="125" xr:uid="{7E64174F-7AF5-455E-A4B1-76A4DE466F58}"/>
    <cellStyle name="Moneda 13" xfId="79" xr:uid="{50229D57-A87D-48B1-B089-4359E491EB59}"/>
    <cellStyle name="Moneda 14" xfId="36" xr:uid="{937F3E26-CDA0-4FF2-8A42-616CDB4D4360}"/>
    <cellStyle name="Moneda 15" xfId="96" xr:uid="{83D3891F-4B3A-49EF-8EF2-51DC791EF823}"/>
    <cellStyle name="Moneda 2" xfId="3" xr:uid="{D3D43636-F670-4A3B-86BA-3AD6C377F933}"/>
    <cellStyle name="Moneda 2 10" xfId="38" xr:uid="{FFB0C26F-9A6A-43E7-B58F-4213E3CD41BC}"/>
    <cellStyle name="Moneda 2 11" xfId="98" xr:uid="{C78A71EC-8A17-45C7-8E64-241FF6111079}"/>
    <cellStyle name="Moneda 2 2" xfId="6" xr:uid="{B9BF51E9-79A0-4D6C-98B8-BEF01062A514}"/>
    <cellStyle name="Moneda 2 2 2" xfId="19" xr:uid="{9695A49F-B014-4898-9580-24D14C5055C1}"/>
    <cellStyle name="Moneda 2 2 2 2" xfId="59" xr:uid="{52DC47E7-5174-4490-8DB0-2F7D895AE7C9}"/>
    <cellStyle name="Moneda 2 2 2 2 2" xfId="137" xr:uid="{7CA8B5EE-F5D6-4300-8CEA-13D0EE546E90}"/>
    <cellStyle name="Moneda 2 2 2 3" xfId="47" xr:uid="{5CA995EA-690E-4F2A-B970-39C8A5683C21}"/>
    <cellStyle name="Moneda 2 2 2 4" xfId="114" xr:uid="{63342B83-222E-41AF-A903-D8C20014268E}"/>
    <cellStyle name="Moneda 2 2 3" xfId="28" xr:uid="{B227B2C6-4301-4267-A89B-E9E28093BF9C}"/>
    <cellStyle name="Moneda 2 2 3 2" xfId="95" xr:uid="{76F2061F-EA6B-49D6-A737-03232BA7BB5A}"/>
    <cellStyle name="Moneda 2 2 3 2 2" xfId="146" xr:uid="{C78C1979-D574-4A2A-80E8-EF892655716A}"/>
    <cellStyle name="Moneda 2 2 3 3" xfId="53" xr:uid="{69D36F8B-3A1C-48D4-886F-B9F9F90C790B}"/>
    <cellStyle name="Moneda 2 2 4" xfId="35" xr:uid="{02FC5558-29BA-400A-97F5-293897AE709F}"/>
    <cellStyle name="Moneda 2 2 4 2" xfId="76" xr:uid="{4812FA15-02E8-4DA1-A792-E11BA12013FE}"/>
    <cellStyle name="Moneda 2 2 4 3" xfId="124" xr:uid="{DC15DED9-7B6E-42CC-A3A4-2A1CCFDC50F2}"/>
    <cellStyle name="Moneda 2 2 5" xfId="12" xr:uid="{DFB197DE-4AA5-49D1-AE1B-ECA848D8E44D}"/>
    <cellStyle name="Moneda 2 2 5 2" xfId="66" xr:uid="{BC7607B7-8461-4762-AA2E-33DAF10AE92A}"/>
    <cellStyle name="Moneda 2 2 5 3" xfId="107" xr:uid="{D8D10B03-10FC-4A27-A1B8-41F657A44185}"/>
    <cellStyle name="Moneda 2 2 6" xfId="84" xr:uid="{E55918AB-DF8C-402D-B401-48A40F68BE13}"/>
    <cellStyle name="Moneda 2 2 6 2" xfId="130" xr:uid="{2322E48C-EFE9-40CE-A346-280D484EC007}"/>
    <cellStyle name="Moneda 2 2 7" xfId="41" xr:uid="{B64E1FC3-273F-41DC-AE56-EEA15BAC93EE}"/>
    <cellStyle name="Moneda 2 2 8" xfId="101" xr:uid="{7E024872-4FAC-4CC8-B030-38786E5363A6}"/>
    <cellStyle name="Moneda 2 3" xfId="16" xr:uid="{9A364B5B-9B9B-4CD2-B45A-40A61E2DD04C}"/>
    <cellStyle name="Moneda 2 3 2" xfId="56" xr:uid="{00E94346-B86B-43BF-9F59-9FCE5942871F}"/>
    <cellStyle name="Moneda 2 3 2 2" xfId="134" xr:uid="{7F8BB7DC-1BDA-4A42-92E5-EC5BA7F233BD}"/>
    <cellStyle name="Moneda 2 3 3" xfId="44" xr:uid="{FBBBD103-FA26-43FB-A70F-9D1F956AD407}"/>
    <cellStyle name="Moneda 2 3 4" xfId="111" xr:uid="{B17C409C-0B91-4332-9592-593D92D00AE9}"/>
    <cellStyle name="Moneda 2 4" xfId="22" xr:uid="{23D5859E-08F2-4F48-876A-02C6B4EEE369}"/>
    <cellStyle name="Moneda 2 4 2" xfId="89" xr:uid="{1685A47F-0881-4347-9935-903A92A71955}"/>
    <cellStyle name="Moneda 2 4 2 2" xfId="140" xr:uid="{9EB6979F-6E66-4868-873A-178B7B68EDC1}"/>
    <cellStyle name="Moneda 2 4 3" xfId="50" xr:uid="{2B92990F-6910-4503-BF11-E3DE930C1515}"/>
    <cellStyle name="Moneda 2 4 4" xfId="117" xr:uid="{643F53F8-7676-47F7-A98B-C27A528D2563}"/>
    <cellStyle name="Moneda 2 5" xfId="25" xr:uid="{F2A4EEC3-D5A9-4B3E-B1B6-4792632CA67B}"/>
    <cellStyle name="Moneda 2 5 2" xfId="92" xr:uid="{D5305D3D-36E4-4D36-9F5F-820C83977D41}"/>
    <cellStyle name="Moneda 2 5 2 2" xfId="143" xr:uid="{64A1078D-4493-4B2E-A19A-80470F2CEA21}"/>
    <cellStyle name="Moneda 2 5 3" xfId="69" xr:uid="{65E7DBA6-44FA-4292-BAB6-BD4A2E15D496}"/>
    <cellStyle name="Moneda 2 6" xfId="31" xr:uid="{17A243AD-53D1-4B61-880A-197077365004}"/>
    <cellStyle name="Moneda 2 6 2" xfId="72" xr:uid="{571D92E7-6C9D-429E-BB91-DD9610B62345}"/>
    <cellStyle name="Moneda 2 6 3" xfId="120" xr:uid="{B2F77E39-7E1D-40C2-908B-E04A6EE8E17E}"/>
    <cellStyle name="Moneda 2 7" xfId="9" xr:uid="{5B7AB902-FD3B-4BF0-8575-A3E6B0A75A6C}"/>
    <cellStyle name="Moneda 2 7 2" xfId="63" xr:uid="{6B2BD68B-59C0-4550-8C12-4133FC29FB59}"/>
    <cellStyle name="Moneda 2 7 3" xfId="104" xr:uid="{E8386D1E-5066-41C3-BE38-D3D025285B96}"/>
    <cellStyle name="Moneda 2 8" xfId="78" xr:uid="{E33B300A-F3AD-4747-B842-19519B062FF3}"/>
    <cellStyle name="Moneda 2 8 2" xfId="127" xr:uid="{A70A0B7C-5F0D-4E26-9DDA-9EEAF34CFEBD}"/>
    <cellStyle name="Moneda 2 9" xfId="81" xr:uid="{AF755499-A016-49B4-8685-37CD7C7E7E74}"/>
    <cellStyle name="Moneda 3" xfId="2" xr:uid="{7EC489B4-E676-4390-AA02-61E720AF151B}"/>
    <cellStyle name="Moneda 3 2" xfId="5" xr:uid="{54D45928-7C5D-432D-94C9-47D8EA846E78}"/>
    <cellStyle name="Moneda 3 2 2" xfId="18" xr:uid="{C9448814-F992-4B6F-AB91-26B3A821C7E1}"/>
    <cellStyle name="Moneda 3 2 2 2" xfId="58" xr:uid="{400C88D1-1EF8-4DD7-8F93-53BDF057D31A}"/>
    <cellStyle name="Moneda 3 2 2 2 2" xfId="136" xr:uid="{766ED3D2-74C7-4F32-8B3E-213471D8146C}"/>
    <cellStyle name="Moneda 3 2 2 3" xfId="46" xr:uid="{BCD2AB7C-F578-47B2-8BD0-E327E190C4F2}"/>
    <cellStyle name="Moneda 3 2 2 4" xfId="113" xr:uid="{3EE98D7E-5A27-4630-A808-21EE1708BC15}"/>
    <cellStyle name="Moneda 3 2 3" xfId="27" xr:uid="{A4045161-75B8-462D-B996-89D4533FCAA9}"/>
    <cellStyle name="Moneda 3 2 3 2" xfId="94" xr:uid="{535F2506-5FFA-4025-8224-CB270EF94E9C}"/>
    <cellStyle name="Moneda 3 2 3 2 2" xfId="145" xr:uid="{83813E03-D7DB-4079-ADC6-8517622EB253}"/>
    <cellStyle name="Moneda 3 2 3 3" xfId="52" xr:uid="{71CD138E-1976-406D-A0A6-63F70CA0D606}"/>
    <cellStyle name="Moneda 3 2 4" xfId="34" xr:uid="{4C64C513-B2AC-4095-8F0A-48E4F9D8243B}"/>
    <cellStyle name="Moneda 3 2 4 2" xfId="75" xr:uid="{69B3A228-22B0-4C4B-BDE3-200EDC5190AE}"/>
    <cellStyle name="Moneda 3 2 4 3" xfId="123" xr:uid="{2CA69D1C-DF28-420F-83F6-651B4547B23B}"/>
    <cellStyle name="Moneda 3 2 5" xfId="11" xr:uid="{38BD9157-E124-402A-BB3D-65E04B2D6088}"/>
    <cellStyle name="Moneda 3 2 5 2" xfId="65" xr:uid="{A511F561-71FF-42C6-A5E0-404DB13822D5}"/>
    <cellStyle name="Moneda 3 2 5 3" xfId="106" xr:uid="{A466CF2F-CCDA-4B39-8DC5-D40621AC2179}"/>
    <cellStyle name="Moneda 3 2 6" xfId="83" xr:uid="{42547A45-C931-4DD4-82F5-1FC9738C09D3}"/>
    <cellStyle name="Moneda 3 2 6 2" xfId="129" xr:uid="{74EE6D49-EB57-4C52-8219-78B3512FF0DC}"/>
    <cellStyle name="Moneda 3 2 7" xfId="40" xr:uid="{0FF1B2B5-E77F-43DB-AE2C-C4E4AA7A50F3}"/>
    <cellStyle name="Moneda 3 2 8" xfId="100" xr:uid="{2B910F7C-0707-4B80-A473-271E840B62F9}"/>
    <cellStyle name="Moneda 3 3" xfId="15" xr:uid="{48348779-9D53-4FCA-886D-9E4CBA2CB035}"/>
    <cellStyle name="Moneda 3 3 2" xfId="55" xr:uid="{9AB31482-E4F0-4BF0-8527-791CDDE2AB37}"/>
    <cellStyle name="Moneda 3 3 2 2" xfId="133" xr:uid="{507DBE32-5382-456F-A9F1-042131802B2B}"/>
    <cellStyle name="Moneda 3 3 3" xfId="43" xr:uid="{8752098B-E75A-4F99-864A-D960732E5793}"/>
    <cellStyle name="Moneda 3 3 4" xfId="110" xr:uid="{DADFD33C-CF93-4562-89E7-02B954716FD4}"/>
    <cellStyle name="Moneda 3 4" xfId="24" xr:uid="{FFE8188C-AF7F-4634-B267-00A4DF5C7C3F}"/>
    <cellStyle name="Moneda 3 4 2" xfId="91" xr:uid="{25D3DB48-6EF5-4ED1-8361-8A707DDAC68E}"/>
    <cellStyle name="Moneda 3 4 2 2" xfId="142" xr:uid="{F6A1F0C4-DA97-41D0-821F-0CFD79ACF89F}"/>
    <cellStyle name="Moneda 3 4 3" xfId="49" xr:uid="{B35F02B6-FDE0-4648-B164-BACF111DA956}"/>
    <cellStyle name="Moneda 3 5" xfId="30" xr:uid="{3E184596-6C03-48AE-8E75-554C8C21FB0D}"/>
    <cellStyle name="Moneda 3 5 2" xfId="71" xr:uid="{5814CFEC-08B9-4F58-9199-E1F51EDDF461}"/>
    <cellStyle name="Moneda 3 5 3" xfId="119" xr:uid="{6385CD12-73E6-431B-8DE2-0B536BFF390C}"/>
    <cellStyle name="Moneda 3 6" xfId="8" xr:uid="{F89FDC13-4328-4579-9735-4BF517954F6A}"/>
    <cellStyle name="Moneda 3 6 2" xfId="62" xr:uid="{38BFA6F9-D41E-4E5B-BA2C-91502FE34234}"/>
    <cellStyle name="Moneda 3 6 3" xfId="103" xr:uid="{5F0F8FC5-FF5C-4082-BFBA-78148956A37C}"/>
    <cellStyle name="Moneda 3 7" xfId="80" xr:uid="{E9824E2D-01EA-4340-AC17-D4DC54E414FE}"/>
    <cellStyle name="Moneda 3 7 2" xfId="126" xr:uid="{532A531B-1FB0-4637-832A-AB6968AF80FD}"/>
    <cellStyle name="Moneda 3 8" xfId="37" xr:uid="{0751AC5F-AEF2-4898-A713-C69B673F6C7A}"/>
    <cellStyle name="Moneda 3 9" xfId="97" xr:uid="{ABC69035-2F41-488C-B9F4-42B88B561C80}"/>
    <cellStyle name="Moneda 4" xfId="4" xr:uid="{B22E587E-BDF3-423E-A826-5C51B4AD70C8}"/>
    <cellStyle name="Moneda 4 2" xfId="17" xr:uid="{3BFDE527-639E-44EE-9B2E-8FD93786993E}"/>
    <cellStyle name="Moneda 4 2 2" xfId="57" xr:uid="{9D3827BB-97F5-4540-ADB5-88DA167B25B0}"/>
    <cellStyle name="Moneda 4 2 2 2" xfId="135" xr:uid="{658E66FC-752C-4717-AEFD-D7FBD342C3DC}"/>
    <cellStyle name="Moneda 4 2 3" xfId="45" xr:uid="{323E90A4-2B60-4C17-977E-0574F503486C}"/>
    <cellStyle name="Moneda 4 2 4" xfId="112" xr:uid="{2528C26D-6A67-4610-99E0-CA2A6E747E1E}"/>
    <cellStyle name="Moneda 4 3" xfId="26" xr:uid="{12554CB0-4A0B-4E35-97A0-1D12FB002EF2}"/>
    <cellStyle name="Moneda 4 3 2" xfId="93" xr:uid="{236D3424-67FE-4340-B35E-BCC8106DB66D}"/>
    <cellStyle name="Moneda 4 3 2 2" xfId="144" xr:uid="{AA608FA3-DC6E-4C7D-B846-9C482C8A0CBB}"/>
    <cellStyle name="Moneda 4 3 3" xfId="51" xr:uid="{3C5D15AC-C2ED-4F45-B37C-CDE70E861473}"/>
    <cellStyle name="Moneda 4 4" xfId="32" xr:uid="{58C6629D-2213-42DA-8075-13CE152D6D04}"/>
    <cellStyle name="Moneda 4 4 2" xfId="73" xr:uid="{B3A8F1B4-9F6F-48D4-B665-2882DB5D1AF9}"/>
    <cellStyle name="Moneda 4 4 3" xfId="121" xr:uid="{A9ED889E-78AB-421A-8333-96AF57E40DBF}"/>
    <cellStyle name="Moneda 4 5" xfId="10" xr:uid="{7C0BF729-0A29-43C0-AE2E-850E13315F5F}"/>
    <cellStyle name="Moneda 4 5 2" xfId="64" xr:uid="{DA7E266E-16D2-4EA5-A858-71A42AD82075}"/>
    <cellStyle name="Moneda 4 5 3" xfId="105" xr:uid="{E3B0811A-9A69-4A00-9781-B7A4F054F0FC}"/>
    <cellStyle name="Moneda 4 6" xfId="82" xr:uid="{3E37BE3C-B7B8-45D5-A373-BC91F8A9CB66}"/>
    <cellStyle name="Moneda 4 6 2" xfId="128" xr:uid="{00B289EF-472D-41BE-A704-E29A63A8E74F}"/>
    <cellStyle name="Moneda 4 7" xfId="39" xr:uid="{D090A33C-72DC-4F46-BC81-D79AB00D65E6}"/>
    <cellStyle name="Moneda 4 8" xfId="99" xr:uid="{34154805-0A3C-49F4-B62D-87468A7964DC}"/>
    <cellStyle name="Moneda 5" xfId="13" xr:uid="{EC27D3C7-C2B6-40A4-9503-62B9DC637053}"/>
    <cellStyle name="Moneda 5 2" xfId="20" xr:uid="{516B8A17-A715-4FA8-8E70-8783894AE7E9}"/>
    <cellStyle name="Moneda 5 2 2" xfId="87" xr:uid="{137EAB1A-F805-4656-9FDD-20677B312AFC}"/>
    <cellStyle name="Moneda 5 2 2 2" xfId="138" xr:uid="{FE3F677E-A255-441D-96F8-68DBEF10BA0A}"/>
    <cellStyle name="Moneda 5 2 3" xfId="54" xr:uid="{C797DC3A-5E21-4959-88D3-4CAA1C5C571A}"/>
    <cellStyle name="Moneda 5 2 4" xfId="115" xr:uid="{B3F251D6-8337-4657-B1EF-A2EF43E208C9}"/>
    <cellStyle name="Moneda 5 3" xfId="33" xr:uid="{D25AF099-E650-4B69-B276-838066D6C66A}"/>
    <cellStyle name="Moneda 5 3 2" xfId="74" xr:uid="{CA12AD40-F692-419D-8CF2-06A433760B3A}"/>
    <cellStyle name="Moneda 5 3 3" xfId="122" xr:uid="{4995B3F1-B5AC-462E-BD55-05681AF1662E}"/>
    <cellStyle name="Moneda 5 4" xfId="85" xr:uid="{34CC1240-CB5C-4711-9910-B81CC9091A9E}"/>
    <cellStyle name="Moneda 5 4 2" xfId="131" xr:uid="{1D986DBC-3AE1-4996-A417-F416162D2476}"/>
    <cellStyle name="Moneda 5 5" xfId="42" xr:uid="{DB2C5210-15A7-4352-A4DB-F0A287FD789E}"/>
    <cellStyle name="Moneda 5 6" xfId="108" xr:uid="{4D1003A8-327C-4B4D-B917-F5746A3E94B9}"/>
    <cellStyle name="Moneda 6" xfId="14" xr:uid="{436E39FD-C383-42F0-BF3F-0FFF6C0A22EF}"/>
    <cellStyle name="Moneda 6 2" xfId="86" xr:uid="{A70858F6-E078-41B2-9EE5-1C030BBE2E32}"/>
    <cellStyle name="Moneda 6 2 2" xfId="132" xr:uid="{44DC1FB7-F5FD-489F-854E-7BD5AE105649}"/>
    <cellStyle name="Moneda 6 3" xfId="48" xr:uid="{FE067F31-6061-4E9A-9EE3-C94FCBDEDC36}"/>
    <cellStyle name="Moneda 6 4" xfId="109" xr:uid="{8CE63DD9-4E5D-4B52-8529-D951FE827A23}"/>
    <cellStyle name="Moneda 7" xfId="21" xr:uid="{9A223F98-4537-4EA8-98F6-972216251FA7}"/>
    <cellStyle name="Moneda 7 2" xfId="88" xr:uid="{509D14E6-925E-47AD-9628-E12B93C38201}"/>
    <cellStyle name="Moneda 7 2 2" xfId="139" xr:uid="{2CD92C6B-ED47-4D14-A68A-49871F8C368C}"/>
    <cellStyle name="Moneda 7 3" xfId="67" xr:uid="{011A4742-BE23-44E7-B8A7-618F4D0C9A03}"/>
    <cellStyle name="Moneda 7 4" xfId="116" xr:uid="{82EE9358-C14E-464A-B2F5-8E49938CE1E0}"/>
    <cellStyle name="Moneda 8" xfId="23" xr:uid="{83104C9E-0395-4AC0-A845-2DA60A7B0481}"/>
    <cellStyle name="Moneda 8 2" xfId="90" xr:uid="{78119DD1-2EDF-4293-B982-B2A70D6B3D8C}"/>
    <cellStyle name="Moneda 8 2 2" xfId="141" xr:uid="{7257F68F-950A-4771-BBBD-484E15E31176}"/>
    <cellStyle name="Moneda 8 3" xfId="68" xr:uid="{CAB04159-9028-418D-A6C0-A8921D37B965}"/>
    <cellStyle name="Moneda 9" xfId="29" xr:uid="{80BA758D-E77F-4679-9189-DCBD8CE4F59B}"/>
    <cellStyle name="Moneda 9 2" xfId="70" xr:uid="{041CF1C8-CF98-497C-B0CE-8E6D582AF229}"/>
    <cellStyle name="Moneda 9 3" xfId="118" xr:uid="{2D6F1D37-F76B-4B2C-85C3-C8D7E3496D05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152400</xdr:rowOff>
    </xdr:from>
    <xdr:to>
      <xdr:col>5</xdr:col>
      <xdr:colOff>571500</xdr:colOff>
      <xdr:row>4</xdr:row>
      <xdr:rowOff>28575</xdr:rowOff>
    </xdr:to>
    <xdr:pic>
      <xdr:nvPicPr>
        <xdr:cNvPr id="2" name="Picture 48">
          <a:extLst>
            <a:ext uri="{FF2B5EF4-FFF2-40B4-BE49-F238E27FC236}">
              <a16:creationId xmlns:a16="http://schemas.microsoft.com/office/drawing/2014/main" id="{EB8D8035-864B-4627-AA42-BDD48C48833C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33950" y="152400"/>
          <a:ext cx="1171575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"/>
  <sheetViews>
    <sheetView topLeftCell="A7" zoomScale="80" zoomScaleNormal="80" workbookViewId="0">
      <selection activeCell="F18" sqref="F18"/>
    </sheetView>
  </sheetViews>
  <sheetFormatPr baseColWidth="10" defaultRowHeight="15" x14ac:dyDescent="0.25"/>
  <cols>
    <col min="1" max="1" width="47.140625" customWidth="1"/>
    <col min="2" max="2" width="16.7109375" customWidth="1"/>
    <col min="3" max="3" width="16.140625" customWidth="1"/>
    <col min="4" max="4" width="18.42578125" customWidth="1"/>
    <col min="6" max="6" width="12.28515625" bestFit="1" customWidth="1"/>
  </cols>
  <sheetData>
    <row r="1" spans="1:7" ht="12" customHeight="1" x14ac:dyDescent="0.25">
      <c r="A1" s="68"/>
      <c r="B1" s="69"/>
      <c r="C1" s="69"/>
      <c r="D1" s="69"/>
    </row>
    <row r="2" spans="1:7" ht="12" customHeight="1" x14ac:dyDescent="0.25">
      <c r="A2" s="20"/>
      <c r="B2" s="20"/>
      <c r="C2" s="20"/>
      <c r="D2" s="20"/>
    </row>
    <row r="3" spans="1:7" ht="12" customHeight="1" x14ac:dyDescent="0.25">
      <c r="A3" s="20"/>
      <c r="B3" s="20"/>
      <c r="C3" s="20"/>
      <c r="D3" s="20"/>
    </row>
    <row r="4" spans="1:7" ht="12" customHeight="1" x14ac:dyDescent="0.25">
      <c r="A4" s="58" t="s">
        <v>37</v>
      </c>
      <c r="B4" s="58"/>
      <c r="C4" s="58"/>
      <c r="D4" s="58"/>
      <c r="E4" s="6"/>
    </row>
    <row r="5" spans="1:7" ht="12" customHeight="1" x14ac:dyDescent="0.25">
      <c r="A5" s="25"/>
      <c r="B5" s="25"/>
      <c r="C5" s="25"/>
      <c r="D5" s="25"/>
      <c r="E5" s="6"/>
    </row>
    <row r="6" spans="1:7" ht="12" customHeight="1" x14ac:dyDescent="0.25">
      <c r="A6" s="1"/>
      <c r="B6" s="20"/>
      <c r="C6" s="20"/>
      <c r="D6" s="20"/>
    </row>
    <row r="7" spans="1:7" ht="12" customHeight="1" x14ac:dyDescent="0.25">
      <c r="A7" s="1" t="s">
        <v>0</v>
      </c>
      <c r="B7" s="20"/>
      <c r="C7" s="20"/>
      <c r="D7" s="20"/>
    </row>
    <row r="8" spans="1:7" ht="12" customHeight="1" x14ac:dyDescent="0.25">
      <c r="A8" s="1"/>
      <c r="B8" s="20"/>
      <c r="C8" s="20"/>
      <c r="D8" s="20"/>
    </row>
    <row r="9" spans="1:7" ht="12" customHeight="1" x14ac:dyDescent="0.25">
      <c r="A9" s="1" t="s">
        <v>1</v>
      </c>
      <c r="B9" s="20"/>
      <c r="C9" s="20"/>
      <c r="D9" s="20"/>
      <c r="E9" s="1"/>
      <c r="F9" s="1"/>
      <c r="G9" s="1"/>
    </row>
    <row r="10" spans="1:7" ht="12" customHeight="1" x14ac:dyDescent="0.25">
      <c r="A10" s="65" t="s">
        <v>38</v>
      </c>
      <c r="B10" s="65"/>
      <c r="C10" s="65"/>
      <c r="D10" s="65"/>
    </row>
    <row r="11" spans="1:7" ht="12" customHeight="1" x14ac:dyDescent="0.25">
      <c r="A11" s="17"/>
      <c r="B11" s="17"/>
      <c r="C11" s="17"/>
      <c r="D11" s="17"/>
    </row>
    <row r="12" spans="1:7" ht="12" customHeight="1" x14ac:dyDescent="0.25">
      <c r="A12" s="17"/>
      <c r="B12" s="20"/>
      <c r="C12" s="20"/>
      <c r="D12" s="20"/>
    </row>
    <row r="13" spans="1:7" ht="15.75" customHeight="1" x14ac:dyDescent="0.25">
      <c r="A13" s="70" t="s">
        <v>40</v>
      </c>
      <c r="B13" s="71"/>
      <c r="C13" s="71"/>
      <c r="D13" s="71"/>
    </row>
    <row r="14" spans="1:7" ht="12" customHeight="1" x14ac:dyDescent="0.25">
      <c r="A14" s="8" t="s">
        <v>39</v>
      </c>
      <c r="B14" s="21"/>
      <c r="C14" s="21"/>
      <c r="D14" s="21"/>
    </row>
    <row r="15" spans="1:7" ht="12" customHeight="1" x14ac:dyDescent="0.25">
      <c r="A15" s="9" t="s">
        <v>2</v>
      </c>
      <c r="B15" s="21"/>
      <c r="C15" s="21"/>
      <c r="D15" s="21"/>
    </row>
    <row r="16" spans="1:7" ht="12" customHeight="1" x14ac:dyDescent="0.25">
      <c r="A16" s="67" t="s">
        <v>32</v>
      </c>
      <c r="B16" s="67"/>
      <c r="C16" s="67"/>
      <c r="D16" s="67"/>
      <c r="E16" s="3"/>
      <c r="F16" s="3"/>
      <c r="G16" s="3"/>
    </row>
    <row r="17" spans="1:7" ht="21.75" customHeight="1" x14ac:dyDescent="0.25">
      <c r="A17" s="27" t="s">
        <v>33</v>
      </c>
      <c r="B17" s="23" t="s">
        <v>19</v>
      </c>
      <c r="C17" s="17" t="s">
        <v>25</v>
      </c>
      <c r="D17" s="17" t="s">
        <v>20</v>
      </c>
      <c r="E17" s="2"/>
      <c r="F17" s="2"/>
      <c r="G17" s="2"/>
    </row>
    <row r="18" spans="1:7" ht="249" customHeight="1" x14ac:dyDescent="0.25">
      <c r="A18" s="26" t="s">
        <v>34</v>
      </c>
      <c r="B18" s="32" t="s">
        <v>43</v>
      </c>
      <c r="C18" s="22">
        <v>27794.639999999999</v>
      </c>
      <c r="D18" s="22">
        <v>27794.639999999999</v>
      </c>
      <c r="E18" s="2"/>
      <c r="F18" s="2"/>
      <c r="G18" s="2"/>
    </row>
    <row r="19" spans="1:7" ht="24" customHeight="1" x14ac:dyDescent="0.25">
      <c r="A19" s="26"/>
      <c r="B19" s="28"/>
      <c r="C19" s="22"/>
      <c r="D19" s="22"/>
    </row>
    <row r="20" spans="1:7" ht="18.75" customHeight="1" x14ac:dyDescent="0.25">
      <c r="A20" s="4"/>
      <c r="B20" s="29"/>
      <c r="C20" s="4" t="s">
        <v>3</v>
      </c>
      <c r="D20" s="11">
        <v>27794.639999999999</v>
      </c>
      <c r="E20" s="5"/>
    </row>
    <row r="21" spans="1:7" x14ac:dyDescent="0.25">
      <c r="A21" s="4"/>
      <c r="B21" s="4"/>
      <c r="C21" s="4" t="s">
        <v>4</v>
      </c>
      <c r="D21" s="11">
        <f>D20*16%</f>
        <v>4447.1423999999997</v>
      </c>
      <c r="E21" s="10"/>
    </row>
    <row r="22" spans="1:7" x14ac:dyDescent="0.25">
      <c r="A22" s="4"/>
      <c r="B22" s="30"/>
      <c r="C22" s="4" t="s">
        <v>5</v>
      </c>
      <c r="D22" s="11">
        <f>+D20+D21</f>
        <v>32241.7824</v>
      </c>
      <c r="E22" s="10"/>
    </row>
    <row r="23" spans="1:7" x14ac:dyDescent="0.25">
      <c r="A23" s="4"/>
      <c r="B23" s="16"/>
      <c r="C23" s="4"/>
      <c r="D23" s="4"/>
      <c r="E23" s="10"/>
    </row>
    <row r="24" spans="1:7" x14ac:dyDescent="0.25">
      <c r="A24" s="4"/>
      <c r="B24" s="16"/>
      <c r="C24" s="4"/>
      <c r="D24" s="4"/>
      <c r="E24" s="10"/>
    </row>
    <row r="25" spans="1:7" ht="30.75" customHeight="1" x14ac:dyDescent="0.25">
      <c r="A25" s="66" t="s">
        <v>41</v>
      </c>
      <c r="B25" s="66"/>
      <c r="C25" s="66"/>
      <c r="D25" s="66"/>
      <c r="E25" s="11"/>
      <c r="F25" s="11"/>
    </row>
    <row r="26" spans="1:7" ht="12" customHeight="1" x14ac:dyDescent="0.25">
      <c r="A26" s="61" t="s">
        <v>6</v>
      </c>
      <c r="B26" s="61"/>
      <c r="C26" s="61"/>
      <c r="D26" s="61"/>
      <c r="E26" s="5"/>
      <c r="F26" s="11"/>
    </row>
    <row r="27" spans="1:7" ht="57" customHeight="1" x14ac:dyDescent="0.25">
      <c r="A27" s="64" t="s">
        <v>35</v>
      </c>
      <c r="B27" s="64"/>
      <c r="C27" s="64"/>
      <c r="D27" s="64"/>
      <c r="E27" s="5"/>
      <c r="F27" s="11"/>
    </row>
    <row r="28" spans="1:7" ht="15" customHeight="1" x14ac:dyDescent="0.25">
      <c r="A28" s="61" t="s">
        <v>7</v>
      </c>
      <c r="B28" s="61"/>
      <c r="C28" s="61"/>
      <c r="D28" s="61"/>
      <c r="E28" s="5"/>
    </row>
    <row r="29" spans="1:7" ht="33.75" customHeight="1" x14ac:dyDescent="0.25">
      <c r="A29" s="64" t="s">
        <v>8</v>
      </c>
      <c r="B29" s="64"/>
      <c r="C29" s="64"/>
      <c r="D29" s="64"/>
    </row>
    <row r="30" spans="1:7" ht="51" customHeight="1" x14ac:dyDescent="0.25">
      <c r="A30" s="67" t="s">
        <v>9</v>
      </c>
      <c r="B30" s="67"/>
      <c r="C30" s="67"/>
      <c r="D30" s="67"/>
    </row>
    <row r="31" spans="1:7" ht="57" customHeight="1" x14ac:dyDescent="0.25">
      <c r="A31" s="67" t="s">
        <v>10</v>
      </c>
      <c r="B31" s="67"/>
      <c r="C31" s="67"/>
      <c r="D31" s="67"/>
    </row>
    <row r="32" spans="1:7" ht="25.5" customHeight="1" x14ac:dyDescent="0.25">
      <c r="A32" s="67" t="s">
        <v>11</v>
      </c>
      <c r="B32" s="67"/>
      <c r="C32" s="67"/>
      <c r="D32" s="67"/>
      <c r="E32" s="5"/>
    </row>
    <row r="33" spans="1:4" ht="72" customHeight="1" x14ac:dyDescent="0.25">
      <c r="A33" s="64" t="s">
        <v>12</v>
      </c>
      <c r="B33" s="64"/>
      <c r="C33" s="64"/>
      <c r="D33" s="64"/>
    </row>
    <row r="34" spans="1:4" ht="27.75" customHeight="1" x14ac:dyDescent="0.25">
      <c r="A34" s="64" t="s">
        <v>13</v>
      </c>
      <c r="B34" s="64"/>
      <c r="C34" s="64"/>
      <c r="D34" s="64"/>
    </row>
    <row r="35" spans="1:4" ht="61.5" customHeight="1" x14ac:dyDescent="0.25">
      <c r="A35" s="64" t="s">
        <v>14</v>
      </c>
      <c r="B35" s="64"/>
      <c r="C35" s="64"/>
      <c r="D35" s="64"/>
    </row>
    <row r="36" spans="1:4" ht="25.5" customHeight="1" x14ac:dyDescent="0.25">
      <c r="A36" s="64" t="s">
        <v>15</v>
      </c>
      <c r="B36" s="64"/>
      <c r="C36" s="64"/>
      <c r="D36" s="64"/>
    </row>
    <row r="37" spans="1:4" ht="68.25" customHeight="1" x14ac:dyDescent="0.25">
      <c r="A37" s="67" t="s">
        <v>16</v>
      </c>
      <c r="B37" s="67"/>
      <c r="C37" s="67"/>
      <c r="D37" s="67"/>
    </row>
    <row r="38" spans="1:4" ht="29.25" customHeight="1" x14ac:dyDescent="0.25">
      <c r="A38" s="64" t="s">
        <v>17</v>
      </c>
      <c r="B38" s="64"/>
      <c r="C38" s="64"/>
      <c r="D38" s="64"/>
    </row>
    <row r="39" spans="1:4" ht="22.5" customHeight="1" x14ac:dyDescent="0.25">
      <c r="A39" s="9" t="s">
        <v>18</v>
      </c>
      <c r="B39" s="21"/>
      <c r="C39" s="21"/>
      <c r="D39" s="21"/>
    </row>
    <row r="40" spans="1:4" ht="24" customHeight="1" x14ac:dyDescent="0.25">
      <c r="A40" s="24" t="s">
        <v>22</v>
      </c>
      <c r="B40" s="63" t="s">
        <v>31</v>
      </c>
      <c r="C40" s="63"/>
      <c r="D40" s="63"/>
    </row>
    <row r="41" spans="1:4" ht="19.5" customHeight="1" x14ac:dyDescent="0.25">
      <c r="A41" s="9"/>
      <c r="B41" s="21"/>
      <c r="C41" s="21"/>
      <c r="D41" s="21"/>
    </row>
    <row r="42" spans="1:4" ht="17.25" customHeight="1" x14ac:dyDescent="0.25">
      <c r="A42" s="9"/>
      <c r="B42" s="21"/>
      <c r="C42" s="21"/>
      <c r="D42" s="21"/>
    </row>
    <row r="43" spans="1:4" x14ac:dyDescent="0.25">
      <c r="A43" s="12" t="s">
        <v>36</v>
      </c>
      <c r="B43" s="21"/>
      <c r="C43" s="21"/>
      <c r="D43" s="21"/>
    </row>
    <row r="44" spans="1:4" x14ac:dyDescent="0.25">
      <c r="A44" s="13" t="s">
        <v>42</v>
      </c>
      <c r="B44" s="21"/>
      <c r="C44" s="21"/>
      <c r="D44" s="21"/>
    </row>
    <row r="45" spans="1:4" x14ac:dyDescent="0.25">
      <c r="A45" s="31"/>
      <c r="B45" s="31"/>
      <c r="C45" s="31"/>
      <c r="D45" s="31"/>
    </row>
    <row r="46" spans="1:4" x14ac:dyDescent="0.25">
      <c r="A46" s="31"/>
      <c r="B46" s="31"/>
      <c r="C46" s="31"/>
      <c r="D46" s="31"/>
    </row>
    <row r="47" spans="1:4" x14ac:dyDescent="0.25">
      <c r="A47" s="31"/>
      <c r="B47" s="31"/>
      <c r="C47" s="31"/>
      <c r="D47" s="31"/>
    </row>
    <row r="48" spans="1:4" x14ac:dyDescent="0.25">
      <c r="A48" s="31"/>
      <c r="B48" s="31"/>
      <c r="C48" s="31"/>
      <c r="D48" s="31"/>
    </row>
    <row r="49" spans="1:4" x14ac:dyDescent="0.25">
      <c r="A49" s="31"/>
      <c r="B49" s="31"/>
      <c r="C49" s="31"/>
      <c r="D49" s="31"/>
    </row>
    <row r="50" spans="1:4" x14ac:dyDescent="0.25">
      <c r="A50" s="31"/>
      <c r="B50" s="31"/>
      <c r="C50" s="31"/>
      <c r="D50" s="31"/>
    </row>
    <row r="51" spans="1:4" x14ac:dyDescent="0.25">
      <c r="A51" s="31"/>
      <c r="B51" s="31"/>
      <c r="C51" s="31"/>
      <c r="D51" s="31"/>
    </row>
    <row r="52" spans="1:4" x14ac:dyDescent="0.25">
      <c r="A52" s="31"/>
      <c r="B52" s="31"/>
      <c r="C52" s="31"/>
      <c r="D52" s="31"/>
    </row>
    <row r="53" spans="1:4" x14ac:dyDescent="0.25">
      <c r="A53" s="31"/>
      <c r="B53" s="31"/>
      <c r="C53" s="31"/>
      <c r="D53" s="31"/>
    </row>
    <row r="54" spans="1:4" x14ac:dyDescent="0.25">
      <c r="A54" s="31"/>
      <c r="B54" s="31"/>
      <c r="C54" s="31"/>
      <c r="D54" s="31"/>
    </row>
  </sheetData>
  <mergeCells count="20">
    <mergeCell ref="A1:D1"/>
    <mergeCell ref="A13:D13"/>
    <mergeCell ref="A36:D36"/>
    <mergeCell ref="A37:D37"/>
    <mergeCell ref="A33:D33"/>
    <mergeCell ref="B40:D40"/>
    <mergeCell ref="A4:D4"/>
    <mergeCell ref="A29:D29"/>
    <mergeCell ref="A27:D27"/>
    <mergeCell ref="A10:D10"/>
    <mergeCell ref="A25:D25"/>
    <mergeCell ref="A30:D30"/>
    <mergeCell ref="A16:D16"/>
    <mergeCell ref="A31:D31"/>
    <mergeCell ref="A32:D32"/>
    <mergeCell ref="A34:D34"/>
    <mergeCell ref="A35:D35"/>
    <mergeCell ref="A38:D38"/>
    <mergeCell ref="A28:D28"/>
    <mergeCell ref="A26:D26"/>
  </mergeCells>
  <pageMargins left="0.23622047244094491" right="0.23622047244094491" top="0.74803149606299213" bottom="0.74803149606299213" header="0.31496062992125984" footer="0.31496062992125984"/>
  <pageSetup paperSize="9" orientation="portrait" r:id="rId1"/>
  <headerFooter>
    <oddHeader>&amp;R&amp;G</oddHeader>
    <oddFooter>&amp;C&amp;G</oddFooter>
  </headerFooter>
  <rowBreaks count="1" manualBreakCount="1">
    <brk id="23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4:O67"/>
  <sheetViews>
    <sheetView tabSelected="1" topLeftCell="A40" zoomScaleNormal="100" zoomScalePageLayoutView="50" workbookViewId="0">
      <selection activeCell="B55" sqref="B55"/>
    </sheetView>
  </sheetViews>
  <sheetFormatPr baseColWidth="10" defaultRowHeight="15" x14ac:dyDescent="0.25"/>
  <cols>
    <col min="1" max="1" width="1.7109375" style="15" customWidth="1"/>
    <col min="2" max="2" width="52.140625" customWidth="1"/>
    <col min="3" max="3" width="11.5703125" customWidth="1"/>
    <col min="4" max="4" width="11.42578125" customWidth="1"/>
    <col min="5" max="5" width="10.7109375" customWidth="1"/>
    <col min="6" max="6" width="12.140625" customWidth="1"/>
  </cols>
  <sheetData>
    <row r="4" spans="1:6" x14ac:dyDescent="0.25">
      <c r="B4" s="20"/>
      <c r="C4" s="20"/>
      <c r="D4" s="20"/>
      <c r="E4" s="20"/>
      <c r="F4" s="20"/>
    </row>
    <row r="5" spans="1:6" x14ac:dyDescent="0.25">
      <c r="B5" s="20"/>
      <c r="C5" s="20"/>
      <c r="D5" s="20"/>
      <c r="E5" s="20"/>
      <c r="F5" s="20"/>
    </row>
    <row r="6" spans="1:6" s="74" customFormat="1" x14ac:dyDescent="0.25">
      <c r="A6" s="77"/>
      <c r="B6" s="80"/>
      <c r="C6" s="80"/>
      <c r="D6" s="80"/>
      <c r="E6" s="80"/>
      <c r="F6" s="80"/>
    </row>
    <row r="7" spans="1:6" s="74" customFormat="1" x14ac:dyDescent="0.25">
      <c r="A7" s="77"/>
      <c r="B7" s="80"/>
      <c r="C7" s="80"/>
      <c r="D7" s="80"/>
      <c r="E7" s="80"/>
      <c r="F7" s="80"/>
    </row>
    <row r="8" spans="1:6" x14ac:dyDescent="0.25">
      <c r="B8" s="58" t="s">
        <v>59</v>
      </c>
      <c r="C8" s="58"/>
      <c r="D8" s="58"/>
      <c r="E8" s="58"/>
      <c r="F8" s="58"/>
    </row>
    <row r="9" spans="1:6" ht="14.25" customHeight="1" x14ac:dyDescent="0.25">
      <c r="B9" s="42" t="s">
        <v>52</v>
      </c>
      <c r="C9" s="1"/>
      <c r="D9" s="20"/>
      <c r="E9" s="20"/>
      <c r="F9" s="20"/>
    </row>
    <row r="10" spans="1:6" x14ac:dyDescent="0.25">
      <c r="B10" s="1" t="s">
        <v>0</v>
      </c>
      <c r="C10" s="1"/>
      <c r="D10" s="20"/>
      <c r="E10" s="20"/>
      <c r="F10" s="20"/>
    </row>
    <row r="11" spans="1:6" x14ac:dyDescent="0.25">
      <c r="B11" s="8" t="s">
        <v>50</v>
      </c>
      <c r="C11" s="1"/>
      <c r="D11" s="20"/>
      <c r="E11" s="20"/>
      <c r="F11" s="20"/>
    </row>
    <row r="12" spans="1:6" x14ac:dyDescent="0.25">
      <c r="B12" s="8"/>
      <c r="C12" s="1"/>
      <c r="D12" s="20"/>
      <c r="E12" s="20"/>
      <c r="F12" s="20"/>
    </row>
    <row r="13" spans="1:6" x14ac:dyDescent="0.25">
      <c r="B13" s="59" t="s">
        <v>61</v>
      </c>
      <c r="C13" s="59"/>
      <c r="D13" s="59"/>
      <c r="E13" s="59"/>
      <c r="F13" s="59"/>
    </row>
    <row r="14" spans="1:6" x14ac:dyDescent="0.25">
      <c r="B14" s="37"/>
      <c r="C14" s="37"/>
      <c r="D14" s="37"/>
      <c r="E14" s="37"/>
      <c r="F14" s="37"/>
    </row>
    <row r="15" spans="1:6" x14ac:dyDescent="0.25">
      <c r="B15" s="60" t="s">
        <v>60</v>
      </c>
      <c r="C15" s="60"/>
      <c r="D15" s="60"/>
      <c r="E15" s="60"/>
      <c r="F15" s="60"/>
    </row>
    <row r="16" spans="1:6" ht="12.75" customHeight="1" x14ac:dyDescent="0.25">
      <c r="B16" s="8" t="s">
        <v>62</v>
      </c>
      <c r="C16" s="8"/>
      <c r="D16" s="21"/>
      <c r="E16" s="21"/>
      <c r="F16" s="21"/>
    </row>
    <row r="17" spans="1:6" ht="13.5" customHeight="1" x14ac:dyDescent="0.25">
      <c r="B17" s="9" t="s">
        <v>2</v>
      </c>
      <c r="C17" s="9"/>
      <c r="D17" s="21"/>
      <c r="E17" s="21"/>
      <c r="F17" s="21"/>
    </row>
    <row r="18" spans="1:6" ht="18" customHeight="1" x14ac:dyDescent="0.25">
      <c r="B18" s="57" t="s">
        <v>49</v>
      </c>
      <c r="C18" s="57"/>
      <c r="D18" s="57"/>
      <c r="E18" s="57"/>
      <c r="F18" s="57"/>
    </row>
    <row r="19" spans="1:6" s="74" customFormat="1" ht="18" customHeight="1" x14ac:dyDescent="0.25">
      <c r="A19" s="77"/>
      <c r="B19" s="81"/>
      <c r="C19" s="81"/>
      <c r="D19" s="81"/>
      <c r="E19" s="81"/>
      <c r="F19" s="81"/>
    </row>
    <row r="20" spans="1:6" ht="10.5" customHeight="1" x14ac:dyDescent="0.25">
      <c r="B20" s="33"/>
      <c r="C20" s="33"/>
      <c r="D20" s="33"/>
      <c r="E20" s="33"/>
      <c r="F20" s="33"/>
    </row>
    <row r="21" spans="1:6" x14ac:dyDescent="0.25">
      <c r="B21" s="51" t="s">
        <v>21</v>
      </c>
      <c r="C21" s="8"/>
      <c r="D21" s="18" t="s">
        <v>19</v>
      </c>
      <c r="E21" s="18" t="s">
        <v>25</v>
      </c>
      <c r="F21" s="17" t="s">
        <v>20</v>
      </c>
    </row>
    <row r="22" spans="1:6" x14ac:dyDescent="0.25">
      <c r="B22" s="7"/>
      <c r="C22" s="8"/>
      <c r="D22" s="17"/>
      <c r="E22" s="17"/>
      <c r="F22" s="17"/>
    </row>
    <row r="23" spans="1:6" x14ac:dyDescent="0.25">
      <c r="B23" s="73" t="s">
        <v>63</v>
      </c>
      <c r="C23" s="72" t="s">
        <v>46</v>
      </c>
      <c r="D23" s="5">
        <v>15</v>
      </c>
      <c r="E23" s="43">
        <v>1205.56</v>
      </c>
      <c r="F23" s="44">
        <f>D23*E23</f>
        <v>18083.399999999998</v>
      </c>
    </row>
    <row r="24" spans="1:6" x14ac:dyDescent="0.25">
      <c r="B24" s="40" t="s">
        <v>64</v>
      </c>
      <c r="C24" s="72" t="s">
        <v>46</v>
      </c>
      <c r="D24" s="5">
        <v>11</v>
      </c>
      <c r="E24" s="43">
        <v>1188.6400000000001</v>
      </c>
      <c r="F24" s="44">
        <f t="shared" ref="F24:F27" si="0">D24*E24</f>
        <v>13075.04</v>
      </c>
    </row>
    <row r="25" spans="1:6" x14ac:dyDescent="0.25">
      <c r="B25" s="40" t="s">
        <v>66</v>
      </c>
      <c r="C25" s="72" t="s">
        <v>46</v>
      </c>
      <c r="D25" s="38">
        <v>3</v>
      </c>
      <c r="E25" s="41">
        <v>907.37</v>
      </c>
      <c r="F25" s="44">
        <f t="shared" si="0"/>
        <v>2722.11</v>
      </c>
    </row>
    <row r="26" spans="1:6" x14ac:dyDescent="0.25">
      <c r="B26" s="86" t="s">
        <v>67</v>
      </c>
      <c r="C26" s="84" t="s">
        <v>46</v>
      </c>
      <c r="D26" s="76">
        <v>10</v>
      </c>
      <c r="E26" s="87">
        <v>2183.04</v>
      </c>
      <c r="F26" s="44">
        <f t="shared" si="0"/>
        <v>21830.400000000001</v>
      </c>
    </row>
    <row r="27" spans="1:6" x14ac:dyDescent="0.25">
      <c r="B27" s="40" t="s">
        <v>65</v>
      </c>
      <c r="C27" s="72" t="s">
        <v>46</v>
      </c>
      <c r="D27" s="38">
        <v>1</v>
      </c>
      <c r="E27" s="41">
        <v>5023.57</v>
      </c>
      <c r="F27" s="44">
        <f t="shared" si="0"/>
        <v>5023.57</v>
      </c>
    </row>
    <row r="28" spans="1:6" x14ac:dyDescent="0.25">
      <c r="B28" s="40"/>
      <c r="C28" s="39"/>
      <c r="D28" s="38"/>
      <c r="E28" s="41"/>
      <c r="F28" s="41"/>
    </row>
    <row r="29" spans="1:6" x14ac:dyDescent="0.25">
      <c r="B29" s="40"/>
      <c r="C29" s="39"/>
      <c r="D29" s="38"/>
      <c r="E29" s="41" t="s">
        <v>57</v>
      </c>
      <c r="F29" s="44">
        <f>SUM(F24:F28)</f>
        <v>42651.12</v>
      </c>
    </row>
    <row r="30" spans="1:6" s="74" customFormat="1" x14ac:dyDescent="0.25">
      <c r="A30" s="77"/>
      <c r="B30" s="85"/>
      <c r="C30" s="84"/>
      <c r="D30" s="83"/>
      <c r="E30" s="41"/>
      <c r="F30" s="44"/>
    </row>
    <row r="31" spans="1:6" x14ac:dyDescent="0.25">
      <c r="B31" s="50" t="s">
        <v>54</v>
      </c>
      <c r="C31" s="39"/>
      <c r="D31" s="38"/>
      <c r="E31" s="41"/>
      <c r="F31" s="41"/>
    </row>
    <row r="32" spans="1:6" x14ac:dyDescent="0.25">
      <c r="B32" s="40"/>
      <c r="C32" s="39"/>
      <c r="D32" s="38"/>
      <c r="E32" s="41"/>
      <c r="F32" s="41"/>
    </row>
    <row r="33" spans="1:8" x14ac:dyDescent="0.25">
      <c r="B33" s="40" t="s">
        <v>56</v>
      </c>
      <c r="C33" s="5" t="s">
        <v>55</v>
      </c>
      <c r="D33" s="48">
        <v>19</v>
      </c>
      <c r="E33" s="45">
        <v>19.2</v>
      </c>
      <c r="F33" s="44">
        <f t="shared" ref="F33" si="1">E33*D33</f>
        <v>364.8</v>
      </c>
    </row>
    <row r="34" spans="1:8" s="74" customFormat="1" x14ac:dyDescent="0.25">
      <c r="A34" s="77"/>
      <c r="B34" s="85"/>
      <c r="C34" s="76"/>
      <c r="D34" s="48"/>
      <c r="E34" s="45"/>
      <c r="F34" s="44"/>
    </row>
    <row r="35" spans="1:8" x14ac:dyDescent="0.25">
      <c r="B35" s="40"/>
      <c r="C35" s="39"/>
      <c r="D35" s="38"/>
      <c r="E35" s="41" t="s">
        <v>58</v>
      </c>
      <c r="F35" s="44">
        <f>SUM(F33:F33)</f>
        <v>364.8</v>
      </c>
    </row>
    <row r="36" spans="1:8" x14ac:dyDescent="0.25">
      <c r="B36" s="40"/>
      <c r="C36" s="39"/>
      <c r="D36" s="38"/>
      <c r="E36" s="41"/>
      <c r="F36" s="41"/>
    </row>
    <row r="37" spans="1:8" ht="17.25" customHeight="1" x14ac:dyDescent="0.25">
      <c r="B37" s="4"/>
      <c r="C37" s="4"/>
      <c r="D37" s="16"/>
      <c r="E37" s="4" t="s">
        <v>3</v>
      </c>
      <c r="F37" s="49">
        <f>F29+F35</f>
        <v>43015.920000000006</v>
      </c>
    </row>
    <row r="38" spans="1:8" s="74" customFormat="1" ht="17.25" customHeight="1" x14ac:dyDescent="0.25">
      <c r="A38" s="77"/>
      <c r="B38" s="75"/>
      <c r="C38" s="75"/>
      <c r="D38" s="78"/>
      <c r="E38" s="75" t="s">
        <v>68</v>
      </c>
      <c r="F38" s="49">
        <v>7591</v>
      </c>
    </row>
    <row r="39" spans="1:8" s="74" customFormat="1" ht="17.25" customHeight="1" x14ac:dyDescent="0.25">
      <c r="A39" s="77"/>
      <c r="B39" s="75"/>
      <c r="C39" s="75"/>
      <c r="D39" s="78"/>
      <c r="E39" s="75" t="s">
        <v>69</v>
      </c>
      <c r="F39" s="49">
        <f>F37+F38</f>
        <v>50606.920000000006</v>
      </c>
    </row>
    <row r="40" spans="1:8" ht="17.25" customHeight="1" x14ac:dyDescent="0.25">
      <c r="B40" s="4"/>
      <c r="C40" s="4"/>
      <c r="D40" s="16"/>
      <c r="E40" s="4" t="s">
        <v>44</v>
      </c>
      <c r="F40" s="11">
        <f>F39*16%</f>
        <v>8097.1072000000013</v>
      </c>
    </row>
    <row r="41" spans="1:8" ht="17.25" customHeight="1" x14ac:dyDescent="0.25">
      <c r="B41" s="4"/>
      <c r="C41" s="4"/>
      <c r="D41" s="16"/>
      <c r="E41" s="53" t="s">
        <v>45</v>
      </c>
      <c r="F41" s="49">
        <f>F39+F40</f>
        <v>58704.027200000004</v>
      </c>
    </row>
    <row r="42" spans="1:8" ht="14.25" customHeight="1" x14ac:dyDescent="0.25">
      <c r="B42" s="4"/>
      <c r="C42" s="4"/>
      <c r="D42" s="16"/>
      <c r="E42" s="4"/>
      <c r="F42" s="11"/>
    </row>
    <row r="43" spans="1:8" ht="14.25" customHeight="1" x14ac:dyDescent="0.25">
      <c r="B43" s="61" t="s">
        <v>23</v>
      </c>
      <c r="C43" s="62"/>
      <c r="D43" s="62"/>
      <c r="E43" s="62"/>
      <c r="F43" s="62"/>
    </row>
    <row r="44" spans="1:8" ht="13.5" customHeight="1" x14ac:dyDescent="0.25">
      <c r="B44" s="57" t="s">
        <v>26</v>
      </c>
      <c r="C44" s="57"/>
      <c r="D44" s="57"/>
      <c r="E44" s="57"/>
      <c r="F44" s="57"/>
      <c r="H44" s="14"/>
    </row>
    <row r="45" spans="1:8" ht="13.5" customHeight="1" x14ac:dyDescent="0.25">
      <c r="B45" s="57" t="s">
        <v>27</v>
      </c>
      <c r="C45" s="57"/>
      <c r="D45" s="57"/>
      <c r="E45" s="57"/>
      <c r="F45" s="57"/>
    </row>
    <row r="46" spans="1:8" ht="13.5" customHeight="1" x14ac:dyDescent="0.25">
      <c r="B46" s="57" t="s">
        <v>28</v>
      </c>
      <c r="C46" s="57"/>
      <c r="D46" s="57"/>
      <c r="E46" s="57"/>
      <c r="F46" s="57"/>
    </row>
    <row r="47" spans="1:8" ht="13.5" customHeight="1" x14ac:dyDescent="0.25">
      <c r="B47" s="57" t="s">
        <v>29</v>
      </c>
      <c r="C47" s="57"/>
      <c r="D47" s="57"/>
      <c r="E47" s="57"/>
      <c r="F47" s="57"/>
    </row>
    <row r="48" spans="1:8" ht="13.5" customHeight="1" x14ac:dyDescent="0.25">
      <c r="B48" s="57" t="s">
        <v>30</v>
      </c>
      <c r="C48" s="57"/>
      <c r="D48" s="57"/>
      <c r="E48" s="57"/>
      <c r="F48" s="57"/>
    </row>
    <row r="49" spans="1:15" s="74" customFormat="1" ht="13.5" customHeight="1" x14ac:dyDescent="0.25">
      <c r="A49" s="77"/>
      <c r="B49" s="81"/>
      <c r="C49" s="81"/>
      <c r="D49" s="81"/>
      <c r="E49" s="81"/>
      <c r="F49" s="81"/>
    </row>
    <row r="50" spans="1:15" s="74" customFormat="1" ht="13.5" customHeight="1" x14ac:dyDescent="0.25">
      <c r="A50" s="77"/>
      <c r="B50" s="81"/>
      <c r="C50" s="81"/>
      <c r="D50" s="81"/>
      <c r="E50" s="81"/>
      <c r="F50" s="81"/>
    </row>
    <row r="51" spans="1:15" x14ac:dyDescent="0.25">
      <c r="B51" s="20"/>
      <c r="C51" s="20"/>
      <c r="D51" s="20"/>
      <c r="E51" s="20"/>
      <c r="F51" s="20"/>
    </row>
    <row r="52" spans="1:15" ht="12" customHeight="1" x14ac:dyDescent="0.25">
      <c r="B52" s="18" t="s">
        <v>48</v>
      </c>
      <c r="C52" s="36"/>
      <c r="D52" s="56" t="s">
        <v>47</v>
      </c>
      <c r="E52" s="56"/>
      <c r="F52" s="56"/>
    </row>
    <row r="53" spans="1:15" x14ac:dyDescent="0.25">
      <c r="B53" s="9"/>
      <c r="C53" s="9"/>
      <c r="D53" s="21"/>
      <c r="E53" s="21"/>
      <c r="F53" s="21"/>
      <c r="G53" s="19"/>
      <c r="H53" s="19"/>
      <c r="I53" s="19"/>
      <c r="J53" s="19"/>
      <c r="K53" s="19"/>
      <c r="L53" s="19"/>
      <c r="M53" s="19"/>
      <c r="N53" s="19"/>
      <c r="O53" s="19"/>
    </row>
    <row r="54" spans="1:15" ht="60" hidden="1" x14ac:dyDescent="0.25">
      <c r="B54" s="35" t="s">
        <v>53</v>
      </c>
      <c r="C54" s="46" t="s">
        <v>51</v>
      </c>
      <c r="D54" s="47"/>
      <c r="E54" s="47"/>
      <c r="F54" s="47"/>
      <c r="G54" s="19"/>
      <c r="H54" s="19"/>
      <c r="I54" s="19"/>
      <c r="J54" s="19"/>
      <c r="K54" s="19"/>
      <c r="L54" s="19"/>
      <c r="M54" s="19"/>
      <c r="N54" s="19"/>
      <c r="O54" s="19"/>
    </row>
    <row r="55" spans="1:15" ht="12.75" customHeight="1" x14ac:dyDescent="0.25">
      <c r="B55" s="52" t="s">
        <v>70</v>
      </c>
      <c r="C55" s="34"/>
      <c r="D55" s="34"/>
      <c r="E55" s="34"/>
      <c r="F55" s="34"/>
      <c r="G55" s="19"/>
      <c r="H55" s="19"/>
      <c r="I55" s="19"/>
      <c r="J55" s="19"/>
      <c r="K55" s="19"/>
      <c r="L55" s="19"/>
      <c r="M55" s="19"/>
      <c r="N55" s="19"/>
      <c r="O55" s="19"/>
    </row>
    <row r="56" spans="1:15" s="74" customFormat="1" ht="12.75" customHeight="1" x14ac:dyDescent="0.25">
      <c r="A56" s="77"/>
      <c r="B56" s="52"/>
      <c r="C56" s="82"/>
      <c r="D56" s="82"/>
      <c r="E56" s="82"/>
      <c r="F56" s="82"/>
      <c r="G56" s="79"/>
      <c r="H56" s="79"/>
      <c r="I56" s="79"/>
      <c r="J56" s="79"/>
      <c r="K56" s="79"/>
      <c r="L56" s="79"/>
      <c r="M56" s="79"/>
      <c r="N56" s="79"/>
      <c r="O56" s="79"/>
    </row>
    <row r="57" spans="1:15" s="74" customFormat="1" ht="12.75" customHeight="1" x14ac:dyDescent="0.25">
      <c r="A57" s="77"/>
      <c r="B57" s="52"/>
      <c r="C57" s="82"/>
      <c r="D57" s="82"/>
      <c r="E57" s="82"/>
      <c r="F57" s="82"/>
      <c r="G57" s="79"/>
      <c r="H57" s="79"/>
      <c r="I57" s="79"/>
      <c r="J57" s="79"/>
      <c r="K57" s="79"/>
      <c r="L57" s="79"/>
      <c r="M57" s="79"/>
      <c r="N57" s="79"/>
      <c r="O57" s="79"/>
    </row>
    <row r="58" spans="1:15" s="74" customFormat="1" ht="12.75" customHeight="1" x14ac:dyDescent="0.25">
      <c r="A58" s="77"/>
      <c r="B58" s="52"/>
      <c r="C58" s="82"/>
      <c r="D58" s="82"/>
      <c r="E58" s="82"/>
      <c r="F58" s="82"/>
      <c r="G58" s="79"/>
      <c r="H58" s="79"/>
      <c r="I58" s="79"/>
      <c r="J58" s="79"/>
      <c r="K58" s="79"/>
      <c r="L58" s="79"/>
      <c r="M58" s="79"/>
      <c r="N58" s="79"/>
      <c r="O58" s="79"/>
    </row>
    <row r="59" spans="1:15" s="74" customFormat="1" ht="12.75" customHeight="1" x14ac:dyDescent="0.25">
      <c r="A59" s="77"/>
      <c r="B59" s="52"/>
      <c r="C59" s="82"/>
      <c r="D59" s="82"/>
      <c r="E59" s="82"/>
      <c r="F59" s="82"/>
      <c r="G59" s="79"/>
      <c r="H59" s="79"/>
      <c r="I59" s="79"/>
      <c r="J59" s="79"/>
      <c r="K59" s="79"/>
      <c r="L59" s="79"/>
      <c r="M59" s="79"/>
      <c r="N59" s="79"/>
      <c r="O59" s="79"/>
    </row>
    <row r="60" spans="1:15" x14ac:dyDescent="0.25">
      <c r="B60" s="54" t="s">
        <v>24</v>
      </c>
      <c r="C60" s="54"/>
      <c r="D60" s="55"/>
      <c r="E60" s="55"/>
      <c r="F60" s="55"/>
      <c r="G60" s="19"/>
      <c r="H60" s="19"/>
      <c r="I60" s="19"/>
      <c r="J60" s="19"/>
      <c r="K60" s="19"/>
      <c r="L60" s="19"/>
      <c r="M60" s="19"/>
      <c r="N60" s="19"/>
      <c r="O60" s="19"/>
    </row>
    <row r="61" spans="1:15" x14ac:dyDescent="0.25">
      <c r="B61" s="55"/>
      <c r="C61" s="55"/>
      <c r="D61" s="55"/>
      <c r="E61" s="55"/>
      <c r="F61" s="55"/>
    </row>
    <row r="62" spans="1:15" x14ac:dyDescent="0.25">
      <c r="B62" s="55"/>
      <c r="C62" s="55"/>
      <c r="D62" s="55"/>
      <c r="E62" s="55"/>
      <c r="F62" s="55"/>
    </row>
    <row r="63" spans="1:15" x14ac:dyDescent="0.25">
      <c r="B63" s="55"/>
      <c r="C63" s="55"/>
      <c r="D63" s="55"/>
      <c r="E63" s="55"/>
      <c r="F63" s="55"/>
    </row>
    <row r="64" spans="1:15" x14ac:dyDescent="0.25">
      <c r="B64" s="19"/>
      <c r="C64" s="19"/>
      <c r="D64" s="19"/>
      <c r="E64" s="19"/>
      <c r="F64" s="19"/>
    </row>
    <row r="65" spans="2:6" x14ac:dyDescent="0.25">
      <c r="B65" s="19"/>
      <c r="C65" s="19"/>
      <c r="D65" s="19"/>
      <c r="E65" s="19"/>
      <c r="F65" s="19"/>
    </row>
    <row r="66" spans="2:6" x14ac:dyDescent="0.25">
      <c r="B66" s="19"/>
      <c r="C66" s="19"/>
      <c r="D66" s="19"/>
      <c r="E66" s="19"/>
      <c r="F66" s="19"/>
    </row>
    <row r="67" spans="2:6" x14ac:dyDescent="0.25">
      <c r="B67" s="19"/>
      <c r="C67" s="19"/>
      <c r="D67" s="19"/>
      <c r="E67" s="19"/>
      <c r="F67" s="19"/>
    </row>
  </sheetData>
  <mergeCells count="12">
    <mergeCell ref="B8:F8"/>
    <mergeCell ref="B13:F13"/>
    <mergeCell ref="B15:F15"/>
    <mergeCell ref="B18:F18"/>
    <mergeCell ref="B48:F48"/>
    <mergeCell ref="B43:F43"/>
    <mergeCell ref="B60:F63"/>
    <mergeCell ref="D52:F52"/>
    <mergeCell ref="B44:F44"/>
    <mergeCell ref="B45:F45"/>
    <mergeCell ref="B46:F46"/>
    <mergeCell ref="B47:F47"/>
  </mergeCells>
  <pageMargins left="0.70866141732283472" right="0.70866141732283472" top="0.74803149606299213" bottom="0.19685039370078741" header="0.31496062992125984" footer="0.11811023622047245"/>
  <pageSetup paperSize="9" scale="87" fitToHeight="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SUMINISTRO Y APLICACION</vt:lpstr>
      <vt:lpstr>SUMINISTRO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chisa</dc:creator>
  <cp:lastModifiedBy>ventas chisa</cp:lastModifiedBy>
  <cp:lastPrinted>2026-04-29T23:51:18Z</cp:lastPrinted>
  <dcterms:created xsi:type="dcterms:W3CDTF">2020-12-14T19:54:01Z</dcterms:created>
  <dcterms:modified xsi:type="dcterms:W3CDTF">2026-04-29T23:51:27Z</dcterms:modified>
</cp:coreProperties>
</file>