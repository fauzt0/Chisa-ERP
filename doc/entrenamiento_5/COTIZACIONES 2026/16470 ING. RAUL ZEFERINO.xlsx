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3A26BC87-0E2B-44F7-8655-7FA2616EC16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9" i="3" l="1"/>
  <c r="F38" i="3"/>
  <c r="F37" i="3"/>
  <c r="F33" i="3"/>
  <c r="F32" i="3"/>
  <c r="F31" i="3"/>
  <c r="D21" i="1" l="1"/>
  <c r="D22" i="1" s="1"/>
</calcChain>
</file>

<file path=xl/sharedStrings.xml><?xml version="1.0" encoding="utf-8"?>
<sst xmlns="http://schemas.openxmlformats.org/spreadsheetml/2006/main" count="70" uniqueCount="62">
  <si>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</si>
  <si>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</si>
  <si>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</si>
  <si>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</si>
  <si>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</si>
  <si>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</si>
  <si>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</si>
  <si>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</si>
  <si>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</si>
  <si>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</si>
  <si>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</si>
  <si>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</si>
  <si>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</si>
  <si>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</si>
  <si>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</si>
  <si>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</si>
  <si>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</si>
  <si>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</si>
  <si>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</si>
  <si>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</si>
  <si>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</si>
  <si>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</si>
  <si>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</si>
  <si>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</si>
  <si>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</si>
  <si>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</si>
  <si>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</si>
  <si>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</si>
  <si>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</si>
  <si>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</si>
  <si>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</si>
  <si>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</si>
  <si>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</si>
  <si>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</si>
  <si>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</si>
  <si>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</si>
  <si>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</si>
  <si>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</si>
  <si>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</si>
  <si>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</si>
  <si>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</si>
  <si>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</si>
  <si>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</si>
  <si>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</si>
  <si>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>IVA:</t>
  </si>
  <si>
    <t xml:space="preserve">TOTAL: </t>
  </si>
  <si>
    <t>CUBETAS</t>
  </si>
  <si>
    <t xml:space="preserve">  A T E N T A M E N T E</t>
  </si>
  <si>
    <t xml:space="preserve">                                   A C E P T O</t>
  </si>
  <si>
    <t>RFC: CRE-880613-DY4</t>
  </si>
  <si>
    <t xml:space="preserve">
</t>
  </si>
  <si>
    <t xml:space="preserve">PRESENTAMOS A SU AMABLE CONSIDERACIÓN EL PRESUPUESTO DE SUMINISTRO DE LOS SIGUIENTES MATERIALES: </t>
  </si>
  <si>
    <t>CIUDAD DE MEXICO A 30 DE MARZO DEL 2026</t>
  </si>
  <si>
    <t>AT´N: ING. RAUL ZEFERINO</t>
  </si>
  <si>
    <t xml:space="preserve">CONSTRUCTORA: </t>
  </si>
  <si>
    <t>PRES. REF. 16470-S/2026CG</t>
  </si>
  <si>
    <t xml:space="preserve">1.- IMPERGLASS 3 AÑOS (REND. 45M2) </t>
  </si>
  <si>
    <t xml:space="preserve">2.- IMPERGLASS 5 AÑOS (REND. 45M2) </t>
  </si>
  <si>
    <t xml:space="preserve">3.- IMPERGLASS 7 AÑOS (REND. 45M2) </t>
  </si>
  <si>
    <t xml:space="preserve">                         ING. RAUL ZEFERINO</t>
  </si>
  <si>
    <t xml:space="preserve">            ____________________________________                                                                             ____________________________________</t>
  </si>
  <si>
    <t xml:space="preserve">                                          CHISA RECUBRIMIENTOS, S.A DE C.V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</si>
</sst>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1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7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6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44" fontId="1" fillId="0" borderId="0" xfId="13" applyFont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top" wrapText="1"/>
    </xf>
    <xf numFmtId="0" fontId="10" fillId="0" borderId="0" xfId="0" applyFont="1" applyAlignment="1">
      <alignment horizontal="justify" vertic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justify" vertical="justify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</cellXfs>
  <cellStyles count="17">
    <cellStyle name="Moneda" xfId="1" builtinId="4"/>
    <cellStyle name="Moneda 2" xfId="3" xr:uid="{D3D43636-F670-4A3B-86BA-3AD6C377F933}"/>
    <cellStyle name="Moneda 2 2" xfId="6" xr:uid="{B9BF51E9-79A0-4D6C-98B8-BEF01062A514}"/>
    <cellStyle name="Moneda 2 2 2" xfId="13" xr:uid="{0381B2B1-1818-4AD5-8AA8-4AF20FFF4F63}"/>
    <cellStyle name="Moneda 2 3" xfId="10" xr:uid="{70E3DBA5-2DC9-4FA5-B21F-92486113E324}"/>
    <cellStyle name="Moneda 2 4" xfId="16" xr:uid="{0842F33C-72FD-4006-B019-C0E449DE2AFB}"/>
    <cellStyle name="Moneda 3" xfId="2" xr:uid="{7EC489B4-E676-4390-AA02-61E720AF151B}"/>
    <cellStyle name="Moneda 3 2" xfId="5" xr:uid="{54D45928-7C5D-432D-94C9-47D8EA846E78}"/>
    <cellStyle name="Moneda 3 2 2" xfId="12" xr:uid="{9C489A7A-CD66-43E5-BAAD-49B3CD45A311}"/>
    <cellStyle name="Moneda 3 3" xfId="9" xr:uid="{B30F2482-C691-4188-A461-5D95BD7DF1C4}"/>
    <cellStyle name="Moneda 4" xfId="4" xr:uid="{B22E587E-BDF3-423E-A826-5C51B4AD70C8}"/>
    <cellStyle name="Moneda 4 2" xfId="11" xr:uid="{6F67927F-EF73-43AD-81C5-BBB4CC046072}"/>
    <cellStyle name="Moneda 5" xfId="7" xr:uid="{4C98BA0E-C64A-4FD0-B895-8FB15576F1DD}"/>
    <cellStyle name="Moneda 5 2" xfId="14" xr:uid="{3E37E1D9-4D02-4559-AA3D-BE19B2DE433E}"/>
    <cellStyle name="Moneda 6" xfId="8" xr:uid="{12E4A153-B240-40C4-8D05-3993599A81C8}"/>
    <cellStyle name="Moneda 7" xfId="15" xr:uid="{EADE78FA-DAFB-43CD-AA05-380BAEE1D15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0</xdr:row>
      <xdr:rowOff>152400</xdr:rowOff>
    </xdr:from>
    <xdr:to>
      <xdr:col>5</xdr:col>
      <xdr:colOff>571500</xdr:colOff>
      <xdr:row>4</xdr:row>
      <xdr:rowOff>28575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152400"/>
          <a:ext cx="117157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63"/>
      <c r="B1" s="64"/>
      <c r="C1" s="64"/>
      <c r="D1" s="64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54" t="s">
        <v>37</v>
      </c>
      <c r="B4" s="54"/>
      <c r="C4" s="54"/>
      <c r="D4" s="54"/>
      <c r="E4" s="6"/>
    </row>
    <row r="5" spans="1:7" ht="12" customHeight="1" x14ac:dyDescent="0.25">
      <c r="A5" s="26"/>
      <c r="B5" s="26"/>
      <c r="C5" s="26"/>
      <c r="D5" s="26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55" t="s">
        <v>38</v>
      </c>
      <c r="B10" s="55"/>
      <c r="C10" s="55"/>
      <c r="D10" s="55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65" t="s">
        <v>40</v>
      </c>
      <c r="B13" s="66"/>
      <c r="C13" s="66"/>
      <c r="D13" s="66"/>
    </row>
    <row r="14" spans="1:7" ht="12" customHeight="1" x14ac:dyDescent="0.25">
      <c r="A14" s="8" t="s">
        <v>39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62" t="s">
        <v>32</v>
      </c>
      <c r="B16" s="62"/>
      <c r="C16" s="62"/>
      <c r="D16" s="62"/>
      <c r="E16" s="3"/>
      <c r="F16" s="3"/>
      <c r="G16" s="3"/>
    </row>
    <row r="17" spans="1:7" ht="21.75" customHeight="1" x14ac:dyDescent="0.25">
      <c r="A17" s="28" t="s">
        <v>33</v>
      </c>
      <c r="B17" s="24" t="s">
        <v>19</v>
      </c>
      <c r="C17" s="17" t="s">
        <v>25</v>
      </c>
      <c r="D17" s="17" t="s">
        <v>20</v>
      </c>
      <c r="E17" s="2"/>
      <c r="F17" s="2"/>
      <c r="G17" s="2"/>
    </row>
    <row r="18" spans="1:7" ht="249" customHeight="1" x14ac:dyDescent="0.25">
      <c r="A18" s="27" t="s">
        <v>34</v>
      </c>
      <c r="B18" s="33" t="s">
        <v>43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7"/>
      <c r="B19" s="29"/>
      <c r="C19" s="22"/>
      <c r="D19" s="22"/>
    </row>
    <row r="20" spans="1:7" ht="18.75" customHeight="1" x14ac:dyDescent="0.25">
      <c r="A20" s="4"/>
      <c r="B20" s="30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1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61" t="s">
        <v>41</v>
      </c>
      <c r="B25" s="61"/>
      <c r="C25" s="61"/>
      <c r="D25" s="61"/>
      <c r="E25" s="11"/>
      <c r="F25" s="11"/>
    </row>
    <row r="26" spans="1:7" ht="12" customHeight="1" x14ac:dyDescent="0.25">
      <c r="A26" s="57" t="s">
        <v>6</v>
      </c>
      <c r="B26" s="57"/>
      <c r="C26" s="57"/>
      <c r="D26" s="57"/>
      <c r="E26" s="5"/>
      <c r="F26" s="11"/>
    </row>
    <row r="27" spans="1:7" ht="57" customHeight="1" x14ac:dyDescent="0.25">
      <c r="A27" s="60" t="s">
        <v>35</v>
      </c>
      <c r="B27" s="60"/>
      <c r="C27" s="60"/>
      <c r="D27" s="60"/>
      <c r="E27" s="5"/>
      <c r="F27" s="11"/>
    </row>
    <row r="28" spans="1:7" ht="15" customHeight="1" x14ac:dyDescent="0.25">
      <c r="A28" s="57" t="s">
        <v>7</v>
      </c>
      <c r="B28" s="57"/>
      <c r="C28" s="57"/>
      <c r="D28" s="57"/>
      <c r="E28" s="5"/>
    </row>
    <row r="29" spans="1:7" ht="33.75" customHeight="1" x14ac:dyDescent="0.25">
      <c r="A29" s="60" t="s">
        <v>8</v>
      </c>
      <c r="B29" s="60"/>
      <c r="C29" s="60"/>
      <c r="D29" s="60"/>
    </row>
    <row r="30" spans="1:7" ht="51" customHeight="1" x14ac:dyDescent="0.25">
      <c r="A30" s="62" t="s">
        <v>9</v>
      </c>
      <c r="B30" s="62"/>
      <c r="C30" s="62"/>
      <c r="D30" s="62"/>
    </row>
    <row r="31" spans="1:7" ht="57" customHeight="1" x14ac:dyDescent="0.25">
      <c r="A31" s="62" t="s">
        <v>10</v>
      </c>
      <c r="B31" s="62"/>
      <c r="C31" s="62"/>
      <c r="D31" s="62"/>
    </row>
    <row r="32" spans="1:7" ht="25.5" customHeight="1" x14ac:dyDescent="0.25">
      <c r="A32" s="62" t="s">
        <v>11</v>
      </c>
      <c r="B32" s="62"/>
      <c r="C32" s="62"/>
      <c r="D32" s="62"/>
      <c r="E32" s="5"/>
    </row>
    <row r="33" spans="1:4" ht="72" customHeight="1" x14ac:dyDescent="0.25">
      <c r="A33" s="60" t="s">
        <v>12</v>
      </c>
      <c r="B33" s="60"/>
      <c r="C33" s="60"/>
      <c r="D33" s="60"/>
    </row>
    <row r="34" spans="1:4" ht="27.75" customHeight="1" x14ac:dyDescent="0.25">
      <c r="A34" s="60" t="s">
        <v>13</v>
      </c>
      <c r="B34" s="60"/>
      <c r="C34" s="60"/>
      <c r="D34" s="60"/>
    </row>
    <row r="35" spans="1:4" ht="61.5" customHeight="1" x14ac:dyDescent="0.25">
      <c r="A35" s="60" t="s">
        <v>14</v>
      </c>
      <c r="B35" s="60"/>
      <c r="C35" s="60"/>
      <c r="D35" s="60"/>
    </row>
    <row r="36" spans="1:4" ht="25.5" customHeight="1" x14ac:dyDescent="0.25">
      <c r="A36" s="60" t="s">
        <v>15</v>
      </c>
      <c r="B36" s="60"/>
      <c r="C36" s="60"/>
      <c r="D36" s="60"/>
    </row>
    <row r="37" spans="1:4" ht="68.25" customHeight="1" x14ac:dyDescent="0.25">
      <c r="A37" s="62" t="s">
        <v>16</v>
      </c>
      <c r="B37" s="62"/>
      <c r="C37" s="62"/>
      <c r="D37" s="62"/>
    </row>
    <row r="38" spans="1:4" ht="29.25" customHeight="1" x14ac:dyDescent="0.25">
      <c r="A38" s="60" t="s">
        <v>17</v>
      </c>
      <c r="B38" s="60"/>
      <c r="C38" s="60"/>
      <c r="D38" s="60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5" t="s">
        <v>22</v>
      </c>
      <c r="B40" s="59" t="s">
        <v>31</v>
      </c>
      <c r="C40" s="59"/>
      <c r="D40" s="59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36</v>
      </c>
      <c r="B43" s="21"/>
      <c r="C43" s="21"/>
      <c r="D43" s="21"/>
    </row>
    <row r="44" spans="1:4" x14ac:dyDescent="0.25">
      <c r="A44" s="13" t="s">
        <v>42</v>
      </c>
      <c r="B44" s="21"/>
      <c r="C44" s="21"/>
      <c r="D44" s="21"/>
    </row>
    <row r="45" spans="1:4" x14ac:dyDescent="0.25">
      <c r="A45" s="32"/>
      <c r="B45" s="32"/>
      <c r="C45" s="32"/>
      <c r="D45" s="32"/>
    </row>
    <row r="46" spans="1:4" x14ac:dyDescent="0.25">
      <c r="A46" s="32"/>
      <c r="B46" s="32"/>
      <c r="C46" s="32"/>
      <c r="D46" s="32"/>
    </row>
    <row r="47" spans="1:4" x14ac:dyDescent="0.25">
      <c r="A47" s="32"/>
      <c r="B47" s="32"/>
      <c r="C47" s="32"/>
      <c r="D47" s="32"/>
    </row>
    <row r="48" spans="1:4" x14ac:dyDescent="0.25">
      <c r="A48" s="32"/>
      <c r="B48" s="32"/>
      <c r="C48" s="32"/>
      <c r="D48" s="32"/>
    </row>
    <row r="49" spans="1:4" x14ac:dyDescent="0.25">
      <c r="A49" s="32"/>
      <c r="B49" s="32"/>
      <c r="C49" s="32"/>
      <c r="D49" s="32"/>
    </row>
    <row r="50" spans="1:4" x14ac:dyDescent="0.25">
      <c r="A50" s="32"/>
      <c r="B50" s="32"/>
      <c r="C50" s="32"/>
      <c r="D50" s="32"/>
    </row>
    <row r="51" spans="1:4" x14ac:dyDescent="0.25">
      <c r="A51" s="32"/>
      <c r="B51" s="32"/>
      <c r="C51" s="32"/>
      <c r="D51" s="32"/>
    </row>
    <row r="52" spans="1:4" x14ac:dyDescent="0.25">
      <c r="A52" s="32"/>
      <c r="B52" s="32"/>
      <c r="C52" s="32"/>
      <c r="D52" s="32"/>
    </row>
    <row r="53" spans="1:4" x14ac:dyDescent="0.25">
      <c r="A53" s="32"/>
      <c r="B53" s="32"/>
      <c r="C53" s="32"/>
      <c r="D53" s="32"/>
    </row>
    <row r="54" spans="1:4" x14ac:dyDescent="0.25">
      <c r="A54" s="32"/>
      <c r="B54" s="32"/>
      <c r="C54" s="32"/>
      <c r="D54" s="32"/>
    </row>
  </sheetData>
  <mergeCells count="20">
    <mergeCell ref="A1:D1"/>
    <mergeCell ref="A13:D13"/>
    <mergeCell ref="A36:D36"/>
    <mergeCell ref="A37:D37"/>
    <mergeCell ref="A33:D33"/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66"/>
  <sheetViews>
    <sheetView tabSelected="1" topLeftCell="A19" zoomScaleNormal="100" zoomScalePageLayoutView="50" workbookViewId="0">
      <selection activeCell="C55" sqref="C55:G55"/>
    </sheetView>
  </sheetViews>
  <sheetFormatPr baseColWidth="10" defaultRowHeight="15" x14ac:dyDescent="0.25"/>
  <cols>
    <col min="1" max="1" width="5.85546875" style="15" customWidth="1"/>
    <col min="2" max="2" width="52.140625" customWidth="1"/>
    <col min="3" max="3" width="12.85546875" customWidth="1"/>
    <col min="4" max="4" width="11.42578125" customWidth="1"/>
    <col min="5" max="5" width="10.7109375" customWidth="1"/>
    <col min="6" max="6" width="10.5703125" customWidth="1"/>
  </cols>
  <sheetData>
    <row r="4" spans="2:6" x14ac:dyDescent="0.25">
      <c r="B4" s="20"/>
      <c r="C4" s="20"/>
      <c r="D4" s="20"/>
      <c r="E4" s="20"/>
      <c r="F4" s="20"/>
    </row>
    <row r="5" spans="2:6" x14ac:dyDescent="0.25">
      <c r="B5" s="20"/>
      <c r="C5" s="20"/>
      <c r="D5" s="20"/>
      <c r="E5" s="20"/>
      <c r="F5" s="20"/>
    </row>
    <row r="6" spans="2:6" x14ac:dyDescent="0.25">
      <c r="B6" s="20"/>
      <c r="C6" s="20"/>
      <c r="D6" s="20"/>
      <c r="E6" s="20"/>
      <c r="F6" s="20"/>
    </row>
    <row r="7" spans="2:6" x14ac:dyDescent="0.25">
      <c r="B7" s="20"/>
      <c r="C7" s="20"/>
      <c r="D7" s="20"/>
      <c r="E7" s="20"/>
      <c r="F7" s="20"/>
    </row>
    <row r="8" spans="2:6" x14ac:dyDescent="0.25">
      <c r="B8" s="20"/>
      <c r="C8" s="20"/>
      <c r="D8" s="20"/>
      <c r="E8" s="20"/>
      <c r="F8" s="20"/>
    </row>
    <row r="9" spans="2:6" x14ac:dyDescent="0.25">
      <c r="B9" s="20"/>
      <c r="C9" s="20"/>
      <c r="D9" s="20"/>
      <c r="E9" s="20"/>
      <c r="F9" s="20"/>
    </row>
    <row r="10" spans="2:6" x14ac:dyDescent="0.25">
      <c r="B10" s="20"/>
      <c r="C10" s="20"/>
      <c r="D10" s="20"/>
      <c r="E10" s="20"/>
      <c r="F10" s="20"/>
    </row>
    <row r="11" spans="2:6" x14ac:dyDescent="0.25">
      <c r="B11" s="54" t="s">
        <v>52</v>
      </c>
      <c r="C11" s="54"/>
      <c r="D11" s="54"/>
      <c r="E11" s="54"/>
      <c r="F11" s="54"/>
    </row>
    <row r="12" spans="2:6" x14ac:dyDescent="0.25">
      <c r="B12" s="18"/>
      <c r="C12" s="26"/>
      <c r="D12" s="26"/>
      <c r="E12" s="26"/>
      <c r="F12" s="26"/>
    </row>
    <row r="13" spans="2:6" x14ac:dyDescent="0.25">
      <c r="B13" s="26"/>
      <c r="C13" s="26"/>
      <c r="D13" s="26"/>
      <c r="E13" s="26"/>
      <c r="F13" s="26"/>
    </row>
    <row r="14" spans="2:6" ht="26.25" customHeight="1" x14ac:dyDescent="0.25">
      <c r="B14" s="43" t="s">
        <v>50</v>
      </c>
      <c r="C14" s="1"/>
      <c r="D14" s="20"/>
      <c r="E14" s="20"/>
      <c r="F14" s="20"/>
    </row>
    <row r="15" spans="2:6" x14ac:dyDescent="0.25">
      <c r="B15" s="1" t="s">
        <v>0</v>
      </c>
      <c r="C15" s="1"/>
      <c r="D15" s="20"/>
      <c r="E15" s="20"/>
      <c r="F15" s="20"/>
    </row>
    <row r="16" spans="2:6" x14ac:dyDescent="0.25">
      <c r="B16" s="8" t="s">
        <v>49</v>
      </c>
      <c r="C16" s="1"/>
      <c r="D16" s="20"/>
      <c r="E16" s="20"/>
      <c r="F16" s="20"/>
    </row>
    <row r="17" spans="2:6" x14ac:dyDescent="0.25">
      <c r="B17" s="8"/>
      <c r="C17" s="1"/>
      <c r="D17" s="20"/>
      <c r="E17" s="20"/>
      <c r="F17" s="20"/>
    </row>
    <row r="18" spans="2:6" x14ac:dyDescent="0.25">
      <c r="B18" s="55" t="s">
        <v>53</v>
      </c>
      <c r="C18" s="55"/>
      <c r="D18" s="55"/>
      <c r="E18" s="55"/>
      <c r="F18" s="55"/>
    </row>
    <row r="19" spans="2:6" x14ac:dyDescent="0.25">
      <c r="B19" s="38"/>
      <c r="C19" s="38"/>
      <c r="D19" s="38"/>
      <c r="E19" s="38"/>
      <c r="F19" s="38"/>
    </row>
    <row r="20" spans="2:6" x14ac:dyDescent="0.25">
      <c r="B20" s="38"/>
      <c r="C20" s="38"/>
      <c r="D20" s="38"/>
      <c r="E20" s="38"/>
      <c r="F20" s="38"/>
    </row>
    <row r="21" spans="2:6" x14ac:dyDescent="0.25">
      <c r="B21" s="56" t="s">
        <v>54</v>
      </c>
      <c r="C21" s="56"/>
      <c r="D21" s="56"/>
      <c r="E21" s="56"/>
      <c r="F21" s="56"/>
    </row>
    <row r="22" spans="2:6" ht="12.75" customHeight="1" x14ac:dyDescent="0.25">
      <c r="B22" s="8" t="s">
        <v>55</v>
      </c>
      <c r="C22" s="8"/>
      <c r="D22" s="21"/>
      <c r="E22" s="21"/>
      <c r="F22" s="21"/>
    </row>
    <row r="23" spans="2:6" ht="12.75" customHeight="1" x14ac:dyDescent="0.25">
      <c r="B23" s="8"/>
      <c r="C23" s="8"/>
      <c r="D23" s="21"/>
      <c r="E23" s="21"/>
      <c r="F23" s="21"/>
    </row>
    <row r="24" spans="2:6" ht="12.75" customHeight="1" x14ac:dyDescent="0.25">
      <c r="B24" s="8"/>
      <c r="C24" s="8"/>
      <c r="D24" s="21"/>
      <c r="E24" s="21"/>
      <c r="F24" s="21"/>
    </row>
    <row r="25" spans="2:6" ht="13.5" customHeight="1" x14ac:dyDescent="0.25">
      <c r="B25" s="9" t="s">
        <v>2</v>
      </c>
      <c r="C25" s="9"/>
      <c r="D25" s="21"/>
      <c r="E25" s="21"/>
      <c r="F25" s="21"/>
    </row>
    <row r="26" spans="2:6" ht="26.25" customHeight="1" x14ac:dyDescent="0.25">
      <c r="B26" s="51" t="s">
        <v>51</v>
      </c>
      <c r="C26" s="51"/>
      <c r="D26" s="51"/>
      <c r="E26" s="51"/>
      <c r="F26" s="51"/>
    </row>
    <row r="27" spans="2:6" ht="18" customHeight="1" x14ac:dyDescent="0.25">
      <c r="B27" s="34"/>
      <c r="C27" s="34"/>
      <c r="D27" s="34"/>
      <c r="E27" s="34"/>
      <c r="F27" s="34"/>
    </row>
    <row r="28" spans="2:6" ht="18" customHeight="1" x14ac:dyDescent="0.25">
      <c r="B28" s="34"/>
      <c r="C28" s="34"/>
      <c r="D28" s="34"/>
      <c r="E28" s="34"/>
      <c r="F28" s="34"/>
    </row>
    <row r="29" spans="2:6" x14ac:dyDescent="0.25">
      <c r="B29" s="8" t="s">
        <v>21</v>
      </c>
      <c r="C29" s="8"/>
      <c r="D29" s="18" t="s">
        <v>19</v>
      </c>
      <c r="E29" s="18" t="s">
        <v>25</v>
      </c>
      <c r="F29" s="17" t="s">
        <v>20</v>
      </c>
    </row>
    <row r="30" spans="2:6" x14ac:dyDescent="0.25">
      <c r="B30" s="7"/>
      <c r="C30" s="8"/>
      <c r="D30" s="17"/>
      <c r="E30" s="17"/>
      <c r="F30" s="17"/>
    </row>
    <row r="31" spans="2:6" x14ac:dyDescent="0.25">
      <c r="B31" s="41" t="s">
        <v>56</v>
      </c>
      <c r="C31" s="40" t="s">
        <v>46</v>
      </c>
      <c r="D31" s="39">
        <v>1</v>
      </c>
      <c r="E31" s="42">
        <v>1269</v>
      </c>
      <c r="F31" s="42">
        <f>D31*E31</f>
        <v>1269</v>
      </c>
    </row>
    <row r="32" spans="2:6" x14ac:dyDescent="0.25">
      <c r="B32" s="41" t="s">
        <v>57</v>
      </c>
      <c r="C32" s="40" t="s">
        <v>46</v>
      </c>
      <c r="D32" s="39">
        <v>1</v>
      </c>
      <c r="E32" s="42">
        <v>1399</v>
      </c>
      <c r="F32" s="42">
        <f>E32*D32</f>
        <v>1399</v>
      </c>
    </row>
    <row r="33" spans="2:6" x14ac:dyDescent="0.25">
      <c r="B33" s="41" t="s">
        <v>58</v>
      </c>
      <c r="C33" s="40" t="s">
        <v>46</v>
      </c>
      <c r="D33" s="39">
        <v>1</v>
      </c>
      <c r="E33" s="42">
        <v>2999</v>
      </c>
      <c r="F33" s="42">
        <f>E33*D33</f>
        <v>2999</v>
      </c>
    </row>
    <row r="34" spans="2:6" x14ac:dyDescent="0.25">
      <c r="B34" s="47"/>
      <c r="C34" s="45"/>
      <c r="D34" s="46"/>
      <c r="E34" s="42"/>
      <c r="F34" s="42"/>
    </row>
    <row r="35" spans="2:6" x14ac:dyDescent="0.25">
      <c r="B35" s="47"/>
      <c r="C35" s="45"/>
      <c r="D35" s="46"/>
      <c r="E35" s="4"/>
      <c r="F35" s="44"/>
    </row>
    <row r="36" spans="2:6" x14ac:dyDescent="0.25">
      <c r="B36" s="41"/>
      <c r="C36" s="40"/>
      <c r="D36" s="39"/>
      <c r="E36" s="42"/>
      <c r="F36" s="42"/>
    </row>
    <row r="37" spans="2:6" x14ac:dyDescent="0.25">
      <c r="B37" s="4"/>
      <c r="C37" s="4"/>
      <c r="D37" s="16"/>
      <c r="E37" s="4" t="s">
        <v>3</v>
      </c>
      <c r="F37" s="11">
        <f>SUM(F31:F36)</f>
        <v>5667</v>
      </c>
    </row>
    <row r="38" spans="2:6" x14ac:dyDescent="0.25">
      <c r="B38" s="4"/>
      <c r="C38" s="4"/>
      <c r="D38" s="16"/>
      <c r="E38" s="4" t="s">
        <v>44</v>
      </c>
      <c r="F38" s="11">
        <f>F37*16%</f>
        <v>906.72</v>
      </c>
    </row>
    <row r="39" spans="2:6" x14ac:dyDescent="0.25">
      <c r="B39" s="4"/>
      <c r="C39" s="4"/>
      <c r="D39" s="16"/>
      <c r="E39" s="4" t="s">
        <v>45</v>
      </c>
      <c r="F39" s="11">
        <f>F37+F38</f>
        <v>6573.72</v>
      </c>
    </row>
    <row r="40" spans="2:6" x14ac:dyDescent="0.25">
      <c r="B40" s="4"/>
      <c r="C40" s="4"/>
      <c r="D40" s="16"/>
      <c r="E40" s="4"/>
      <c r="F40" s="11"/>
    </row>
    <row r="41" spans="2:6" x14ac:dyDescent="0.25">
      <c r="B41" s="4"/>
      <c r="C41" s="4"/>
      <c r="D41" s="16"/>
      <c r="E41" s="4"/>
      <c r="F41" s="11"/>
    </row>
    <row r="42" spans="2:6" x14ac:dyDescent="0.25">
      <c r="B42" s="57" t="s">
        <v>23</v>
      </c>
      <c r="C42" s="58"/>
      <c r="D42" s="58"/>
      <c r="E42" s="58"/>
      <c r="F42" s="58"/>
    </row>
    <row r="43" spans="2:6" ht="27.75" customHeight="1" x14ac:dyDescent="0.25">
      <c r="B43" s="51" t="s">
        <v>26</v>
      </c>
      <c r="C43" s="51"/>
      <c r="D43" s="51"/>
      <c r="E43" s="51"/>
      <c r="F43" s="51"/>
    </row>
    <row r="44" spans="2:6" ht="17.25" customHeight="1" x14ac:dyDescent="0.25">
      <c r="B44" s="51" t="s">
        <v>27</v>
      </c>
      <c r="C44" s="51"/>
      <c r="D44" s="51"/>
      <c r="E44" s="51"/>
      <c r="F44" s="51"/>
    </row>
    <row r="45" spans="2:6" ht="15" customHeight="1" x14ac:dyDescent="0.25">
      <c r="B45" s="51" t="s">
        <v>28</v>
      </c>
      <c r="C45" s="51"/>
      <c r="D45" s="51"/>
      <c r="E45" s="51"/>
      <c r="F45" s="51"/>
    </row>
    <row r="46" spans="2:6" ht="18" customHeight="1" x14ac:dyDescent="0.25">
      <c r="B46" s="51" t="s">
        <v>29</v>
      </c>
      <c r="C46" s="51"/>
      <c r="D46" s="51"/>
      <c r="E46" s="51"/>
      <c r="F46" s="51"/>
    </row>
    <row r="47" spans="2:6" ht="96.75" customHeight="1" x14ac:dyDescent="0.25">
      <c r="B47" s="51" t="s">
        <v>30</v>
      </c>
      <c r="C47" s="51"/>
      <c r="D47" s="51"/>
      <c r="E47" s="51"/>
      <c r="F47" s="51"/>
    </row>
    <row r="48" spans="2:6" ht="14.25" customHeight="1" x14ac:dyDescent="0.25">
      <c r="B48" s="34"/>
      <c r="C48" s="34"/>
      <c r="D48" s="34"/>
      <c r="E48" s="34"/>
      <c r="F48" s="34"/>
    </row>
    <row r="49" spans="2:15" ht="14.25" customHeight="1" x14ac:dyDescent="0.25">
      <c r="B49" s="34"/>
      <c r="C49" s="34"/>
      <c r="D49" s="34"/>
      <c r="E49" s="34"/>
      <c r="F49" s="34"/>
    </row>
    <row r="50" spans="2:15" x14ac:dyDescent="0.25">
      <c r="B50" s="20"/>
      <c r="C50" s="20"/>
      <c r="D50" s="20"/>
      <c r="E50" s="20"/>
      <c r="F50" s="20"/>
      <c r="H50" s="14"/>
    </row>
    <row r="51" spans="2:15" x14ac:dyDescent="0.25">
      <c r="B51" s="18" t="s">
        <v>48</v>
      </c>
      <c r="C51" s="37"/>
      <c r="D51" s="50" t="s">
        <v>47</v>
      </c>
      <c r="E51" s="50"/>
      <c r="F51" s="50"/>
    </row>
    <row r="52" spans="2:15" x14ac:dyDescent="0.25">
      <c r="B52" s="9"/>
      <c r="C52" s="9"/>
      <c r="D52" s="21"/>
      <c r="E52" s="21"/>
      <c r="F52" s="21"/>
    </row>
    <row r="53" spans="2:15" x14ac:dyDescent="0.25">
      <c r="B53" s="9"/>
      <c r="C53" s="9"/>
      <c r="D53" s="21"/>
      <c r="E53" s="21"/>
      <c r="F53" s="21"/>
    </row>
    <row r="54" spans="2:15" x14ac:dyDescent="0.25">
      <c r="B54" s="12" t="s">
        <v>60</v>
      </c>
      <c r="C54" s="12"/>
      <c r="D54" s="12"/>
      <c r="E54" s="12"/>
      <c r="F54" s="12"/>
    </row>
    <row r="55" spans="2:15" ht="15" customHeight="1" x14ac:dyDescent="0.25">
      <c r="B55" s="36" t="s">
        <v>59</v>
      </c>
      <c r="C55" s="52" t="s">
        <v>61</v>
      </c>
      <c r="D55" s="53"/>
      <c r="E55" s="53"/>
      <c r="F55" s="53"/>
      <c r="G55" s="53"/>
    </row>
    <row r="56" spans="2:15" x14ac:dyDescent="0.25">
      <c r="B56" s="23"/>
      <c r="C56" s="35"/>
      <c r="D56" s="35"/>
      <c r="E56" s="35"/>
      <c r="F56" s="35"/>
    </row>
    <row r="57" spans="2:15" x14ac:dyDescent="0.25">
      <c r="B57" s="23"/>
      <c r="C57" s="35"/>
      <c r="D57" s="35"/>
      <c r="E57" s="35"/>
      <c r="F57" s="35"/>
    </row>
    <row r="58" spans="2:15" x14ac:dyDescent="0.25">
      <c r="B58" s="13"/>
      <c r="C58" s="13"/>
      <c r="D58" s="21"/>
      <c r="E58" s="21"/>
      <c r="F58" s="21"/>
    </row>
    <row r="59" spans="2:15" x14ac:dyDescent="0.25">
      <c r="B59" s="48" t="s">
        <v>24</v>
      </c>
      <c r="C59" s="48"/>
      <c r="D59" s="49"/>
      <c r="E59" s="49"/>
      <c r="F59" s="49"/>
      <c r="G59" s="19"/>
      <c r="H59" s="19"/>
      <c r="I59" s="19"/>
      <c r="J59" s="19"/>
      <c r="K59" s="19"/>
      <c r="L59" s="19"/>
      <c r="M59" s="19"/>
      <c r="N59" s="19"/>
      <c r="O59" s="19"/>
    </row>
    <row r="60" spans="2:15" x14ac:dyDescent="0.25">
      <c r="B60" s="49"/>
      <c r="C60" s="49"/>
      <c r="D60" s="49"/>
      <c r="E60" s="49"/>
      <c r="F60" s="49"/>
      <c r="G60" s="19"/>
      <c r="H60" s="19"/>
      <c r="I60" s="19"/>
      <c r="J60" s="19"/>
      <c r="K60" s="19"/>
      <c r="L60" s="19"/>
      <c r="M60" s="19"/>
      <c r="N60" s="19"/>
      <c r="O60" s="19"/>
    </row>
    <row r="61" spans="2:15" ht="4.5" customHeight="1" x14ac:dyDescent="0.25">
      <c r="B61" s="49"/>
      <c r="C61" s="49"/>
      <c r="D61" s="49"/>
      <c r="E61" s="49"/>
      <c r="F61" s="49"/>
      <c r="G61" s="19"/>
      <c r="H61" s="19"/>
      <c r="I61" s="19"/>
      <c r="J61" s="19"/>
      <c r="K61" s="19"/>
      <c r="L61" s="19"/>
      <c r="M61" s="19"/>
      <c r="N61" s="19"/>
      <c r="O61" s="19"/>
    </row>
    <row r="62" spans="2:15" hidden="1" x14ac:dyDescent="0.25">
      <c r="B62" s="49"/>
      <c r="C62" s="49"/>
      <c r="D62" s="49"/>
      <c r="E62" s="49"/>
      <c r="F62" s="49"/>
      <c r="G62" s="19"/>
      <c r="H62" s="19"/>
      <c r="I62" s="19"/>
      <c r="J62" s="19"/>
      <c r="K62" s="19"/>
      <c r="L62" s="19"/>
      <c r="M62" s="19"/>
      <c r="N62" s="19"/>
      <c r="O62" s="19"/>
    </row>
    <row r="63" spans="2:15" x14ac:dyDescent="0.25"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</row>
    <row r="64" spans="2:15" x14ac:dyDescent="0.25"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</row>
    <row r="65" spans="2:15" x14ac:dyDescent="0.25"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</row>
    <row r="66" spans="2:15" x14ac:dyDescent="0.25"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</row>
  </sheetData>
  <mergeCells count="13">
    <mergeCell ref="B11:F11"/>
    <mergeCell ref="B18:F18"/>
    <mergeCell ref="B21:F21"/>
    <mergeCell ref="B26:F26"/>
    <mergeCell ref="B47:F47"/>
    <mergeCell ref="B42:F42"/>
    <mergeCell ref="B59:F62"/>
    <mergeCell ref="D51:F51"/>
    <mergeCell ref="B43:F43"/>
    <mergeCell ref="B44:F44"/>
    <mergeCell ref="B45:F45"/>
    <mergeCell ref="B46:F46"/>
    <mergeCell ref="C55:G55"/>
  </mergeCells>
  <pageMargins left="0.7" right="0.7" top="0.75" bottom="0.75" header="0.3" footer="0.3"/>
  <pageSetup paperSize="9" scale="73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2026-03-30T22:23:20Z</cp:lastPrinted>
  <dcterms:created xsi:type="dcterms:W3CDTF">2020-12-14T19:54:01Z</dcterms:created>
  <dcterms:modified xsi:type="dcterms:W3CDTF">2026-03-30T22:29:57Z</dcterms:modified>
</cp:coreProperties>
</file>