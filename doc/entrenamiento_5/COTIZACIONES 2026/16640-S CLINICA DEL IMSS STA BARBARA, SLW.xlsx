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AD4656A-9323-4553-933F-A696D85BEE83}"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33" i="3"/>
  <c r="F38" i="3" s="1"/>
  <c r="F40" i="3" s="1"/>
  <c r="F29" i="3"/>
  <c r="F28" i="3"/>
  <c r="F27" i="3"/>
  <c r="F26" i="3"/>
  <c r="E19" i="1"/>
  <c r="F41" i="3" l="1"/>
  <c r="F42" i="3"/>
  <c r="E18" i="1"/>
  <c r="E21" i="1" l="1"/>
  <c r="E22" i="1" l="1"/>
  <c r="E23" i="1" l="1"/>
</calcChain>
</file>

<file path=xl/sharedStrings.xml><?xml version="1.0" encoding="utf-8"?>
<sst xmlns="http://schemas.openxmlformats.org/spreadsheetml/2006/main" count="83" uniqueCount="65">
  <si>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</si>
  <si>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</si>
  <si>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</si>
  <si>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</si>
  <si>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</si>
  <si>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</si>
  <si>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</si>
  <si>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</si>
  <si>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</si>
  <si>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</si>
  <si>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</si>
  <si>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</si>
  <si>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</si>
  <si>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</si>
  <si>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</si>
  <si>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</si>
  <si>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</si>
  <si>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</si>
  <si>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</si>
  <si>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</si>
  <si>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</si>
  <si>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</si>
  <si>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</si>
  <si>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</si>
  <si>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</si>
  <si>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</si>
  <si>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</si>
  <si>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</si>
  <si>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</si>
  <si>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</si>
  <si>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</si>
  <si>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</si>
  <si>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</si>
  <si>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</si>
  <si>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</si>
  <si>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</si>
  <si>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</si>
  <si>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</si>
  <si>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</si>
  <si>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</si>
  <si>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</si>
  <si>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</si>
  <si>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</si>
  <si>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</si>
  <si>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</si>
  <si>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</si>
  <si>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</si>
  <si>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 xml:space="preserve">                                 IVAN TRANCOSO</t>
  </si>
  <si>
    <t xml:space="preserve">                                 ATENTAMENTE</t>
  </si>
  <si>
    <t xml:space="preserve">                                  HAPA SOLUCIONES INTEGRALES EN RECUBRIMIENTOS</t>
  </si>
  <si>
    <t>CIUDAD DE MEXICO A 5 DE AGOSTO DEL 2026</t>
  </si>
  <si>
    <t>CONSTRUCTORA: GRUPO INMOBILIARIO REAL DEL BOSQUE</t>
  </si>
  <si>
    <t>AT´N: LIC. MAYRA KENIA MARIN CASTILLO</t>
  </si>
  <si>
    <t>OBRA: CLINICA DEL IMSS STA BARBARA, SLW</t>
  </si>
  <si>
    <t>PRES. REF. 16640/2026CG</t>
  </si>
  <si>
    <t>1.-SELLADOR INICIAL (90 M2)</t>
  </si>
  <si>
    <t>2.- PRAIMER GLASS REF S.M.A. (85 M2)</t>
  </si>
  <si>
    <t>4.-VITROGLASS ECOLOGICO (180 M2)</t>
  </si>
  <si>
    <t>3-CHISA GLASS REF. S.M.A.(60 M2)</t>
  </si>
  <si>
    <t>CHISA GLASS 866.46 M2</t>
  </si>
  <si>
    <t>CHISA PLAST 240.22M2</t>
  </si>
  <si>
    <t>3-CHISA PLAST REF. S.M.A.(14 M2)</t>
  </si>
  <si>
    <t>ENVIO</t>
  </si>
  <si>
    <t>SUB TOTAL</t>
  </si>
  <si>
    <t xml:space="preserve">            ____________________________________                                                                                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</si>
</sst>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b/>
      <sz val="12"/>
      <color theme="1"/>
      <name val="Times New Roman"/>
      <family val="1"/>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justify" vertical="center"/>
    </xf>
    <xf numFmtId="0" fontId="0" fillId="0" borderId="0" xfId="0" applyAlignment="1"/>
    <xf numFmtId="0" fontId="2" fillId="0" borderId="0" xfId="0" applyFont="1" applyAlignment="1">
      <alignment vertical="center"/>
    </xf>
    <xf numFmtId="0" fontId="12" fillId="0" borderId="0" xfId="0" applyFont="1" applyAlignment="1">
      <alignment horizontal="center" vertical="center"/>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3"/>
      <c r="B1" s="52"/>
      <c r="C1" s="52"/>
      <c r="D1" s="52"/>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4" t="s">
        <v>37</v>
      </c>
      <c r="B4" s="44"/>
      <c r="C4" s="44"/>
      <c r="D4" s="44"/>
      <c r="E4" s="44"/>
      <c r="F4" s="6"/>
    </row>
    <row r="5" spans="1:8" ht="12" customHeight="1" x14ac:dyDescent="0.25">
      <c r="A5" s="34"/>
      <c r="B5" s="34"/>
      <c r="C5" s="34"/>
      <c r="D5" s="34"/>
      <c r="E5" s="34"/>
      <c r="F5" s="6"/>
    </row>
    <row r="6" spans="1:8" ht="12" customHeight="1" x14ac:dyDescent="0.25">
      <c r="A6" s="1" t="s">
        <v>35</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58" t="s">
        <v>36</v>
      </c>
      <c r="B11" s="58"/>
      <c r="C11" s="58"/>
      <c r="D11" s="58"/>
      <c r="E11" s="58"/>
      <c r="F11" s="37"/>
    </row>
    <row r="12" spans="1:8" ht="12" customHeight="1" x14ac:dyDescent="0.25">
      <c r="A12" s="39"/>
      <c r="B12" s="35"/>
      <c r="C12" s="35"/>
      <c r="D12" s="35"/>
      <c r="E12" s="35"/>
      <c r="F12" s="35"/>
    </row>
    <row r="13" spans="1:8" ht="12" customHeight="1" x14ac:dyDescent="0.25">
      <c r="A13" s="37" t="s">
        <v>38</v>
      </c>
      <c r="B13" s="37"/>
      <c r="C13" s="37"/>
      <c r="D13" s="37"/>
      <c r="E13" s="37"/>
      <c r="F13" s="37"/>
    </row>
    <row r="14" spans="1:8" ht="12" customHeight="1" x14ac:dyDescent="0.25">
      <c r="A14" s="1" t="s">
        <v>39</v>
      </c>
      <c r="B14" s="36"/>
      <c r="C14" s="36"/>
      <c r="D14" s="36"/>
      <c r="E14" s="35"/>
      <c r="F14" s="35"/>
    </row>
    <row r="15" spans="1:8" ht="12" customHeight="1" x14ac:dyDescent="0.25">
      <c r="A15" s="8" t="s">
        <v>1</v>
      </c>
      <c r="B15" s="21"/>
      <c r="C15" s="21"/>
      <c r="D15" s="21"/>
      <c r="E15" s="20"/>
    </row>
    <row r="16" spans="1:8" ht="12" customHeight="1" x14ac:dyDescent="0.25">
      <c r="A16" s="61" t="s">
        <v>32</v>
      </c>
      <c r="B16" s="61"/>
      <c r="C16" s="61"/>
      <c r="D16" s="61"/>
      <c r="E16" s="61"/>
      <c r="F16" s="3"/>
      <c r="G16" s="3"/>
      <c r="H16" s="3"/>
    </row>
    <row r="17" spans="1:8" ht="21.75" customHeight="1" x14ac:dyDescent="0.25">
      <c r="A17" s="18" t="s">
        <v>20</v>
      </c>
      <c r="B17" s="25" t="s">
        <v>30</v>
      </c>
      <c r="C17" s="25" t="s">
        <v>18</v>
      </c>
      <c r="D17" s="25" t="s">
        <v>25</v>
      </c>
      <c r="E17" s="25" t="s">
        <v>19</v>
      </c>
      <c r="F17" s="2"/>
      <c r="G17" s="2"/>
      <c r="H17" s="2"/>
    </row>
    <row r="18" spans="1:8" ht="191.25" customHeight="1" x14ac:dyDescent="0.25">
      <c r="A18" s="30" t="s">
        <v>34</v>
      </c>
      <c r="B18" s="31" t="s">
        <v>21</v>
      </c>
      <c r="C18" s="32">
        <v>3500</v>
      </c>
      <c r="D18" s="22">
        <v>110</v>
      </c>
      <c r="E18" s="10">
        <f t="shared" ref="E18" si="0">C18*D18</f>
        <v>385000</v>
      </c>
      <c r="F18" s="2"/>
      <c r="G18" s="2"/>
      <c r="H18" s="2"/>
    </row>
    <row r="19" spans="1:8" ht="183" customHeight="1" x14ac:dyDescent="0.25">
      <c r="A19" s="38" t="s">
        <v>40</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60" t="s">
        <v>43</v>
      </c>
      <c r="B26" s="60"/>
      <c r="C26" s="60"/>
      <c r="D26" s="60"/>
      <c r="E26" s="60"/>
      <c r="F26" s="11"/>
      <c r="G26" s="11"/>
    </row>
    <row r="27" spans="1:8" ht="18" customHeight="1" x14ac:dyDescent="0.25">
      <c r="A27" s="54" t="s">
        <v>38</v>
      </c>
      <c r="B27" s="55"/>
      <c r="C27" s="55"/>
      <c r="D27" s="55"/>
      <c r="E27" s="55"/>
      <c r="F27" s="5"/>
      <c r="G27" s="11"/>
    </row>
    <row r="28" spans="1:8" ht="12" customHeight="1" x14ac:dyDescent="0.25">
      <c r="A28" s="62" t="s">
        <v>5</v>
      </c>
      <c r="B28" s="62"/>
      <c r="C28" s="62"/>
      <c r="D28" s="62"/>
      <c r="E28" s="62"/>
      <c r="F28" s="5"/>
      <c r="G28" s="11"/>
    </row>
    <row r="29" spans="1:8" ht="69" customHeight="1" x14ac:dyDescent="0.25">
      <c r="A29" s="56" t="s">
        <v>42</v>
      </c>
      <c r="B29" s="56"/>
      <c r="C29" s="56"/>
      <c r="D29" s="56"/>
      <c r="E29" s="56"/>
      <c r="F29" s="5"/>
      <c r="G29" s="11"/>
    </row>
    <row r="30" spans="1:8" ht="15" customHeight="1" x14ac:dyDescent="0.25">
      <c r="A30" s="62" t="s">
        <v>6</v>
      </c>
      <c r="B30" s="62"/>
      <c r="C30" s="62"/>
      <c r="D30" s="62"/>
      <c r="E30" s="62"/>
      <c r="F30" s="5"/>
    </row>
    <row r="31" spans="1:8" ht="33.75" customHeight="1" x14ac:dyDescent="0.25">
      <c r="A31" s="56" t="s">
        <v>7</v>
      </c>
      <c r="B31" s="56"/>
      <c r="C31" s="56"/>
      <c r="D31" s="56"/>
      <c r="E31" s="56"/>
    </row>
    <row r="32" spans="1:8" ht="43.5" customHeight="1" x14ac:dyDescent="0.25">
      <c r="A32" s="57" t="s">
        <v>8</v>
      </c>
      <c r="B32" s="57"/>
      <c r="C32" s="57"/>
      <c r="D32" s="57"/>
      <c r="E32" s="57"/>
    </row>
    <row r="33" spans="1:6" ht="46.5" customHeight="1" x14ac:dyDescent="0.25">
      <c r="A33" s="57" t="s">
        <v>9</v>
      </c>
      <c r="B33" s="57"/>
      <c r="C33" s="57"/>
      <c r="D33" s="57"/>
      <c r="E33" s="57"/>
    </row>
    <row r="34" spans="1:6" ht="21.75" customHeight="1" x14ac:dyDescent="0.25">
      <c r="A34" s="57" t="s">
        <v>10</v>
      </c>
      <c r="B34" s="57"/>
      <c r="C34" s="57"/>
      <c r="D34" s="57"/>
      <c r="E34" s="57"/>
      <c r="F34" s="5"/>
    </row>
    <row r="35" spans="1:6" ht="72" customHeight="1" x14ac:dyDescent="0.25">
      <c r="A35" s="56" t="s">
        <v>11</v>
      </c>
      <c r="B35" s="56"/>
      <c r="C35" s="56"/>
      <c r="D35" s="56"/>
      <c r="E35" s="56"/>
    </row>
    <row r="36" spans="1:6" ht="21.75" customHeight="1" x14ac:dyDescent="0.25">
      <c r="A36" s="56" t="s">
        <v>12</v>
      </c>
      <c r="B36" s="56"/>
      <c r="C36" s="56"/>
      <c r="D36" s="56"/>
      <c r="E36" s="56"/>
    </row>
    <row r="37" spans="1:6" ht="44.25" customHeight="1" x14ac:dyDescent="0.25">
      <c r="A37" s="56" t="s">
        <v>13</v>
      </c>
      <c r="B37" s="56"/>
      <c r="C37" s="56"/>
      <c r="D37" s="56"/>
      <c r="E37" s="56"/>
    </row>
    <row r="38" spans="1:6" ht="25.5" customHeight="1" x14ac:dyDescent="0.25">
      <c r="A38" s="56" t="s">
        <v>14</v>
      </c>
      <c r="B38" s="56"/>
      <c r="C38" s="56"/>
      <c r="D38" s="56"/>
      <c r="E38" s="56"/>
    </row>
    <row r="39" spans="1:6" ht="68.25" customHeight="1" x14ac:dyDescent="0.25">
      <c r="A39" s="57" t="s">
        <v>15</v>
      </c>
      <c r="B39" s="57"/>
      <c r="C39" s="57"/>
      <c r="D39" s="57"/>
      <c r="E39" s="57"/>
    </row>
    <row r="40" spans="1:6" ht="15" customHeight="1" x14ac:dyDescent="0.25">
      <c r="A40" s="56" t="s">
        <v>16</v>
      </c>
      <c r="B40" s="56"/>
      <c r="C40" s="56"/>
      <c r="D40" s="56"/>
      <c r="E40" s="56"/>
    </row>
    <row r="41" spans="1:6" ht="22.5" customHeight="1" x14ac:dyDescent="0.25">
      <c r="A41" s="8" t="s">
        <v>17</v>
      </c>
      <c r="B41" s="21"/>
      <c r="C41" s="21"/>
      <c r="D41" s="21"/>
      <c r="E41" s="20"/>
    </row>
    <row r="42" spans="1:6" ht="24" customHeight="1" x14ac:dyDescent="0.25">
      <c r="A42" s="26" t="s">
        <v>22</v>
      </c>
      <c r="B42" s="59" t="s">
        <v>31</v>
      </c>
      <c r="C42" s="59"/>
      <c r="D42" s="59"/>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33</v>
      </c>
      <c r="B45" s="21"/>
      <c r="C45" s="21"/>
      <c r="D45" s="21"/>
      <c r="E45" s="20"/>
    </row>
    <row r="46" spans="1:6" x14ac:dyDescent="0.25">
      <c r="A46" s="27" t="s">
        <v>41</v>
      </c>
      <c r="B46" s="28"/>
      <c r="C46" s="28"/>
      <c r="D46" s="28"/>
      <c r="E46" s="29"/>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9"/>
  <sheetViews>
    <sheetView tabSelected="1" topLeftCell="A22" zoomScaleNormal="100" zoomScalePageLayoutView="50" workbookViewId="0">
      <selection activeCell="I56" sqref="I56"/>
    </sheetView>
  </sheetViews>
  <sheetFormatPr baseColWidth="10" defaultRowHeight="15" x14ac:dyDescent="0.25"/>
  <cols>
    <col min="1" max="1" width="2.85546875" style="15" customWidth="1"/>
    <col min="2" max="2" width="54.42578125" customWidth="1"/>
    <col min="3" max="3" width="13.28515625" customWidth="1"/>
    <col min="4"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4" t="s">
        <v>50</v>
      </c>
      <c r="C8" s="44"/>
      <c r="D8" s="44"/>
      <c r="E8" s="44"/>
      <c r="F8" s="44"/>
    </row>
    <row r="9" spans="2:6" x14ac:dyDescent="0.25">
      <c r="B9" s="34"/>
      <c r="C9" s="34"/>
      <c r="D9" s="34"/>
      <c r="E9" s="34"/>
      <c r="F9" s="34"/>
    </row>
    <row r="10" spans="2:6" x14ac:dyDescent="0.25">
      <c r="B10" s="65" t="s">
        <v>51</v>
      </c>
      <c r="C10" s="64"/>
      <c r="D10" s="64"/>
      <c r="E10" s="64"/>
      <c r="F10" s="64"/>
    </row>
    <row r="11" spans="2:6" x14ac:dyDescent="0.25">
      <c r="B11" s="65" t="s">
        <v>0</v>
      </c>
      <c r="C11" s="64"/>
      <c r="D11" s="64"/>
      <c r="E11" s="64"/>
      <c r="F11" s="64"/>
    </row>
    <row r="12" spans="2:6" x14ac:dyDescent="0.25">
      <c r="B12" s="1"/>
      <c r="C12" s="20"/>
      <c r="D12" s="20"/>
      <c r="E12" s="20"/>
      <c r="F12" s="20"/>
    </row>
    <row r="13" spans="2:6" x14ac:dyDescent="0.25">
      <c r="B13" s="1"/>
      <c r="C13" s="20"/>
      <c r="D13" s="20"/>
      <c r="E13" s="20"/>
      <c r="F13" s="20"/>
    </row>
    <row r="14" spans="2:6" ht="13.5" customHeight="1" x14ac:dyDescent="0.25">
      <c r="B14" s="51" t="s">
        <v>52</v>
      </c>
      <c r="C14" s="51"/>
      <c r="D14" s="51"/>
      <c r="E14" s="51"/>
      <c r="F14" s="51"/>
    </row>
    <row r="15" spans="2:6" ht="21.75" customHeight="1" x14ac:dyDescent="0.25">
      <c r="B15" s="17"/>
      <c r="C15" s="20"/>
      <c r="D15" s="20"/>
      <c r="E15" s="20"/>
      <c r="F15" s="20"/>
    </row>
    <row r="16" spans="2:6" ht="21.75" customHeight="1" x14ac:dyDescent="0.25">
      <c r="B16" s="52" t="s">
        <v>53</v>
      </c>
      <c r="C16" s="52"/>
      <c r="D16" s="52"/>
      <c r="E16" s="52"/>
      <c r="F16" s="52"/>
    </row>
    <row r="17" spans="2:8" ht="21.75" customHeight="1" x14ac:dyDescent="0.25">
      <c r="B17" s="63" t="s">
        <v>54</v>
      </c>
      <c r="C17" s="64"/>
      <c r="D17" s="64"/>
      <c r="E17" s="64"/>
      <c r="F17" s="64"/>
    </row>
    <row r="18" spans="2:8" ht="20.25" customHeight="1" x14ac:dyDescent="0.25">
      <c r="B18" s="63"/>
      <c r="C18" s="64"/>
      <c r="D18" s="64"/>
      <c r="E18" s="64"/>
      <c r="F18" s="64"/>
    </row>
    <row r="19" spans="2:8" ht="25.5" customHeight="1" x14ac:dyDescent="0.25">
      <c r="B19" s="48" t="s">
        <v>46</v>
      </c>
      <c r="C19" s="48"/>
      <c r="D19" s="48"/>
      <c r="E19" s="48"/>
      <c r="F19" s="48"/>
    </row>
    <row r="20" spans="2:8" ht="25.5" customHeight="1" x14ac:dyDescent="0.25">
      <c r="B20" s="7"/>
      <c r="C20" s="21"/>
      <c r="D20" s="21"/>
      <c r="E20" s="21"/>
      <c r="F20" s="20"/>
    </row>
    <row r="21" spans="2:8" x14ac:dyDescent="0.25">
      <c r="B21" s="41" t="s">
        <v>20</v>
      </c>
      <c r="C21" s="41"/>
      <c r="D21" s="41" t="s">
        <v>18</v>
      </c>
      <c r="E21" s="41" t="s">
        <v>25</v>
      </c>
      <c r="F21" s="41" t="s">
        <v>19</v>
      </c>
    </row>
    <row r="22" spans="2:8" x14ac:dyDescent="0.25">
      <c r="B22" s="41"/>
      <c r="C22" s="41"/>
      <c r="D22" s="41"/>
      <c r="E22" s="41"/>
      <c r="F22" s="41"/>
    </row>
    <row r="23" spans="2:8" x14ac:dyDescent="0.25">
      <c r="B23" s="41"/>
      <c r="C23" s="41"/>
      <c r="D23" s="41"/>
      <c r="E23" s="41"/>
      <c r="F23" s="41"/>
    </row>
    <row r="24" spans="2:8" ht="15.75" x14ac:dyDescent="0.25">
      <c r="B24" s="66" t="s">
        <v>59</v>
      </c>
      <c r="C24" s="7"/>
      <c r="D24" s="17"/>
      <c r="E24" s="17"/>
      <c r="F24" s="17"/>
    </row>
    <row r="25" spans="2:8" ht="28.5" customHeight="1" x14ac:dyDescent="0.25">
      <c r="B25" s="66"/>
      <c r="C25" s="7"/>
      <c r="D25" s="17"/>
      <c r="E25" s="17"/>
      <c r="F25" s="17"/>
    </row>
    <row r="26" spans="2:8" ht="15.75" customHeight="1" x14ac:dyDescent="0.25">
      <c r="B26" s="40" t="s">
        <v>55</v>
      </c>
      <c r="C26" s="24" t="s">
        <v>24</v>
      </c>
      <c r="D26" s="5">
        <v>9</v>
      </c>
      <c r="E26" s="22">
        <v>907.37</v>
      </c>
      <c r="F26" s="10">
        <f t="shared" ref="F26:F29" si="0">D26*E26</f>
        <v>8166.33</v>
      </c>
    </row>
    <row r="27" spans="2:8" ht="15.75" customHeight="1" x14ac:dyDescent="0.25">
      <c r="B27" s="40" t="s">
        <v>56</v>
      </c>
      <c r="C27" s="24" t="s">
        <v>24</v>
      </c>
      <c r="D27" s="24">
        <v>10</v>
      </c>
      <c r="E27" s="22">
        <v>1028.18</v>
      </c>
      <c r="F27" s="10">
        <f t="shared" si="0"/>
        <v>10281.800000000001</v>
      </c>
    </row>
    <row r="28" spans="2:8" ht="15.75" customHeight="1" x14ac:dyDescent="0.25">
      <c r="B28" s="40" t="s">
        <v>58</v>
      </c>
      <c r="C28" s="24" t="s">
        <v>24</v>
      </c>
      <c r="D28" s="5">
        <v>14</v>
      </c>
      <c r="E28" s="22">
        <v>4797.13</v>
      </c>
      <c r="F28" s="10">
        <f t="shared" si="0"/>
        <v>67159.820000000007</v>
      </c>
    </row>
    <row r="29" spans="2:8" ht="15.75" customHeight="1" x14ac:dyDescent="0.25">
      <c r="B29" s="40" t="s">
        <v>57</v>
      </c>
      <c r="C29" s="24" t="s">
        <v>24</v>
      </c>
      <c r="D29" s="24">
        <v>5</v>
      </c>
      <c r="E29" s="22">
        <v>5023.57</v>
      </c>
      <c r="F29" s="10">
        <f t="shared" si="0"/>
        <v>25117.85</v>
      </c>
    </row>
    <row r="30" spans="2:8" ht="22.5" customHeight="1" x14ac:dyDescent="0.25">
      <c r="B30" s="40"/>
      <c r="C30" s="24"/>
      <c r="D30" s="24"/>
      <c r="E30" s="22"/>
      <c r="F30" s="10"/>
      <c r="H30" s="14"/>
    </row>
    <row r="31" spans="2:8" ht="15.75" x14ac:dyDescent="0.25">
      <c r="B31" s="66" t="s">
        <v>60</v>
      </c>
      <c r="C31" s="24"/>
      <c r="D31" s="24"/>
      <c r="E31" s="22"/>
      <c r="F31" s="10"/>
      <c r="H31" s="14"/>
    </row>
    <row r="32" spans="2:8" ht="23.25" customHeight="1" x14ac:dyDescent="0.25">
      <c r="B32" s="40"/>
      <c r="C32" s="24"/>
      <c r="D32" s="24"/>
      <c r="E32" s="22"/>
      <c r="F32" s="10"/>
      <c r="H32" s="14"/>
    </row>
    <row r="33" spans="2:15" x14ac:dyDescent="0.25">
      <c r="B33" s="40" t="s">
        <v>55</v>
      </c>
      <c r="C33" s="24" t="s">
        <v>24</v>
      </c>
      <c r="D33" s="5">
        <v>3</v>
      </c>
      <c r="E33" s="22">
        <v>907.37</v>
      </c>
      <c r="F33" s="10">
        <f t="shared" ref="F33:F35" si="1">D33*E33</f>
        <v>2722.11</v>
      </c>
      <c r="H33" s="14"/>
    </row>
    <row r="34" spans="2:15" x14ac:dyDescent="0.25">
      <c r="B34" s="40" t="s">
        <v>56</v>
      </c>
      <c r="C34" s="24" t="s">
        <v>24</v>
      </c>
      <c r="D34" s="24">
        <v>3</v>
      </c>
      <c r="E34" s="22">
        <v>1028.18</v>
      </c>
      <c r="F34" s="10">
        <f t="shared" si="1"/>
        <v>3084.54</v>
      </c>
      <c r="H34" s="14"/>
    </row>
    <row r="35" spans="2:15" x14ac:dyDescent="0.25">
      <c r="B35" s="40" t="s">
        <v>61</v>
      </c>
      <c r="C35" s="24" t="s">
        <v>24</v>
      </c>
      <c r="D35" s="5">
        <v>17</v>
      </c>
      <c r="E35" s="22">
        <v>1216.3399999999999</v>
      </c>
      <c r="F35" s="10">
        <f t="shared" si="1"/>
        <v>20677.78</v>
      </c>
      <c r="H35" s="14"/>
    </row>
    <row r="36" spans="2:15" x14ac:dyDescent="0.25">
      <c r="B36" s="40"/>
      <c r="C36" s="24"/>
      <c r="D36" s="5"/>
      <c r="E36" s="22"/>
      <c r="F36" s="10"/>
      <c r="H36" s="14"/>
    </row>
    <row r="37" spans="2:15" x14ac:dyDescent="0.25">
      <c r="B37" s="40"/>
      <c r="C37" s="24"/>
      <c r="D37" s="5"/>
      <c r="E37" s="22"/>
      <c r="F37" s="10"/>
      <c r="H37" s="14"/>
    </row>
    <row r="38" spans="2:15" ht="16.5" customHeight="1" x14ac:dyDescent="0.25">
      <c r="B38" s="4"/>
      <c r="C38" s="4"/>
      <c r="D38" s="21"/>
      <c r="E38" s="4" t="s">
        <v>2</v>
      </c>
      <c r="F38" s="11">
        <f>SUM(F26:F35)</f>
        <v>137210.23000000001</v>
      </c>
    </row>
    <row r="39" spans="2:15" ht="16.5" customHeight="1" x14ac:dyDescent="0.25">
      <c r="B39" s="4"/>
      <c r="C39" s="4"/>
      <c r="D39" s="21"/>
      <c r="E39" s="4" t="s">
        <v>62</v>
      </c>
      <c r="F39" s="11">
        <v>11229.42</v>
      </c>
    </row>
    <row r="40" spans="2:15" ht="16.5" customHeight="1" x14ac:dyDescent="0.25">
      <c r="B40" s="4"/>
      <c r="C40" s="4"/>
      <c r="D40" s="21"/>
      <c r="E40" s="4" t="s">
        <v>63</v>
      </c>
      <c r="F40" s="11">
        <f>F38+F39</f>
        <v>148439.65000000002</v>
      </c>
    </row>
    <row r="41" spans="2:15" ht="16.5" customHeight="1" x14ac:dyDescent="0.25">
      <c r="B41" s="4"/>
      <c r="C41" s="4"/>
      <c r="D41" s="4"/>
      <c r="E41" s="4" t="s">
        <v>3</v>
      </c>
      <c r="F41" s="11">
        <f>F40*16%</f>
        <v>23750.344000000005</v>
      </c>
    </row>
    <row r="42" spans="2:15" ht="16.5" customHeight="1" x14ac:dyDescent="0.25">
      <c r="B42" s="4"/>
      <c r="C42" s="4"/>
      <c r="D42" s="16"/>
      <c r="E42" s="4" t="s">
        <v>4</v>
      </c>
      <c r="F42" s="11">
        <f>F40+F41</f>
        <v>172189.99400000004</v>
      </c>
    </row>
    <row r="43" spans="2:15" ht="19.5" customHeight="1" x14ac:dyDescent="0.25">
      <c r="B43" s="4"/>
      <c r="C43" s="4"/>
      <c r="D43" s="16"/>
      <c r="E43" s="4"/>
      <c r="F43" s="11"/>
    </row>
    <row r="44" spans="2:15" x14ac:dyDescent="0.25">
      <c r="B44" s="4"/>
      <c r="C44" s="4"/>
      <c r="D44" s="16"/>
      <c r="E44" s="4"/>
      <c r="F44" s="11"/>
    </row>
    <row r="45" spans="2:15" x14ac:dyDescent="0.25">
      <c r="B45" s="49" t="s">
        <v>23</v>
      </c>
      <c r="C45" s="50"/>
      <c r="D45" s="50"/>
      <c r="E45" s="50"/>
      <c r="F45" s="50"/>
    </row>
    <row r="46" spans="2:15" x14ac:dyDescent="0.25">
      <c r="B46" s="1"/>
      <c r="C46" s="1"/>
      <c r="D46" s="20"/>
      <c r="E46" s="20"/>
      <c r="F46" s="20"/>
    </row>
    <row r="47" spans="2:15" ht="27.75" customHeight="1" x14ac:dyDescent="0.25">
      <c r="B47" s="48" t="s">
        <v>26</v>
      </c>
      <c r="C47" s="48"/>
      <c r="D47" s="48"/>
      <c r="E47" s="48"/>
      <c r="F47" s="48"/>
    </row>
    <row r="48" spans="2:15" x14ac:dyDescent="0.25">
      <c r="B48" s="48" t="s">
        <v>27</v>
      </c>
      <c r="C48" s="48"/>
      <c r="D48" s="48"/>
      <c r="E48" s="48"/>
      <c r="F48" s="48"/>
      <c r="G48" s="19"/>
      <c r="H48" s="19"/>
      <c r="I48" s="19"/>
      <c r="J48" s="19"/>
      <c r="K48" s="19"/>
      <c r="L48" s="19"/>
      <c r="M48" s="19"/>
      <c r="N48" s="19"/>
      <c r="O48" s="19"/>
    </row>
    <row r="49" spans="2:15" x14ac:dyDescent="0.25">
      <c r="B49" s="48" t="s">
        <v>45</v>
      </c>
      <c r="C49" s="48"/>
      <c r="D49" s="48"/>
      <c r="E49" s="48"/>
      <c r="F49" s="48"/>
      <c r="G49" s="19"/>
      <c r="H49" s="19"/>
      <c r="I49" s="19"/>
      <c r="J49" s="19"/>
      <c r="K49" s="19"/>
      <c r="L49" s="19"/>
      <c r="M49" s="19"/>
      <c r="N49" s="19"/>
      <c r="O49" s="19"/>
    </row>
    <row r="50" spans="2:15" x14ac:dyDescent="0.25">
      <c r="B50" s="48" t="s">
        <v>28</v>
      </c>
      <c r="C50" s="48"/>
      <c r="D50" s="48"/>
      <c r="E50" s="48"/>
      <c r="F50" s="48"/>
      <c r="G50" s="19"/>
      <c r="H50" s="19"/>
      <c r="I50" s="19"/>
      <c r="J50" s="19"/>
      <c r="K50" s="19"/>
      <c r="L50" s="19"/>
      <c r="M50" s="19"/>
      <c r="N50" s="19"/>
      <c r="O50" s="19"/>
    </row>
    <row r="51" spans="2:15" ht="72" customHeight="1" x14ac:dyDescent="0.25">
      <c r="B51" s="48" t="s">
        <v>44</v>
      </c>
      <c r="C51" s="48"/>
      <c r="D51" s="48"/>
      <c r="E51" s="48"/>
      <c r="F51" s="48"/>
      <c r="G51" s="19"/>
      <c r="H51" s="19"/>
      <c r="I51" s="19"/>
      <c r="J51" s="19"/>
      <c r="K51" s="19"/>
      <c r="L51" s="19"/>
      <c r="M51" s="19"/>
      <c r="N51" s="19"/>
      <c r="O51" s="19"/>
    </row>
    <row r="52" spans="2:15" ht="24.75" customHeight="1" x14ac:dyDescent="0.25">
      <c r="B52" s="38"/>
      <c r="C52" s="38"/>
      <c r="D52" s="38"/>
      <c r="E52" s="38"/>
      <c r="F52" s="38"/>
      <c r="G52" s="19"/>
      <c r="H52" s="19"/>
      <c r="I52" s="19"/>
      <c r="J52" s="19"/>
      <c r="K52" s="19"/>
      <c r="L52" s="19"/>
      <c r="M52" s="19"/>
      <c r="N52" s="19"/>
      <c r="O52" s="19"/>
    </row>
    <row r="53" spans="2:15" ht="24.75" customHeight="1" x14ac:dyDescent="0.25">
      <c r="B53" s="38"/>
      <c r="C53" s="38"/>
      <c r="D53" s="38"/>
      <c r="E53" s="38"/>
      <c r="F53" s="38"/>
      <c r="G53" s="19"/>
      <c r="H53" s="19"/>
      <c r="I53" s="19"/>
      <c r="J53" s="19"/>
      <c r="K53" s="19"/>
      <c r="L53" s="19"/>
      <c r="M53" s="19"/>
      <c r="N53" s="19"/>
      <c r="O53" s="19"/>
    </row>
    <row r="54" spans="2:15" ht="24.75" customHeight="1" x14ac:dyDescent="0.25">
      <c r="B54" s="38"/>
      <c r="C54" s="38"/>
      <c r="D54" s="38"/>
      <c r="E54" s="38"/>
      <c r="F54" s="38"/>
      <c r="G54" s="19"/>
      <c r="H54" s="19"/>
      <c r="I54" s="19"/>
      <c r="J54" s="19"/>
      <c r="K54" s="19"/>
      <c r="L54" s="19"/>
      <c r="M54" s="19"/>
      <c r="N54" s="19"/>
      <c r="O54" s="19"/>
    </row>
    <row r="55" spans="2:15" x14ac:dyDescent="0.25">
      <c r="B55" s="20"/>
      <c r="C55" s="20"/>
      <c r="D55" s="20"/>
      <c r="E55" s="20"/>
      <c r="F55" s="20"/>
      <c r="G55" s="19"/>
      <c r="H55" s="19"/>
      <c r="I55" s="19"/>
      <c r="J55" s="19"/>
      <c r="K55" s="19"/>
      <c r="L55" s="19"/>
      <c r="M55" s="19"/>
      <c r="N55" s="19"/>
      <c r="O55" s="19"/>
    </row>
    <row r="56" spans="2:15" x14ac:dyDescent="0.25">
      <c r="B56" s="6" t="s">
        <v>29</v>
      </c>
      <c r="C56" s="6"/>
      <c r="D56" s="47" t="s">
        <v>48</v>
      </c>
      <c r="E56" s="47"/>
      <c r="F56" s="47"/>
      <c r="G56" s="19"/>
      <c r="H56" s="19"/>
      <c r="I56" s="19"/>
      <c r="J56" s="19"/>
      <c r="K56" s="19"/>
      <c r="L56" s="19"/>
      <c r="M56" s="19"/>
      <c r="N56" s="19"/>
      <c r="O56" s="19"/>
    </row>
    <row r="57" spans="2:15" x14ac:dyDescent="0.25">
      <c r="B57" s="8"/>
      <c r="C57" s="8"/>
      <c r="D57" s="21"/>
      <c r="E57" s="21"/>
      <c r="F57" s="21"/>
      <c r="G57" s="19"/>
      <c r="H57" s="19"/>
      <c r="I57" s="19"/>
      <c r="J57" s="19"/>
      <c r="K57" s="19"/>
      <c r="L57" s="19"/>
      <c r="M57" s="19"/>
      <c r="N57" s="19"/>
      <c r="O57" s="19"/>
    </row>
    <row r="58" spans="2:15" x14ac:dyDescent="0.25">
      <c r="B58" s="8"/>
      <c r="C58" s="8"/>
      <c r="D58" s="21"/>
      <c r="E58" s="21"/>
      <c r="F58" s="21"/>
      <c r="G58" s="19"/>
      <c r="H58" s="19"/>
      <c r="I58" s="19"/>
      <c r="J58" s="19"/>
      <c r="K58" s="19"/>
      <c r="L58" s="19"/>
      <c r="M58" s="19"/>
      <c r="N58" s="19"/>
      <c r="O58" s="19"/>
    </row>
    <row r="59" spans="2:15" x14ac:dyDescent="0.25">
      <c r="B59" s="12" t="s">
        <v>64</v>
      </c>
      <c r="C59" s="12"/>
      <c r="D59" s="21"/>
      <c r="E59" s="21"/>
      <c r="F59" s="21"/>
    </row>
    <row r="60" spans="2:15" x14ac:dyDescent="0.25">
      <c r="B60" s="23" t="s">
        <v>47</v>
      </c>
      <c r="C60" s="42" t="s">
        <v>49</v>
      </c>
      <c r="D60" s="43"/>
      <c r="E60" s="43"/>
      <c r="F60" s="43"/>
    </row>
    <row r="61" spans="2:15" x14ac:dyDescent="0.25">
      <c r="B61" s="13"/>
      <c r="C61" s="13"/>
      <c r="D61" s="21"/>
      <c r="E61" s="21"/>
      <c r="F61" s="21"/>
    </row>
    <row r="62" spans="2:15" x14ac:dyDescent="0.25">
      <c r="B62" s="45"/>
      <c r="C62" s="45"/>
      <c r="D62" s="46"/>
      <c r="E62" s="46"/>
      <c r="F62" s="46"/>
    </row>
    <row r="63" spans="2:15" x14ac:dyDescent="0.25">
      <c r="B63" s="46"/>
      <c r="C63" s="46"/>
      <c r="D63" s="46"/>
      <c r="E63" s="46"/>
      <c r="F63" s="46"/>
    </row>
    <row r="64" spans="2:15" x14ac:dyDescent="0.25">
      <c r="B64" s="46"/>
      <c r="C64" s="46"/>
      <c r="D64" s="46"/>
      <c r="E64" s="46"/>
      <c r="F64" s="46"/>
    </row>
    <row r="65" spans="2:6" x14ac:dyDescent="0.25">
      <c r="B65" s="46"/>
      <c r="C65" s="46"/>
      <c r="D65" s="46"/>
      <c r="E65" s="46"/>
      <c r="F65" s="46"/>
    </row>
    <row r="66" spans="2:6" x14ac:dyDescent="0.25">
      <c r="B66" s="19"/>
      <c r="C66" s="19"/>
      <c r="D66" s="19"/>
      <c r="E66" s="19"/>
      <c r="F66" s="19"/>
    </row>
    <row r="67" spans="2:6" x14ac:dyDescent="0.25">
      <c r="B67" s="19"/>
      <c r="C67" s="19"/>
      <c r="D67" s="19"/>
      <c r="E67" s="19"/>
      <c r="F67" s="19"/>
    </row>
    <row r="68" spans="2:6" x14ac:dyDescent="0.25">
      <c r="B68" s="19"/>
      <c r="C68" s="19"/>
      <c r="D68" s="19"/>
      <c r="E68" s="19"/>
      <c r="F68" s="19"/>
    </row>
    <row r="69" spans="2:6" x14ac:dyDescent="0.25">
      <c r="B69" s="19"/>
      <c r="C69" s="19"/>
      <c r="D69" s="19"/>
      <c r="E69" s="19"/>
      <c r="F69" s="19"/>
    </row>
  </sheetData>
  <mergeCells count="17">
    <mergeCell ref="B10:F10"/>
    <mergeCell ref="C60:F60"/>
    <mergeCell ref="B8:F8"/>
    <mergeCell ref="B62:F65"/>
    <mergeCell ref="D56:F56"/>
    <mergeCell ref="B47:F47"/>
    <mergeCell ref="B48:F48"/>
    <mergeCell ref="B49:F49"/>
    <mergeCell ref="B50:F50"/>
    <mergeCell ref="B51:F51"/>
    <mergeCell ref="B45:F45"/>
    <mergeCell ref="B16:F16"/>
    <mergeCell ref="B18:F18"/>
    <mergeCell ref="B19:F19"/>
    <mergeCell ref="B14:F14"/>
    <mergeCell ref="B17:F17"/>
    <mergeCell ref="B11:F11"/>
  </mergeCells>
  <pageMargins left="0.70866141732283472" right="0.11811023622047245" top="0.74803149606299213" bottom="0.74803149606299213" header="0.31496062992125984" footer="0.31496062992125984"/>
  <pageSetup paperSize="9"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2026-08-05T20:23:56Z</cp:lastPrinted>
  <dcterms:created xsi:type="dcterms:W3CDTF">2020-12-14T19:54:01Z</dcterms:created>
  <dcterms:modified xsi:type="dcterms:W3CDTF">2026-08-05T20:24:13Z</dcterms:modified>
</cp:coreProperties>
</file>