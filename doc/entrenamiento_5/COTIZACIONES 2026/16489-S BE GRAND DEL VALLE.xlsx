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6DF78A7-EDB0-4B92-8C34-2CF5CE642A0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F22" i="3" s="1"/>
  <c r="F23" i="3" l="1"/>
  <c r="F24" i="3" s="1"/>
  <c r="E19" i="1"/>
  <c r="E17" i="1"/>
  <c r="E21" i="1" l="1"/>
  <c r="E22" i="1" s="1"/>
  <c r="E23" i="1" s="1"/>
</calcChain>
</file>

<file path=xl/sharedStrings.xml><?xml version="1.0" encoding="utf-8"?>
<sst xmlns="http://schemas.openxmlformats.org/spreadsheetml/2006/main" count="73" uniqueCount="65">
  <si>
    <t xml:space="preserve">P  R  E  S  E  N  T  E                                                                                                 </t>
  </si>
  <si>
    <t xml:space="preserve">         </t>
  </si>
  <si>
    <t>AT´N: ING. HECTOR AGUIRRE CISNEROS</t>
  </si>
  <si>
    <t>OBRA: HOSPITAL C.H. 57 IGUALA DE LA INDEPENDENCIA, EDO. DE GUERRERO</t>
  </si>
  <si>
    <t>PRES. REF. 13331/2020</t>
  </si>
  <si>
    <t xml:space="preserve">     </t>
  </si>
  <si>
    <r>
      <t>PRESENTAMOS  A  SU AMABLE  CONSIDERACIÓN EL PRESUPUESTO DE SUMINISTRO Y APLICACIÓN  DE  LOS SIGUIENTES CONCEPTOS.</t>
    </r>
    <r>
      <rPr>
        <b/>
        <sz val="8"/>
        <color theme="1"/>
        <rFont val="Times New Roman"/>
        <family val="1"/>
      </rPr>
      <t xml:space="preserve">                                                   </t>
    </r>
  </si>
  <si>
    <t>1.-</t>
  </si>
  <si>
    <t>2.-</t>
  </si>
  <si>
    <r>
      <t>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</si>
  <si>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SUMINISTRO Y APLICACIÓN DE PINTURA ANTIBACTERIAL PROTECT PLUS  REF-S.M.A EN MUROS CON APLANADO FINO DE MEZCLA Y/O SUPERFICIE LISA, INCLUYE:</t>
    </r>
    <r>
      <rPr>
        <sz val="9"/>
        <color theme="1"/>
        <rFont val="Calibri"/>
        <family val="2"/>
        <scheme val="minor"/>
      </rPr>
      <t xml:space="preserve"> </t>
    </r>
    <r>
      <rPr>
        <sz val="9"/>
        <color theme="1"/>
        <rFont val="Times New Roman"/>
        <family val="1"/>
      </rPr>
      <t>LIMPIEZA, LIJADO Y/O REBABEO DE MURO, SEGÚN SEA EL CASO; APLICACIÓN DE SELLADOR ACRÍLICO 4648 A MANO CON RODILLO DE FELPA Y BROCHA,  APLICACIÓN DE PINTURA ANTIBACTERIAL  PROTECT PLUS  REF- S.M.A., A MANO CON RODILLO DE FELPA Y/O LLANA METALICA,   APLICACIÓN DE VITROGLASS ECOLÓGICO CON RODILLO DE FELPA Y BROCHA, O POR ASPERSIÓN DE AIRE,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</si>
  <si>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 xml:space="preserve"> </t>
  </si>
  <si>
    <t>IMPORTE:</t>
  </si>
  <si>
    <t>16% I.V.A.</t>
  </si>
  <si>
    <t>T O T A L</t>
  </si>
  <si>
    <r>
      <t xml:space="preserve">FORMA DE PAGO Y CONSIDERACIONES GENERALES CORRESPONDIENTES AL PRESUPUESTO </t>
    </r>
    <r>
      <rPr>
        <b/>
        <sz val="8"/>
        <color theme="1"/>
        <rFont val="Times New Roman"/>
        <family val="1"/>
      </rPr>
      <t>REF. 13331/2020.</t>
    </r>
  </si>
  <si>
    <r>
      <t>OBRA</t>
    </r>
    <r>
      <rPr>
        <b/>
        <sz val="9"/>
        <color theme="1"/>
        <rFont val="Times New Roman"/>
        <family val="1"/>
      </rPr>
      <t>:</t>
    </r>
    <r>
      <rPr>
        <b/>
        <sz val="8"/>
        <color theme="1"/>
        <rFont val="Times New Roman"/>
        <family val="1"/>
      </rPr>
      <t xml:space="preserve"> HOSPITAL C.H. 57 IGUALA DE LA INDEPENDENCIA, EDO. DE GUERRERO</t>
    </r>
  </si>
  <si>
    <t>FORMA DE PAGO</t>
  </si>
  <si>
    <r>
      <t xml:space="preserve">EN CASO DE SER ACEPTADO EL PRESENTE PRESUPUESTO REQUERIMOS DEL </t>
    </r>
    <r>
      <rPr>
        <b/>
        <sz val="8"/>
        <color theme="1"/>
        <rFont val="Times New Roman"/>
        <family val="1"/>
      </rPr>
      <t>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</si>
  <si>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</si>
  <si>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</si>
  <si>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</si>
  <si>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</si>
  <si>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</si>
  <si>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</si>
  <si>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</si>
  <si>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</si>
  <si>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</si>
  <si>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</si>
  <si>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</si>
  <si>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</si>
  <si>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</si>
  <si>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CIUDAD DE MEXICO A 9 DE DICIEMBRE DEL 2020</t>
  </si>
  <si>
    <t>CANTIDAD</t>
  </si>
  <si>
    <t>IMPORTE</t>
  </si>
  <si>
    <t>CONCEPTO</t>
  </si>
  <si>
    <r>
      <t xml:space="preserve">PRECIO  U.                </t>
    </r>
    <r>
      <rPr>
        <sz val="8"/>
        <color theme="1"/>
        <rFont val="Times New Roman"/>
        <family val="1"/>
      </rPr>
      <t xml:space="preserve">       </t>
    </r>
  </si>
  <si>
    <t>CONSTRUCCIONES, MANTENIMIENTO Y PROYECTOS ROMACO, S.A. DE C.V.</t>
  </si>
  <si>
    <t>M2</t>
  </si>
  <si>
    <t xml:space="preserve"> M2</t>
  </si>
  <si>
    <t>ATENTAMENTE</t>
  </si>
  <si>
    <t>ACEPTO</t>
  </si>
  <si>
    <t xml:space="preserve">NOTAS: </t>
  </si>
  <si>
    <t xml:space="preserve">           ____________________________________               _______________________________________</t>
  </si>
  <si>
    <r>
      <t xml:space="preserve">                          ING. HECTOR AGUIRRE CISNEROS  </t>
    </r>
    <r>
      <rPr>
        <b/>
        <sz val="9"/>
        <color theme="1"/>
        <rFont val="Times New Roman"/>
        <family val="1"/>
      </rPr>
      <t xml:space="preserve"> </t>
    </r>
    <r>
      <rPr>
        <sz val="9"/>
        <color theme="1"/>
        <rFont val="Times New Roman"/>
        <family val="1"/>
      </rPr>
      <t xml:space="preserve">                                    CHISA RECUBRIMIENTOS, S.A. DE C.V</t>
    </r>
  </si>
  <si>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</si>
  <si>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</si>
  <si>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</si>
  <si>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</si>
  <si>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</si>
  <si>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</si>
  <si>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</si>
  <si>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</si>
  <si>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</si>
  <si>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</si>
  <si>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</si>
  <si>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CONSTRUCTORA: BE GRAND DEL VALLE</t>
  </si>
  <si>
    <t xml:space="preserve">PRESENTAMOS A SU AMABLE CONSIDERACIÓN EL PRESUPUESTO DE SUMINISTRO  DE LOS SIGUIENTES MATERIALES: </t>
  </si>
  <si>
    <t>1.- DECOPASTA (REND. 16-18M2)</t>
  </si>
  <si>
    <t xml:space="preserve">                        CHISA RECUBRIMIENTOS, S.A DE C.V</t>
  </si>
  <si>
    <t>CIUDAD DE MEXICO A 14 DE ABRIL DEL 2025</t>
  </si>
  <si>
    <t>AT´N: ING. MAURICIO BECERRIL</t>
  </si>
  <si>
    <t xml:space="preserve">OBRA: HOTEL BE GRAND </t>
  </si>
  <si>
    <t>PRES. REF. 16489-S/2025CG</t>
  </si>
  <si>
    <t xml:space="preserve">                        ING. MAURICIO BECERRIL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</si>
</sst>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9"/>
      <color theme="1"/>
      <name val="Calibri"/>
      <family val="2"/>
      <scheme val="minor"/>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8" fillId="0" borderId="0" applyFont="0" applyFill="0" applyBorder="0" applyAlignment="0" applyProtection="0"/>
  </cellStyleXfs>
  <cellXfs count="5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0" fontId="0" fillId="0" borderId="0" xfId="0" applyAlignment="1">
      <alignment horizontal="justify" vertical="top"/>
    </xf>
    <xf numFmtId="8" fontId="1" fillId="0" borderId="0" xfId="0" applyNumberFormat="1" applyFont="1" applyAlignment="1">
      <alignment horizontal="justify" wrapText="1"/>
    </xf>
    <xf numFmtId="0" fontId="0" fillId="0" borderId="0" xfId="0" applyAlignment="1">
      <alignment horizontal="justify" vertical="top" wrapText="1"/>
    </xf>
    <xf numFmtId="0" fontId="7" fillId="0" borderId="0" xfId="0" applyFont="1" applyAlignment="1">
      <alignment horizontal="justify" vertical="center"/>
    </xf>
    <xf numFmtId="0" fontId="5" fillId="0" borderId="0" xfId="0" applyFont="1" applyAlignment="1">
      <alignment horizontal="right" vertical="top" wrapText="1"/>
    </xf>
    <xf numFmtId="0" fontId="0" fillId="0" borderId="0" xfId="0" applyAlignment="1">
      <alignment horizontal="right"/>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9"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right" vertical="center"/>
    </xf>
    <xf numFmtId="1" fontId="1" fillId="0" borderId="0" xfId="0" applyNumberFormat="1"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10" fillId="0" borderId="0" xfId="0" applyFont="1" applyAlignment="1">
      <alignment horizontal="center" wrapText="1"/>
    </xf>
    <xf numFmtId="0" fontId="9" fillId="0" borderId="0" xfId="0" applyFont="1" applyAlignment="1">
      <alignment horizontal="center" wrapText="1"/>
    </xf>
    <xf numFmtId="0" fontId="1" fillId="0" borderId="0" xfId="0" applyFont="1"/>
    <xf numFmtId="0" fontId="1" fillId="0" borderId="0" xfId="0" applyFont="1" applyAlignment="1">
      <alignment horizontal="left" wrapText="1"/>
    </xf>
    <xf numFmtId="0" fontId="0" fillId="0" borderId="0" xfId="0" applyAlignment="1">
      <alignment horizontal="left" wrapText="1"/>
    </xf>
    <xf numFmtId="0" fontId="3" fillId="0" borderId="0" xfId="0" applyFont="1" applyAlignment="1">
      <alignment horizontal="left" vertical="center"/>
    </xf>
    <xf numFmtId="0" fontId="1" fillId="0" borderId="0" xfId="0" applyFont="1" applyAlignment="1">
      <alignment horizontal="justify" vertical="top" wrapText="1"/>
    </xf>
    <xf numFmtId="0" fontId="4" fillId="0" borderId="0" xfId="0" applyFont="1" applyAlignment="1">
      <alignment horizontal="left" vertical="center"/>
    </xf>
    <xf numFmtId="0" fontId="0" fillId="0" borderId="0" xfId="0" applyAlignment="1">
      <alignment horizont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7"/>
  <sheetViews>
    <sheetView zoomScale="80" zoomScaleNormal="80" workbookViewId="0">
      <selection activeCell="B8" sqref="B8:E8"/>
    </sheetView>
  </sheetViews>
  <sheetFormatPr baseColWidth="10" defaultRowHeight="15" x14ac:dyDescent="0.25"/>
  <cols>
    <col min="1" max="1" width="3.7109375" customWidth="1"/>
    <col min="2" max="2" width="53.140625" customWidth="1"/>
    <col min="4" max="4" width="11.5703125" customWidth="1"/>
    <col min="5" max="5" width="15.42578125" customWidth="1"/>
    <col min="7" max="7" width="12.28515625" bestFit="1" customWidth="1"/>
  </cols>
  <sheetData>
    <row r="2" spans="1:8" x14ac:dyDescent="0.25">
      <c r="B2" s="41" t="s">
        <v>32</v>
      </c>
      <c r="C2" s="41"/>
      <c r="D2" s="41"/>
      <c r="E2" s="41"/>
      <c r="F2" s="8"/>
    </row>
    <row r="3" spans="1:8" x14ac:dyDescent="0.25">
      <c r="B3" s="1"/>
    </row>
    <row r="4" spans="1:8" x14ac:dyDescent="0.25">
      <c r="B4" s="1" t="s">
        <v>37</v>
      </c>
    </row>
    <row r="5" spans="1:8" x14ac:dyDescent="0.25">
      <c r="B5" s="1"/>
    </row>
    <row r="6" spans="1:8" x14ac:dyDescent="0.25">
      <c r="B6" s="1" t="s">
        <v>0</v>
      </c>
    </row>
    <row r="7" spans="1:8" x14ac:dyDescent="0.25">
      <c r="B7" s="1" t="s">
        <v>1</v>
      </c>
    </row>
    <row r="8" spans="1:8" x14ac:dyDescent="0.25">
      <c r="B8" s="42" t="s">
        <v>2</v>
      </c>
      <c r="C8" s="42"/>
      <c r="D8" s="42"/>
      <c r="E8" s="42"/>
      <c r="F8" s="1"/>
      <c r="G8" s="1"/>
      <c r="H8" s="1"/>
    </row>
    <row r="9" spans="1:8" x14ac:dyDescent="0.25">
      <c r="B9" s="2"/>
    </row>
    <row r="10" spans="1:8" x14ac:dyDescent="0.25">
      <c r="B10" s="2"/>
    </row>
    <row r="11" spans="1:8" x14ac:dyDescent="0.25">
      <c r="A11" s="11"/>
      <c r="B11" s="43" t="s">
        <v>3</v>
      </c>
      <c r="C11" s="43"/>
      <c r="D11" s="43"/>
      <c r="E11" s="43"/>
    </row>
    <row r="12" spans="1:8" x14ac:dyDescent="0.25">
      <c r="A12" s="11"/>
      <c r="B12" s="12" t="s">
        <v>4</v>
      </c>
      <c r="C12" s="11"/>
      <c r="D12" s="11"/>
      <c r="E12" s="11"/>
    </row>
    <row r="13" spans="1:8" x14ac:dyDescent="0.25">
      <c r="A13" s="11"/>
      <c r="B13" s="13" t="s">
        <v>5</v>
      </c>
      <c r="C13" s="11"/>
      <c r="D13" s="11"/>
      <c r="E13" s="11"/>
    </row>
    <row r="14" spans="1:8" ht="30" customHeight="1" x14ac:dyDescent="0.25">
      <c r="A14" s="11"/>
      <c r="B14" s="51" t="s">
        <v>6</v>
      </c>
      <c r="C14" s="51"/>
      <c r="D14" s="51"/>
      <c r="E14" s="51"/>
      <c r="F14" s="4"/>
      <c r="G14" s="4"/>
      <c r="H14" s="4"/>
    </row>
    <row r="15" spans="1:8" x14ac:dyDescent="0.25">
      <c r="A15" s="11"/>
      <c r="B15" s="3" t="s">
        <v>35</v>
      </c>
      <c r="C15" s="3" t="s">
        <v>33</v>
      </c>
      <c r="D15" s="3" t="s">
        <v>36</v>
      </c>
      <c r="E15" s="3" t="s">
        <v>34</v>
      </c>
      <c r="F15" s="3"/>
      <c r="G15" s="3"/>
      <c r="H15" s="3"/>
    </row>
    <row r="16" spans="1:8" ht="204.75" customHeight="1" x14ac:dyDescent="0.25">
      <c r="A16" s="14" t="s">
        <v>7</v>
      </c>
      <c r="B16" s="10" t="s">
        <v>9</v>
      </c>
      <c r="C16" s="19" t="s">
        <v>38</v>
      </c>
    </row>
    <row r="17" spans="1:7" ht="15" customHeight="1" x14ac:dyDescent="0.25">
      <c r="A17" s="14"/>
      <c r="B17" s="18"/>
      <c r="C17" s="23">
        <v>2603.6</v>
      </c>
      <c r="D17" s="24">
        <v>113.95</v>
      </c>
      <c r="E17" s="24">
        <f>C17*D17</f>
        <v>296680.21999999997</v>
      </c>
    </row>
    <row r="18" spans="1:7" ht="207.75" customHeight="1" x14ac:dyDescent="0.25">
      <c r="A18" s="14" t="s">
        <v>8</v>
      </c>
      <c r="B18" s="10" t="s">
        <v>10</v>
      </c>
      <c r="C18" s="20" t="s">
        <v>39</v>
      </c>
      <c r="E18" s="22"/>
      <c r="F18" s="6"/>
    </row>
    <row r="19" spans="1:7" x14ac:dyDescent="0.25">
      <c r="A19" s="11"/>
      <c r="B19" s="5"/>
      <c r="C19" s="21">
        <v>148.22999999999999</v>
      </c>
      <c r="D19" s="24">
        <v>155.9</v>
      </c>
      <c r="E19" s="24">
        <f>C19*D19</f>
        <v>23109.057000000001</v>
      </c>
      <c r="F19" s="15"/>
    </row>
    <row r="20" spans="1:7" x14ac:dyDescent="0.25">
      <c r="A20" s="11"/>
      <c r="B20" s="5"/>
      <c r="C20" s="21"/>
      <c r="D20" s="22"/>
      <c r="E20" s="24"/>
      <c r="F20" s="15"/>
    </row>
    <row r="21" spans="1:7" x14ac:dyDescent="0.25">
      <c r="A21" s="11"/>
      <c r="B21" s="5"/>
      <c r="C21" s="11"/>
      <c r="D21" s="5" t="s">
        <v>12</v>
      </c>
      <c r="E21" s="25">
        <f>SUM(E16:E20)</f>
        <v>319789.277</v>
      </c>
      <c r="F21" s="6"/>
      <c r="G21" s="25"/>
    </row>
    <row r="22" spans="1:7" x14ac:dyDescent="0.25">
      <c r="A22" s="11"/>
      <c r="B22" s="5"/>
      <c r="C22" s="5"/>
      <c r="D22" s="5" t="s">
        <v>13</v>
      </c>
      <c r="E22" s="25">
        <f>E21*16%</f>
        <v>51166.284319999999</v>
      </c>
      <c r="F22" s="25"/>
      <c r="G22" s="25"/>
    </row>
    <row r="23" spans="1:7" x14ac:dyDescent="0.25">
      <c r="A23" s="11"/>
      <c r="B23" s="5"/>
      <c r="C23" s="16"/>
      <c r="D23" s="5" t="s">
        <v>14</v>
      </c>
      <c r="E23" s="25">
        <f>SUM(E21:E22)</f>
        <v>370955.56131999998</v>
      </c>
      <c r="F23" s="6"/>
      <c r="G23" s="25"/>
    </row>
    <row r="24" spans="1:7" x14ac:dyDescent="0.25">
      <c r="A24" s="11"/>
      <c r="B24" s="5"/>
      <c r="C24" s="16"/>
      <c r="D24" s="5"/>
      <c r="E24" s="5"/>
      <c r="F24" s="6"/>
    </row>
    <row r="25" spans="1:7" x14ac:dyDescent="0.25">
      <c r="A25" s="11"/>
      <c r="B25" s="52" t="s">
        <v>15</v>
      </c>
      <c r="C25" s="52"/>
      <c r="D25" s="52"/>
      <c r="E25" s="52"/>
    </row>
    <row r="26" spans="1:7" x14ac:dyDescent="0.25">
      <c r="A26" s="11"/>
      <c r="B26" s="50" t="s">
        <v>16</v>
      </c>
      <c r="C26" s="50"/>
      <c r="D26" s="50"/>
      <c r="E26" s="50"/>
    </row>
    <row r="27" spans="1:7" x14ac:dyDescent="0.25">
      <c r="A27" s="11"/>
      <c r="B27" s="55" t="s">
        <v>17</v>
      </c>
      <c r="C27" s="55"/>
      <c r="D27" s="55"/>
      <c r="E27" s="55"/>
    </row>
    <row r="28" spans="1:7" ht="69" customHeight="1" x14ac:dyDescent="0.25">
      <c r="A28" s="11"/>
      <c r="B28" s="54" t="s">
        <v>18</v>
      </c>
      <c r="C28" s="54"/>
      <c r="D28" s="54"/>
      <c r="E28" s="54"/>
      <c r="F28" s="6"/>
    </row>
    <row r="29" spans="1:7" x14ac:dyDescent="0.25">
      <c r="A29" s="11"/>
      <c r="B29" s="3" t="s">
        <v>19</v>
      </c>
      <c r="C29" s="11"/>
      <c r="D29" s="11"/>
      <c r="E29" s="11"/>
    </row>
    <row r="30" spans="1:7" ht="40.5" customHeight="1" x14ac:dyDescent="0.25">
      <c r="A30" s="11"/>
      <c r="B30" s="54" t="s">
        <v>20</v>
      </c>
      <c r="C30" s="54"/>
      <c r="D30" s="54"/>
      <c r="E30" s="54"/>
    </row>
    <row r="31" spans="1:7" ht="50.25" customHeight="1" x14ac:dyDescent="0.25">
      <c r="A31" s="11"/>
      <c r="B31" s="56" t="s">
        <v>21</v>
      </c>
      <c r="C31" s="56"/>
      <c r="D31" s="56"/>
      <c r="E31" s="56"/>
    </row>
    <row r="32" spans="1:7" ht="49.5" customHeight="1" x14ac:dyDescent="0.25">
      <c r="A32" s="11"/>
      <c r="B32" s="56" t="s">
        <v>22</v>
      </c>
      <c r="C32" s="56"/>
      <c r="D32" s="56"/>
      <c r="E32" s="56"/>
    </row>
    <row r="33" spans="1:5" ht="27.75" customHeight="1" x14ac:dyDescent="0.25">
      <c r="A33" s="11"/>
      <c r="B33" s="56" t="s">
        <v>23</v>
      </c>
      <c r="C33" s="56"/>
      <c r="D33" s="56"/>
      <c r="E33" s="56"/>
    </row>
    <row r="34" spans="1:5" ht="77.25" customHeight="1" x14ac:dyDescent="0.25">
      <c r="A34" s="11"/>
      <c r="B34" s="54" t="s">
        <v>24</v>
      </c>
      <c r="C34" s="54"/>
      <c r="D34" s="54"/>
      <c r="E34" s="54"/>
    </row>
    <row r="35" spans="1:5" ht="30.75" customHeight="1" x14ac:dyDescent="0.25">
      <c r="A35" s="11"/>
      <c r="B35" s="54" t="s">
        <v>25</v>
      </c>
      <c r="C35" s="54"/>
      <c r="D35" s="54"/>
      <c r="E35" s="54"/>
    </row>
    <row r="36" spans="1:5" ht="57" customHeight="1" x14ac:dyDescent="0.25">
      <c r="A36" s="11"/>
      <c r="B36" s="54" t="s">
        <v>26</v>
      </c>
      <c r="C36" s="54"/>
      <c r="D36" s="54"/>
      <c r="E36" s="54"/>
    </row>
    <row r="37" spans="1:5" ht="24" customHeight="1" x14ac:dyDescent="0.25">
      <c r="A37" s="11"/>
      <c r="B37" s="54" t="s">
        <v>27</v>
      </c>
      <c r="C37" s="54"/>
      <c r="D37" s="54"/>
      <c r="E37" s="11"/>
    </row>
    <row r="38" spans="1:5" ht="94.5" customHeight="1" x14ac:dyDescent="0.25">
      <c r="A38" s="11"/>
      <c r="B38" s="57" t="s">
        <v>28</v>
      </c>
      <c r="C38" s="57"/>
      <c r="D38" s="57"/>
      <c r="E38" s="57"/>
    </row>
    <row r="39" spans="1:5" ht="24.75" customHeight="1" x14ac:dyDescent="0.25">
      <c r="A39" s="11"/>
      <c r="B39" s="54" t="s">
        <v>29</v>
      </c>
      <c r="C39" s="54"/>
      <c r="D39" s="54"/>
      <c r="E39" s="54"/>
    </row>
    <row r="40" spans="1:5" x14ac:dyDescent="0.25">
      <c r="A40" s="11"/>
      <c r="B40" s="13" t="s">
        <v>30</v>
      </c>
      <c r="C40" s="11"/>
      <c r="D40" s="11"/>
      <c r="E40" s="11"/>
    </row>
    <row r="41" spans="1:5" x14ac:dyDescent="0.25">
      <c r="A41" s="11"/>
      <c r="B41" s="13" t="s">
        <v>31</v>
      </c>
      <c r="C41" s="11"/>
      <c r="D41" s="11"/>
      <c r="E41" s="11"/>
    </row>
    <row r="42" spans="1:5" x14ac:dyDescent="0.25">
      <c r="A42" s="11"/>
      <c r="B42" s="9" t="s">
        <v>41</v>
      </c>
      <c r="C42" s="53" t="s">
        <v>40</v>
      </c>
      <c r="D42" s="53"/>
      <c r="E42" s="53"/>
    </row>
    <row r="43" spans="1:5" x14ac:dyDescent="0.25">
      <c r="A43" s="11"/>
      <c r="B43" s="17"/>
      <c r="C43" s="11"/>
      <c r="D43" s="11"/>
      <c r="E43" s="11"/>
    </row>
    <row r="44" spans="1:5" x14ac:dyDescent="0.25">
      <c r="A44" s="11"/>
      <c r="B44" s="13"/>
      <c r="C44" s="11"/>
      <c r="D44" s="11"/>
      <c r="E44" s="11"/>
    </row>
    <row r="45" spans="1:5" x14ac:dyDescent="0.25">
      <c r="A45" s="11"/>
      <c r="B45" s="27" t="s">
        <v>43</v>
      </c>
      <c r="C45" s="11"/>
      <c r="D45" s="11"/>
      <c r="E45" s="11"/>
    </row>
    <row r="46" spans="1:5" x14ac:dyDescent="0.25">
      <c r="A46" s="11"/>
      <c r="B46" s="28" t="s">
        <v>44</v>
      </c>
      <c r="C46" s="11"/>
      <c r="D46" s="11"/>
      <c r="E46" s="11"/>
    </row>
    <row r="47" spans="1:5" x14ac:dyDescent="0.25">
      <c r="A47" s="11"/>
      <c r="B47" s="28"/>
      <c r="C47" s="11"/>
      <c r="D47" s="11"/>
      <c r="E47" s="11"/>
    </row>
    <row r="48" spans="1:5" x14ac:dyDescent="0.25">
      <c r="A48" s="11"/>
      <c r="B48" s="26"/>
      <c r="C48" s="11"/>
      <c r="D48" s="11"/>
      <c r="E48" s="11"/>
    </row>
    <row r="49" spans="1:5" x14ac:dyDescent="0.25">
      <c r="A49" s="11"/>
      <c r="B49" s="7"/>
      <c r="C49" s="11"/>
      <c r="D49" s="11"/>
      <c r="E49" s="11"/>
    </row>
    <row r="54" spans="1:5" x14ac:dyDescent="0.25">
      <c r="B54" s="7"/>
    </row>
    <row r="55" spans="1:5" x14ac:dyDescent="0.25">
      <c r="B55" s="7" t="s">
        <v>11</v>
      </c>
    </row>
    <row r="57" spans="1:5" x14ac:dyDescent="0.25">
      <c r="B57" s="3"/>
    </row>
  </sheetData>
  <mergeCells count="19">
    <mergeCell ref="C42:E42"/>
    <mergeCell ref="B39:E39"/>
    <mergeCell ref="B27:E27"/>
    <mergeCell ref="B28:E28"/>
    <mergeCell ref="B30:E30"/>
    <mergeCell ref="B31:E31"/>
    <mergeCell ref="B34:E34"/>
    <mergeCell ref="B35:E35"/>
    <mergeCell ref="B36:E36"/>
    <mergeCell ref="B38:E38"/>
    <mergeCell ref="B37:D37"/>
    <mergeCell ref="B32:E32"/>
    <mergeCell ref="B33:E33"/>
    <mergeCell ref="B26:E26"/>
    <mergeCell ref="B14:E14"/>
    <mergeCell ref="B8:E8"/>
    <mergeCell ref="B2:E2"/>
    <mergeCell ref="B11:E11"/>
    <mergeCell ref="B25:E25"/>
  </mergeCells>
  <pageMargins left="0.25" right="0.25"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6"/>
  <sheetViews>
    <sheetView tabSelected="1" topLeftCell="A34" zoomScaleNormal="100" zoomScalePageLayoutView="50" workbookViewId="0">
      <selection activeCell="C43" sqref="C43"/>
    </sheetView>
  </sheetViews>
  <sheetFormatPr baseColWidth="10" defaultRowHeight="15" x14ac:dyDescent="0.25"/>
  <cols>
    <col min="1" max="1" width="5.85546875" style="30" customWidth="1"/>
    <col min="2" max="2" width="52.140625" customWidth="1"/>
    <col min="3" max="3" width="14.28515625" customWidth="1"/>
    <col min="4" max="4" width="11.42578125" customWidth="1"/>
    <col min="5" max="5" width="9.85546875" bestFit="1" customWidth="1"/>
    <col min="6" max="6" width="11.42578125" customWidth="1"/>
  </cols>
  <sheetData>
    <row r="4" spans="2:6" x14ac:dyDescent="0.25">
      <c r="B4" s="34"/>
      <c r="C4" s="34"/>
      <c r="D4" s="34"/>
      <c r="E4" s="34"/>
      <c r="F4" s="34"/>
    </row>
    <row r="5" spans="2:6" x14ac:dyDescent="0.25">
      <c r="B5" s="34"/>
      <c r="C5" s="34"/>
      <c r="D5" s="34"/>
      <c r="E5" s="34"/>
      <c r="F5" s="34"/>
    </row>
    <row r="6" spans="2:6" x14ac:dyDescent="0.25">
      <c r="B6" s="41" t="s">
        <v>60</v>
      </c>
      <c r="C6" s="41"/>
      <c r="D6" s="41"/>
      <c r="E6" s="41"/>
      <c r="F6" s="41"/>
    </row>
    <row r="7" spans="2:6" x14ac:dyDescent="0.25">
      <c r="B7" s="39"/>
      <c r="C7" s="39"/>
      <c r="D7" s="39"/>
      <c r="E7" s="39"/>
      <c r="F7" s="39"/>
    </row>
    <row r="8" spans="2:6" x14ac:dyDescent="0.25">
      <c r="B8" s="1" t="s">
        <v>56</v>
      </c>
      <c r="C8" s="1"/>
      <c r="D8" s="34"/>
      <c r="E8" s="34"/>
      <c r="F8" s="34"/>
    </row>
    <row r="9" spans="2:6" x14ac:dyDescent="0.25">
      <c r="B9" s="1" t="s">
        <v>0</v>
      </c>
      <c r="C9" s="1"/>
      <c r="D9" s="34"/>
      <c r="E9" s="34"/>
      <c r="F9" s="34"/>
    </row>
    <row r="10" spans="2:6" x14ac:dyDescent="0.25">
      <c r="B10" s="1"/>
      <c r="C10" s="1"/>
      <c r="D10" s="34"/>
      <c r="E10" s="34"/>
      <c r="F10" s="34"/>
    </row>
    <row r="11" spans="2:6" x14ac:dyDescent="0.25">
      <c r="B11" s="42" t="s">
        <v>61</v>
      </c>
      <c r="C11" s="42"/>
      <c r="D11" s="42"/>
      <c r="E11" s="42"/>
      <c r="F11" s="42"/>
    </row>
    <row r="12" spans="2:6" x14ac:dyDescent="0.25">
      <c r="B12" s="2"/>
      <c r="C12" s="2"/>
      <c r="D12" s="2"/>
      <c r="E12" s="2"/>
      <c r="F12" s="2"/>
    </row>
    <row r="13" spans="2:6" x14ac:dyDescent="0.25">
      <c r="B13" s="43" t="s">
        <v>62</v>
      </c>
      <c r="C13" s="43"/>
      <c r="D13" s="43"/>
      <c r="E13" s="43"/>
      <c r="F13" s="43"/>
    </row>
    <row r="14" spans="2:6" ht="12.75" customHeight="1" x14ac:dyDescent="0.25">
      <c r="B14" s="12" t="s">
        <v>63</v>
      </c>
      <c r="C14" s="12"/>
      <c r="D14" s="35"/>
      <c r="E14" s="35"/>
      <c r="F14" s="35"/>
    </row>
    <row r="15" spans="2:6" ht="13.5" customHeight="1" x14ac:dyDescent="0.25">
      <c r="B15" s="13" t="s">
        <v>5</v>
      </c>
      <c r="C15" s="13"/>
      <c r="D15" s="35"/>
      <c r="E15" s="35"/>
      <c r="F15" s="35"/>
    </row>
    <row r="16" spans="2:6" ht="24" customHeight="1" x14ac:dyDescent="0.25">
      <c r="B16" s="44" t="s">
        <v>57</v>
      </c>
      <c r="C16" s="44"/>
      <c r="D16" s="44"/>
      <c r="E16" s="44"/>
      <c r="F16" s="44"/>
    </row>
    <row r="17" spans="2:8" x14ac:dyDescent="0.25">
      <c r="B17" s="12" t="s">
        <v>35</v>
      </c>
      <c r="C17" s="12"/>
      <c r="D17" s="32" t="s">
        <v>33</v>
      </c>
      <c r="E17" s="32" t="s">
        <v>47</v>
      </c>
      <c r="F17" s="2" t="s">
        <v>34</v>
      </c>
    </row>
    <row r="18" spans="2:8" x14ac:dyDescent="0.25">
      <c r="B18" s="12"/>
      <c r="C18" s="12"/>
      <c r="D18" s="2"/>
      <c r="E18" s="2"/>
      <c r="F18" s="2"/>
    </row>
    <row r="19" spans="2:8" x14ac:dyDescent="0.25">
      <c r="B19" s="10" t="s">
        <v>58</v>
      </c>
      <c r="C19" s="37" t="s">
        <v>45</v>
      </c>
      <c r="D19" s="40">
        <v>1</v>
      </c>
      <c r="E19" s="36">
        <v>804.86</v>
      </c>
      <c r="F19" s="24">
        <f t="shared" ref="F19" si="0">E19*D19</f>
        <v>804.86</v>
      </c>
    </row>
    <row r="20" spans="2:8" x14ac:dyDescent="0.25">
      <c r="B20" s="18"/>
      <c r="C20" s="18"/>
      <c r="D20" s="21"/>
      <c r="E20" s="24"/>
      <c r="F20" s="24"/>
    </row>
    <row r="21" spans="2:8" x14ac:dyDescent="0.25">
      <c r="B21" s="5"/>
      <c r="C21" s="5"/>
      <c r="D21" s="21"/>
      <c r="E21" s="22"/>
      <c r="F21" s="24"/>
    </row>
    <row r="22" spans="2:8" x14ac:dyDescent="0.25">
      <c r="B22" s="5"/>
      <c r="C22" s="5"/>
      <c r="D22" s="35"/>
      <c r="E22" s="5" t="s">
        <v>12</v>
      </c>
      <c r="F22" s="25">
        <f>SUM(F19:F21)</f>
        <v>804.86</v>
      </c>
    </row>
    <row r="23" spans="2:8" x14ac:dyDescent="0.25">
      <c r="B23" s="5"/>
      <c r="C23" s="5"/>
      <c r="D23" s="5"/>
      <c r="E23" s="5" t="s">
        <v>13</v>
      </c>
      <c r="F23" s="25">
        <f>F22*0.16</f>
        <v>128.77760000000001</v>
      </c>
    </row>
    <row r="24" spans="2:8" x14ac:dyDescent="0.25">
      <c r="B24" s="5"/>
      <c r="C24" s="5"/>
      <c r="D24" s="31"/>
      <c r="E24" s="5" t="s">
        <v>14</v>
      </c>
      <c r="F24" s="25">
        <f>SUM(F22:F23)</f>
        <v>933.63760000000002</v>
      </c>
    </row>
    <row r="25" spans="2:8" x14ac:dyDescent="0.25">
      <c r="B25" s="5"/>
      <c r="C25" s="5"/>
      <c r="D25" s="31"/>
      <c r="E25" s="5"/>
      <c r="F25" s="25"/>
    </row>
    <row r="26" spans="2:8" x14ac:dyDescent="0.25">
      <c r="B26" s="1" t="s">
        <v>42</v>
      </c>
      <c r="C26" s="1"/>
      <c r="D26" s="34"/>
      <c r="E26" s="34"/>
      <c r="F26" s="34"/>
    </row>
    <row r="27" spans="2:8" ht="39" customHeight="1" x14ac:dyDescent="0.25">
      <c r="B27" s="44" t="s">
        <v>48</v>
      </c>
      <c r="C27" s="44"/>
      <c r="D27" s="44"/>
      <c r="E27" s="44"/>
      <c r="F27" s="44"/>
    </row>
    <row r="28" spans="2:8" ht="17.25" customHeight="1" x14ac:dyDescent="0.25">
      <c r="B28" s="44" t="s">
        <v>49</v>
      </c>
      <c r="C28" s="44"/>
      <c r="D28" s="44"/>
      <c r="E28" s="44"/>
      <c r="F28" s="44"/>
    </row>
    <row r="29" spans="2:8" ht="15" customHeight="1" x14ac:dyDescent="0.25">
      <c r="B29" s="44" t="s">
        <v>50</v>
      </c>
      <c r="C29" s="44"/>
      <c r="D29" s="44"/>
      <c r="E29" s="44"/>
      <c r="F29" s="44"/>
    </row>
    <row r="30" spans="2:8" ht="18" customHeight="1" x14ac:dyDescent="0.25">
      <c r="B30" s="44" t="s">
        <v>51</v>
      </c>
      <c r="C30" s="44"/>
      <c r="D30" s="44"/>
      <c r="E30" s="44"/>
      <c r="F30" s="44"/>
    </row>
    <row r="31" spans="2:8" ht="96.75" customHeight="1" x14ac:dyDescent="0.25">
      <c r="B31" s="44" t="s">
        <v>52</v>
      </c>
      <c r="C31" s="44"/>
      <c r="D31" s="44"/>
      <c r="E31" s="44"/>
      <c r="F31" s="44"/>
    </row>
    <row r="32" spans="2:8" x14ac:dyDescent="0.25">
      <c r="B32" s="34"/>
      <c r="C32" s="34"/>
      <c r="D32" s="34"/>
      <c r="E32" s="34"/>
      <c r="F32" s="34"/>
      <c r="H32" s="29"/>
    </row>
    <row r="33" spans="2:15" x14ac:dyDescent="0.25">
      <c r="B33" s="8" t="s">
        <v>53</v>
      </c>
      <c r="C33" s="8"/>
      <c r="D33" s="47" t="s">
        <v>54</v>
      </c>
      <c r="E33" s="47"/>
      <c r="F33" s="47"/>
    </row>
    <row r="34" spans="2:15" x14ac:dyDescent="0.25">
      <c r="B34" s="13"/>
      <c r="C34" s="13"/>
      <c r="D34" s="35"/>
      <c r="E34" s="35"/>
      <c r="F34" s="35"/>
    </row>
    <row r="35" spans="2:15" x14ac:dyDescent="0.25">
      <c r="B35" s="13"/>
      <c r="C35" s="13"/>
      <c r="D35" s="35"/>
      <c r="E35" s="35"/>
      <c r="F35" s="35"/>
    </row>
    <row r="36" spans="2:15" x14ac:dyDescent="0.25">
      <c r="B36" s="27" t="s">
        <v>55</v>
      </c>
      <c r="C36" s="27"/>
      <c r="D36" s="35"/>
      <c r="E36" s="35"/>
      <c r="F36" s="35"/>
    </row>
    <row r="37" spans="2:15" ht="15.75" x14ac:dyDescent="0.25">
      <c r="B37" s="38" t="s">
        <v>64</v>
      </c>
      <c r="C37" s="48" t="s">
        <v>59</v>
      </c>
      <c r="D37" s="49"/>
      <c r="E37" s="49"/>
      <c r="F37" s="49"/>
    </row>
    <row r="38" spans="2:15" x14ac:dyDescent="0.25">
      <c r="B38" s="28"/>
      <c r="C38" s="28"/>
      <c r="D38" s="35"/>
      <c r="E38" s="35"/>
      <c r="F38" s="35"/>
    </row>
    <row r="39" spans="2:15" x14ac:dyDescent="0.25">
      <c r="B39" s="45" t="s">
        <v>46</v>
      </c>
      <c r="C39" s="45"/>
      <c r="D39" s="46"/>
      <c r="E39" s="46"/>
      <c r="F39" s="46"/>
      <c r="G39" s="33"/>
      <c r="H39" s="33"/>
      <c r="I39" s="33"/>
      <c r="J39" s="33"/>
      <c r="K39" s="33"/>
      <c r="L39" s="33"/>
      <c r="M39" s="33"/>
      <c r="N39" s="33"/>
      <c r="O39" s="33"/>
    </row>
    <row r="40" spans="2:15" x14ac:dyDescent="0.25">
      <c r="B40" s="46"/>
      <c r="C40" s="46"/>
      <c r="D40" s="46"/>
      <c r="E40" s="46"/>
      <c r="F40" s="46"/>
      <c r="G40" s="33"/>
      <c r="H40" s="33"/>
      <c r="I40" s="33"/>
      <c r="J40" s="33"/>
      <c r="K40" s="33"/>
      <c r="L40" s="33"/>
      <c r="M40" s="33"/>
      <c r="N40" s="33"/>
      <c r="O40" s="33"/>
    </row>
    <row r="41" spans="2:15" x14ac:dyDescent="0.25">
      <c r="B41" s="46"/>
      <c r="C41" s="46"/>
      <c r="D41" s="46"/>
      <c r="E41" s="46"/>
      <c r="F41" s="46"/>
      <c r="G41" s="33"/>
      <c r="H41" s="33"/>
      <c r="I41" s="33"/>
      <c r="J41" s="33"/>
      <c r="K41" s="33"/>
      <c r="L41" s="33"/>
      <c r="M41" s="33"/>
      <c r="N41" s="33"/>
      <c r="O41" s="33"/>
    </row>
    <row r="42" spans="2:15" x14ac:dyDescent="0.25">
      <c r="B42" s="46"/>
      <c r="C42" s="46"/>
      <c r="D42" s="46"/>
      <c r="E42" s="46"/>
      <c r="F42" s="46"/>
      <c r="G42" s="33"/>
      <c r="H42" s="33"/>
      <c r="I42" s="33"/>
      <c r="J42" s="33"/>
      <c r="K42" s="33"/>
      <c r="L42" s="33"/>
      <c r="M42" s="33"/>
      <c r="N42" s="33"/>
      <c r="O42" s="33"/>
    </row>
    <row r="43" spans="2:15" x14ac:dyDescent="0.25">
      <c r="B43" s="33"/>
      <c r="C43" s="33"/>
      <c r="D43" s="33"/>
      <c r="E43" s="33"/>
      <c r="F43" s="33"/>
      <c r="G43" s="33"/>
      <c r="H43" s="33"/>
      <c r="I43" s="33"/>
      <c r="J43" s="33"/>
      <c r="K43" s="33"/>
      <c r="L43" s="33"/>
      <c r="M43" s="33"/>
      <c r="N43" s="33"/>
      <c r="O43" s="33"/>
    </row>
    <row r="44" spans="2:15" x14ac:dyDescent="0.25">
      <c r="B44" s="33"/>
      <c r="C44" s="33"/>
      <c r="D44" s="33"/>
      <c r="E44" s="33"/>
      <c r="F44" s="33"/>
      <c r="G44" s="33"/>
      <c r="H44" s="33"/>
      <c r="I44" s="33"/>
      <c r="J44" s="33"/>
      <c r="K44" s="33"/>
      <c r="L44" s="33"/>
      <c r="M44" s="33"/>
      <c r="N44" s="33"/>
      <c r="O44" s="33"/>
    </row>
    <row r="45" spans="2:15" x14ac:dyDescent="0.25">
      <c r="B45" s="33"/>
      <c r="C45" s="33"/>
      <c r="D45" s="33"/>
      <c r="E45" s="33"/>
      <c r="F45" s="33"/>
      <c r="G45" s="33"/>
      <c r="H45" s="33"/>
      <c r="I45" s="33"/>
      <c r="J45" s="33"/>
      <c r="K45" s="33"/>
      <c r="L45" s="33"/>
      <c r="M45" s="33"/>
      <c r="N45" s="33"/>
      <c r="O45" s="33"/>
    </row>
    <row r="46" spans="2:15" x14ac:dyDescent="0.25">
      <c r="B46" s="33"/>
      <c r="C46" s="33"/>
      <c r="D46" s="33"/>
      <c r="E46" s="33"/>
      <c r="F46" s="33"/>
      <c r="G46" s="33"/>
      <c r="H46" s="33"/>
      <c r="I46" s="33"/>
      <c r="J46" s="33"/>
      <c r="K46" s="33"/>
      <c r="L46" s="33"/>
      <c r="M46" s="33"/>
      <c r="N46" s="33"/>
      <c r="O46" s="33"/>
    </row>
  </sheetData>
  <mergeCells count="12">
    <mergeCell ref="B39:F42"/>
    <mergeCell ref="D33:F33"/>
    <mergeCell ref="B27:F27"/>
    <mergeCell ref="B28:F28"/>
    <mergeCell ref="B29:F29"/>
    <mergeCell ref="B30:F30"/>
    <mergeCell ref="C37:F37"/>
    <mergeCell ref="B6:F6"/>
    <mergeCell ref="B11:F11"/>
    <mergeCell ref="B13:F13"/>
    <mergeCell ref="B16:F16"/>
    <mergeCell ref="B31:F31"/>
  </mergeCells>
  <pageMargins left="0.7" right="0.7" top="0.75" bottom="0.75" header="0.3" footer="0.3"/>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2026-04-14T16:33:05Z</cp:lastPrinted>
  <dcterms:created xsi:type="dcterms:W3CDTF">2020-12-14T19:54:01Z</dcterms:created>
  <dcterms:modified xsi:type="dcterms:W3CDTF">2026-04-14T16:33:39Z</dcterms:modified>
</cp:coreProperties>
</file>