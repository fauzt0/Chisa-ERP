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6590EE4B-C3C7-4F0D-9C7C-1612A069200A}"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7" i="3" l="1"/>
  <c r="F34" i="3"/>
  <c r="F33" i="3"/>
  <c r="F32" i="3"/>
  <c r="F31" i="3"/>
  <c r="F30" i="3"/>
  <c r="E19" i="1"/>
  <c r="E18" i="1" l="1"/>
  <c r="E21" i="1" l="1"/>
  <c r="E22" i="1" l="1"/>
  <c r="F29" i="3"/>
  <c r="E23" i="1" l="1"/>
  <c r="F38" i="3" l="1"/>
  <c r="F39" i="3" s="1"/>
</calcChain>
</file>

<file path=xl/sharedStrings.xml><?xml version="1.0" encoding="utf-8"?>
<sst xmlns="http://schemas.openxmlformats.org/spreadsheetml/2006/main" count="79" uniqueCount="64">
  <si>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</si>
  <si>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</si>
  <si>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</si>
  <si>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</si>
  <si>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</si>
  <si>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</si>
  <si>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</si>
  <si>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</si>
  <si>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</si>
  <si>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</si>
  <si>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</si>
  <si>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</si>
  <si>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</si>
  <si>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</si>
  <si>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</si>
  <si>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</si>
  <si>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</si>
  <si>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</si>
  <si>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</si>
  <si>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</si>
  <si>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</si>
  <si>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</si>
  <si>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</si>
  <si>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</si>
  <si>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</si>
  <si>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</si>
  <si>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</si>
  <si>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</si>
  <si>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</si>
  <si>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 xml:space="preserve">                                       ACEPTO</t>
  </si>
  <si>
    <t xml:space="preserve">        ATENTAMENTE</t>
  </si>
  <si>
    <t xml:space="preserve">            ____________________________________                                                               _______________________________________</t>
  </si>
  <si>
    <t>VOLUMEN</t>
  </si>
  <si>
    <t xml:space="preserve">                                                                                                                                                                                                                                                         </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</si>
  <si>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</si>
  <si>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</si>
  <si>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</si>
  <si>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</si>
  <si>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</si>
  <si>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</si>
  <si>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</si>
  <si>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</si>
  <si>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</si>
  <si>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</si>
  <si>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</si>
  <si>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</si>
  <si>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</si>
  <si>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t>5.-CHISA GLASS REF. S.M.A.(60 M2)</t>
  </si>
  <si>
    <t>CIUDAD DE MEXICO A 07 DE JULIO DEL 2026</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</si>
  <si>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</si>
  <si>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</si>
  <si>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 xml:space="preserve"> LIC.  CAROLINA GALVAN</t>
  </si>
  <si>
    <t>CONSTRUCTORA: HH &amp; ASOCIADOS CONSULTORÍA ESPECIALIZADA SA DE CV</t>
  </si>
  <si>
    <t>AT´N: HH &amp; ASOCIADOS CONSULTORÍA ESPECIALIZADA SA DE CV</t>
  </si>
  <si>
    <t>OBRA:HOSPITAL GENERAL 90 CAMAS "DR GONZALO CASTAÑEDA ESCOBAR"</t>
  </si>
  <si>
    <t>PRES. REF. 16601/2026CG</t>
  </si>
  <si>
    <t xml:space="preserve">PRESENTAMOS A SU AMABLE CONSIDERACIÓN EL PRESUPUESTO DE SUMINISTRO  DE LOS SIGUIENTES MATERIALES: </t>
  </si>
  <si>
    <t>1.- MORTERO PLASTICO (160 M2)</t>
  </si>
  <si>
    <t>2.- ARENA SILICA (REND 220M2)</t>
  </si>
  <si>
    <t>TAMBOS</t>
  </si>
  <si>
    <t>3.-SELLADOR INICIAL (900 M2)</t>
  </si>
  <si>
    <t>4.- PRAIMER GLASS REF S.M.A. (850 M2)</t>
  </si>
  <si>
    <t>6.-VITROGLASS ECOLOGICO (1800 M2)</t>
  </si>
  <si>
    <t>HH &amp; ASOCIADOS CONSULTORÍA ESPECIALIZADA SA DE 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</si>
</sst>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72">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70">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4" fillId="0" borderId="0" xfId="0" applyFont="1" applyAlignment="1">
      <alignment horizontal="right" vertical="top"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right" vertical="center" wrapText="1"/>
    </xf>
    <xf numFmtId="44" fontId="1" fillId="0" borderId="0" xfId="71" applyFont="1" applyAlignment="1">
      <alignment horizontal="center" wrapText="1"/>
    </xf>
    <xf numFmtId="0" fontId="2" fillId="0" borderId="0" xfId="0" applyFont="1" applyAlignment="1">
      <alignment horizontal="center"/>
    </xf>
    <xf numFmtId="0" fontId="1" fillId="0" borderId="0" xfId="0" applyFont="1" applyAlignment="1">
      <alignment horizontal="right" vertical="center"/>
    </xf>
    <xf numFmtId="0" fontId="2" fillId="0" borderId="0" xfId="0" applyFont="1" applyAlignment="1">
      <alignment horizontal="right" vertical="center" wrapText="1"/>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left" vertical="top"/>
    </xf>
    <xf numFmtId="0" fontId="1" fillId="0" borderId="0" xfId="0" applyFont="1" applyAlignment="1">
      <alignment horizontal="justify" vertical="justify" wrapText="1"/>
    </xf>
    <xf numFmtId="0" fontId="2" fillId="0" borderId="0" xfId="0" applyFont="1" applyAlignment="1">
      <alignment horizontal="left" vertical="center"/>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9" fillId="0" borderId="0" xfId="0" applyFont="1" applyAlignment="1">
      <alignment horizontal="justify" vertical="center" wrapText="1"/>
    </xf>
    <xf numFmtId="0" fontId="9" fillId="0" borderId="0" xfId="0" applyFont="1" applyAlignment="1">
      <alignment horizontal="justify" vertical="top" wrapText="1"/>
    </xf>
    <xf numFmtId="0" fontId="1" fillId="0" borderId="0" xfId="0" applyFont="1" applyAlignment="1">
      <alignment horizontal="center"/>
    </xf>
    <xf numFmtId="0" fontId="9" fillId="0" borderId="0" xfId="0" applyFont="1" applyAlignment="1">
      <alignment horizontal="left" vertical="center"/>
    </xf>
    <xf numFmtId="0" fontId="1" fillId="0" borderId="0" xfId="0" applyFont="1" applyAlignment="1">
      <alignment horizontal="justify" vertical="top" wrapText="1"/>
    </xf>
    <xf numFmtId="0" fontId="3" fillId="0" borderId="0" xfId="0" applyFont="1" applyAlignment="1">
      <alignment horizontal="center" vertical="center"/>
    </xf>
    <xf numFmtId="0" fontId="3"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0" fillId="0" borderId="0" xfId="0"/>
  </cellXfs>
  <cellStyles count="72">
    <cellStyle name="Moneda" xfId="1" builtinId="4"/>
    <cellStyle name="Moneda 10" xfId="41" xr:uid="{4D376FC4-9266-4B87-8752-F8E6D0A619E5}"/>
    <cellStyle name="Moneda 11" xfId="70" xr:uid="{1196FE40-7272-44C9-8088-7BFB4A625B50}"/>
    <cellStyle name="Moneda 12" xfId="35" xr:uid="{B50750B8-6137-4E67-A0B1-E294AC3BDF0E}"/>
    <cellStyle name="Moneda 13" xfId="71" xr:uid="{541382B3-8263-4069-AA0C-935B50578BBB}"/>
    <cellStyle name="Moneda 14" xfId="2" xr:uid="{A91CF3B9-9C3F-4655-854B-3381C58C5971}"/>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3" xfId="23" xr:uid="{EB3A109E-4685-4D72-AB98-57CFC7502AC3}"/>
    <cellStyle name="Moneda 2 2 3 2" xfId="62" xr:uid="{EE42DB92-02E1-43E1-A31F-61079AEB4FBB}"/>
    <cellStyle name="Moneda 2 2 4" xfId="69" xr:uid="{E1089F51-7137-43EF-BA7F-1CDEA62E83AB}"/>
    <cellStyle name="Moneda 2 2 5" xfId="46" xr:uid="{69BEAA91-FD91-41A8-B830-75D53FC54D80}"/>
    <cellStyle name="Moneda 2 2 6" xfId="40" xr:uid="{C79ED841-3E91-4855-B7AC-EA3497B25C02}"/>
    <cellStyle name="Moneda 2 3" xfId="11" xr:uid="{667EEF88-ED29-4415-B292-C2428B3B4904}"/>
    <cellStyle name="Moneda 2 3 2" xfId="27" xr:uid="{794D3631-C573-4492-916C-01C5EA283672}"/>
    <cellStyle name="Moneda 2 3 3" xfId="50" xr:uid="{8FFDEE7F-5189-4121-AA0D-8CBB73D2EC42}"/>
    <cellStyle name="Moneda 2 4" xfId="17" xr:uid="{0BC8E800-24B8-438B-B0E5-2EF9C392F89E}"/>
    <cellStyle name="Moneda 2 4 2" xfId="33" xr:uid="{3581CAC2-29E5-4B73-A003-A16BE88FCC88}"/>
    <cellStyle name="Moneda 2 4 3" xfId="56" xr:uid="{D366DC4E-D476-4F44-80A2-17603AF66034}"/>
    <cellStyle name="Moneda 2 5" xfId="20" xr:uid="{6E761435-0333-48D3-8E12-68ED68235C53}"/>
    <cellStyle name="Moneda 2 5 2" xfId="59" xr:uid="{6A82DA27-54CC-4631-AF01-88881C05BB08}"/>
    <cellStyle name="Moneda 2 6" xfId="65" xr:uid="{5EB08501-592D-45C3-832F-340B2A57CE71}"/>
    <cellStyle name="Moneda 2 7" xfId="43" xr:uid="{D2322E2A-8088-40A5-B28F-BD87662B2B8E}"/>
    <cellStyle name="Moneda 2 8" xfId="37" xr:uid="{DEDFCD53-DDAC-4DC5-88D8-8FE967D46158}"/>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3" xfId="22" xr:uid="{57147D47-FAA1-44A0-8036-1AD48DC44EA6}"/>
    <cellStyle name="Moneda 3 2 3 2" xfId="61" xr:uid="{2F4EDC0F-821F-49F5-A63B-12F2A9FB9CC6}"/>
    <cellStyle name="Moneda 3 2 4" xfId="68" xr:uid="{C7B71855-F2FD-4C7B-A8C5-F2A7D393B814}"/>
    <cellStyle name="Moneda 3 2 5" xfId="45" xr:uid="{55F8412B-C72F-4137-A899-17F09444DFD7}"/>
    <cellStyle name="Moneda 3 2 6" xfId="39" xr:uid="{F785F495-7934-4561-A2C4-C9CF204D85CD}"/>
    <cellStyle name="Moneda 3 3" xfId="10" xr:uid="{8F648247-9A04-4593-B3FF-AD86E96CF903}"/>
    <cellStyle name="Moneda 3 3 2" xfId="26" xr:uid="{81CAFAE8-CC4C-4C47-8079-DE083AD53193}"/>
    <cellStyle name="Moneda 3 3 3" xfId="49" xr:uid="{2D7BDD49-E4B3-423E-9B95-6ABF151F5283}"/>
    <cellStyle name="Moneda 3 4" xfId="19" xr:uid="{7699A138-E03D-4884-BA02-F5B50C16FF9F}"/>
    <cellStyle name="Moneda 3 4 2" xfId="58" xr:uid="{71AEEA80-C6C7-4334-98F5-7A6B94AA0891}"/>
    <cellStyle name="Moneda 3 5" xfId="64" xr:uid="{D479E5A0-6018-4C90-A7F3-129BC0DF4DE0}"/>
    <cellStyle name="Moneda 3 6" xfId="42" xr:uid="{2DFF5E7E-58CC-4B89-9513-A05ED25403F3}"/>
    <cellStyle name="Moneda 3 7" xfId="36" xr:uid="{11E140DB-6F0E-431F-A1EB-265A874E849E}"/>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3" xfId="21" xr:uid="{01BCC806-5655-48D8-A12C-58745C3634A3}"/>
    <cellStyle name="Moneda 4 3 2" xfId="60" xr:uid="{C06B185C-8B83-481F-B17C-5BAAFD7046B9}"/>
    <cellStyle name="Moneda 4 4" xfId="66" xr:uid="{02671B75-7B71-43F9-9427-493A8CDB38A5}"/>
    <cellStyle name="Moneda 4 5" xfId="44" xr:uid="{C3104001-D9F3-4E45-B7B7-9D11E3322B9B}"/>
    <cellStyle name="Moneda 4 6" xfId="38" xr:uid="{B13432E9-BBA7-4C85-AD8C-EE500B569135}"/>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3" xfId="24" xr:uid="{5E057A0A-68D7-470E-8847-3725E9F564ED}"/>
    <cellStyle name="Moneda 5 3 2" xfId="67" xr:uid="{F178486E-02DD-419D-B1DC-EE316A3F49BF}"/>
    <cellStyle name="Moneda 5 4" xfId="47" xr:uid="{7C481FA9-69B6-4301-97FE-2A7F6E3C890B}"/>
    <cellStyle name="Moneda 6" xfId="9" xr:uid="{F4C33197-3166-4A33-A8D9-19DC0C3ECE28}"/>
    <cellStyle name="Moneda 6 2" xfId="25" xr:uid="{D014DDF4-BEBB-4724-9D3E-3BDE10023B0F}"/>
    <cellStyle name="Moneda 6 3" xfId="48" xr:uid="{411F3C88-720E-45A4-AA9F-A0588939FF9D}"/>
    <cellStyle name="Moneda 7" xfId="16" xr:uid="{FC50B210-FEB6-45DB-9636-CA8BDFD8E866}"/>
    <cellStyle name="Moneda 7 2" xfId="32" xr:uid="{70A29698-5F27-44E6-AAE6-AFBB357EF5EB}"/>
    <cellStyle name="Moneda 7 3" xfId="55" xr:uid="{EB922DFE-0FFC-40E5-86B1-89E7013A685E}"/>
    <cellStyle name="Moneda 8" xfId="18" xr:uid="{4601BD7C-CBA9-4092-BE7C-057DE8AAA6CB}"/>
    <cellStyle name="Moneda 8 2" xfId="57" xr:uid="{7984ABC2-ADFA-41BD-ABFE-9491C93A0D8E}"/>
    <cellStyle name="Moneda 9" xfId="63" xr:uid="{56A1F3FC-774B-4432-AD82-58BD583AEEFA}"/>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123825</xdr:colOff>
      <xdr:row>0</xdr:row>
      <xdr:rowOff>95250</xdr:rowOff>
    </xdr:from>
    <xdr:to>
      <xdr:col>4</xdr:col>
      <xdr:colOff>762000</xdr:colOff>
      <xdr:row>5</xdr:row>
      <xdr:rowOff>171450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90975" y="95250"/>
          <a:ext cx="2781300"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57"/>
      <c r="B1" s="54"/>
      <c r="C1" s="54"/>
      <c r="D1" s="54"/>
      <c r="E1" s="23"/>
    </row>
    <row r="2" spans="1:8" ht="12" customHeight="1" x14ac:dyDescent="0.25">
      <c r="A2" s="23"/>
      <c r="B2" s="23"/>
      <c r="C2" s="23"/>
      <c r="D2" s="23"/>
      <c r="E2" s="23"/>
    </row>
    <row r="3" spans="1:8" ht="12" customHeight="1" x14ac:dyDescent="0.25">
      <c r="A3" s="23"/>
      <c r="B3" s="23"/>
      <c r="C3" s="23"/>
      <c r="D3" s="23"/>
      <c r="E3" s="23"/>
    </row>
    <row r="4" spans="1:8" ht="12" customHeight="1" x14ac:dyDescent="0.25">
      <c r="A4" s="47" t="s">
        <v>40</v>
      </c>
      <c r="B4" s="47"/>
      <c r="C4" s="47"/>
      <c r="D4" s="47"/>
      <c r="E4" s="47"/>
      <c r="F4" s="6"/>
    </row>
    <row r="5" spans="1:8" ht="12" customHeight="1" x14ac:dyDescent="0.25">
      <c r="A5" s="37"/>
      <c r="B5" s="37"/>
      <c r="C5" s="37"/>
      <c r="D5" s="37"/>
      <c r="E5" s="37"/>
      <c r="F5" s="6"/>
    </row>
    <row r="6" spans="1:8" ht="12" customHeight="1" x14ac:dyDescent="0.25">
      <c r="A6" s="1" t="s">
        <v>38</v>
      </c>
      <c r="B6" s="38"/>
      <c r="C6" s="38"/>
      <c r="D6" s="38"/>
      <c r="E6" s="38"/>
      <c r="F6" s="38"/>
    </row>
    <row r="7" spans="1:8" ht="12" customHeight="1" x14ac:dyDescent="0.25">
      <c r="A7" s="1"/>
      <c r="B7" s="38"/>
      <c r="C7" s="38"/>
      <c r="D7" s="38"/>
      <c r="E7" s="38"/>
      <c r="F7" s="38"/>
    </row>
    <row r="8" spans="1:8" ht="12" customHeight="1" x14ac:dyDescent="0.25">
      <c r="A8" s="1" t="s">
        <v>0</v>
      </c>
      <c r="B8" s="38"/>
      <c r="C8" s="38"/>
      <c r="D8" s="38"/>
      <c r="E8" s="38"/>
      <c r="F8" s="38"/>
    </row>
    <row r="9" spans="1:8" ht="12" customHeight="1" x14ac:dyDescent="0.25">
      <c r="A9" s="1"/>
      <c r="B9" s="38"/>
      <c r="C9" s="38"/>
      <c r="D9" s="38"/>
      <c r="E9" s="38"/>
      <c r="F9" s="38"/>
    </row>
    <row r="10" spans="1:8" ht="12" customHeight="1" x14ac:dyDescent="0.25">
      <c r="A10" s="1"/>
      <c r="B10" s="38"/>
      <c r="C10" s="38"/>
      <c r="D10" s="38"/>
      <c r="E10" s="38"/>
      <c r="F10" s="38"/>
      <c r="G10" s="1"/>
      <c r="H10" s="1"/>
    </row>
    <row r="11" spans="1:8" ht="12" customHeight="1" x14ac:dyDescent="0.25">
      <c r="A11" s="48" t="s">
        <v>39</v>
      </c>
      <c r="B11" s="48"/>
      <c r="C11" s="48"/>
      <c r="D11" s="48"/>
      <c r="E11" s="48"/>
      <c r="F11" s="40"/>
    </row>
    <row r="12" spans="1:8" ht="12" customHeight="1" x14ac:dyDescent="0.25">
      <c r="A12" s="42"/>
      <c r="B12" s="38"/>
      <c r="C12" s="38"/>
      <c r="D12" s="38"/>
      <c r="E12" s="38"/>
      <c r="F12" s="38"/>
    </row>
    <row r="13" spans="1:8" ht="12" customHeight="1" x14ac:dyDescent="0.25">
      <c r="A13" s="40" t="s">
        <v>41</v>
      </c>
      <c r="B13" s="40"/>
      <c r="C13" s="40"/>
      <c r="D13" s="40"/>
      <c r="E13" s="40"/>
      <c r="F13" s="40"/>
    </row>
    <row r="14" spans="1:8" ht="12" customHeight="1" x14ac:dyDescent="0.25">
      <c r="A14" s="1" t="s">
        <v>42</v>
      </c>
      <c r="B14" s="39"/>
      <c r="C14" s="39"/>
      <c r="D14" s="39"/>
      <c r="E14" s="38"/>
      <c r="F14" s="38"/>
    </row>
    <row r="15" spans="1:8" ht="12" customHeight="1" x14ac:dyDescent="0.25">
      <c r="A15" s="8" t="s">
        <v>1</v>
      </c>
      <c r="B15" s="24"/>
      <c r="C15" s="24"/>
      <c r="D15" s="24"/>
      <c r="E15" s="23"/>
    </row>
    <row r="16" spans="1:8" ht="12" customHeight="1" x14ac:dyDescent="0.25">
      <c r="A16" s="64" t="s">
        <v>35</v>
      </c>
      <c r="B16" s="64"/>
      <c r="C16" s="64"/>
      <c r="D16" s="64"/>
      <c r="E16" s="64"/>
      <c r="F16" s="3"/>
      <c r="G16" s="3"/>
      <c r="H16" s="3"/>
    </row>
    <row r="17" spans="1:8" ht="21.75" customHeight="1" x14ac:dyDescent="0.25">
      <c r="A17" s="21" t="s">
        <v>20</v>
      </c>
      <c r="B17" s="28" t="s">
        <v>32</v>
      </c>
      <c r="C17" s="28" t="s">
        <v>18</v>
      </c>
      <c r="D17" s="28" t="s">
        <v>25</v>
      </c>
      <c r="E17" s="28" t="s">
        <v>19</v>
      </c>
      <c r="F17" s="2"/>
      <c r="G17" s="2"/>
      <c r="H17" s="2"/>
    </row>
    <row r="18" spans="1:8" ht="191.25" customHeight="1" x14ac:dyDescent="0.25">
      <c r="A18" s="33" t="s">
        <v>37</v>
      </c>
      <c r="B18" s="34" t="s">
        <v>21</v>
      </c>
      <c r="C18" s="35">
        <v>3500</v>
      </c>
      <c r="D18" s="25">
        <v>110</v>
      </c>
      <c r="E18" s="13">
        <f t="shared" ref="E18" si="0">C18*D18</f>
        <v>385000</v>
      </c>
      <c r="F18" s="2"/>
      <c r="G18" s="2"/>
      <c r="H18" s="2"/>
    </row>
    <row r="19" spans="1:8" ht="183" customHeight="1" x14ac:dyDescent="0.25">
      <c r="A19" s="41" t="s">
        <v>43</v>
      </c>
      <c r="B19" s="34" t="s">
        <v>21</v>
      </c>
      <c r="C19" s="35">
        <v>1000</v>
      </c>
      <c r="D19" s="25">
        <v>103.5</v>
      </c>
      <c r="E19" s="13">
        <f t="shared" ref="E19" si="1">C19*D19</f>
        <v>103500</v>
      </c>
      <c r="F19" s="2"/>
      <c r="G19" s="2"/>
      <c r="H19" s="2"/>
    </row>
    <row r="20" spans="1:8" ht="24" customHeight="1" x14ac:dyDescent="0.25">
      <c r="A20" s="36"/>
      <c r="B20" s="34"/>
      <c r="C20" s="35"/>
      <c r="D20" s="35"/>
      <c r="E20" s="25"/>
    </row>
    <row r="21" spans="1:8" ht="18.75" customHeight="1" x14ac:dyDescent="0.25">
      <c r="A21" s="4"/>
      <c r="B21" s="24"/>
      <c r="C21" s="4"/>
      <c r="D21" s="4" t="s">
        <v>2</v>
      </c>
      <c r="E21" s="14">
        <f>SUM(E18:E20)</f>
        <v>488500</v>
      </c>
      <c r="F21" s="5"/>
    </row>
    <row r="22" spans="1:8" x14ac:dyDescent="0.25">
      <c r="A22" s="4"/>
      <c r="B22" s="4"/>
      <c r="C22" s="4"/>
      <c r="D22" s="4" t="s">
        <v>3</v>
      </c>
      <c r="E22" s="14">
        <f>E21*16%</f>
        <v>78160</v>
      </c>
      <c r="F22" s="9"/>
    </row>
    <row r="23" spans="1:8" x14ac:dyDescent="0.25">
      <c r="A23" s="4"/>
      <c r="B23" s="19"/>
      <c r="C23" s="4"/>
      <c r="D23" s="4" t="s">
        <v>4</v>
      </c>
      <c r="E23" s="14">
        <f>E21+E22</f>
        <v>566660</v>
      </c>
      <c r="F23" s="9"/>
    </row>
    <row r="24" spans="1:8" x14ac:dyDescent="0.25">
      <c r="A24" s="4"/>
      <c r="B24" s="19"/>
      <c r="C24" s="4"/>
      <c r="D24" s="4"/>
      <c r="E24" s="14"/>
      <c r="F24" s="9"/>
    </row>
    <row r="25" spans="1:8" x14ac:dyDescent="0.25">
      <c r="A25" s="4"/>
      <c r="B25" s="19"/>
      <c r="C25" s="4"/>
      <c r="D25" s="4"/>
      <c r="E25" s="14"/>
      <c r="F25" s="9"/>
    </row>
    <row r="26" spans="1:8" ht="30.75" customHeight="1" x14ac:dyDescent="0.25">
      <c r="A26" s="63" t="s">
        <v>46</v>
      </c>
      <c r="B26" s="63"/>
      <c r="C26" s="63"/>
      <c r="D26" s="63"/>
      <c r="E26" s="63"/>
      <c r="F26" s="14"/>
      <c r="G26" s="14"/>
    </row>
    <row r="27" spans="1:8" ht="18" customHeight="1" x14ac:dyDescent="0.25">
      <c r="A27" s="58" t="s">
        <v>41</v>
      </c>
      <c r="B27" s="59"/>
      <c r="C27" s="59"/>
      <c r="D27" s="59"/>
      <c r="E27" s="59"/>
      <c r="F27" s="5"/>
      <c r="G27" s="14"/>
    </row>
    <row r="28" spans="1:8" ht="12" customHeight="1" x14ac:dyDescent="0.25">
      <c r="A28" s="65" t="s">
        <v>5</v>
      </c>
      <c r="B28" s="65"/>
      <c r="C28" s="65"/>
      <c r="D28" s="65"/>
      <c r="E28" s="65"/>
      <c r="F28" s="5"/>
      <c r="G28" s="14"/>
    </row>
    <row r="29" spans="1:8" ht="69" customHeight="1" x14ac:dyDescent="0.25">
      <c r="A29" s="60" t="s">
        <v>45</v>
      </c>
      <c r="B29" s="60"/>
      <c r="C29" s="60"/>
      <c r="D29" s="60"/>
      <c r="E29" s="60"/>
      <c r="F29" s="5"/>
      <c r="G29" s="14"/>
    </row>
    <row r="30" spans="1:8" ht="15" customHeight="1" x14ac:dyDescent="0.25">
      <c r="A30" s="65" t="s">
        <v>6</v>
      </c>
      <c r="B30" s="65"/>
      <c r="C30" s="65"/>
      <c r="D30" s="65"/>
      <c r="E30" s="65"/>
      <c r="F30" s="5"/>
    </row>
    <row r="31" spans="1:8" ht="33.75" customHeight="1" x14ac:dyDescent="0.25">
      <c r="A31" s="60" t="s">
        <v>7</v>
      </c>
      <c r="B31" s="60"/>
      <c r="C31" s="60"/>
      <c r="D31" s="60"/>
      <c r="E31" s="60"/>
    </row>
    <row r="32" spans="1:8" ht="43.5" customHeight="1" x14ac:dyDescent="0.25">
      <c r="A32" s="61" t="s">
        <v>8</v>
      </c>
      <c r="B32" s="61"/>
      <c r="C32" s="61"/>
      <c r="D32" s="61"/>
      <c r="E32" s="61"/>
    </row>
    <row r="33" spans="1:6" ht="46.5" customHeight="1" x14ac:dyDescent="0.25">
      <c r="A33" s="61" t="s">
        <v>9</v>
      </c>
      <c r="B33" s="61"/>
      <c r="C33" s="61"/>
      <c r="D33" s="61"/>
      <c r="E33" s="61"/>
    </row>
    <row r="34" spans="1:6" ht="21.75" customHeight="1" x14ac:dyDescent="0.25">
      <c r="A34" s="61" t="s">
        <v>10</v>
      </c>
      <c r="B34" s="61"/>
      <c r="C34" s="61"/>
      <c r="D34" s="61"/>
      <c r="E34" s="61"/>
      <c r="F34" s="5"/>
    </row>
    <row r="35" spans="1:6" ht="72" customHeight="1" x14ac:dyDescent="0.25">
      <c r="A35" s="60" t="s">
        <v>11</v>
      </c>
      <c r="B35" s="60"/>
      <c r="C35" s="60"/>
      <c r="D35" s="60"/>
      <c r="E35" s="60"/>
    </row>
    <row r="36" spans="1:6" ht="21.75" customHeight="1" x14ac:dyDescent="0.25">
      <c r="A36" s="60" t="s">
        <v>12</v>
      </c>
      <c r="B36" s="60"/>
      <c r="C36" s="60"/>
      <c r="D36" s="60"/>
      <c r="E36" s="60"/>
    </row>
    <row r="37" spans="1:6" ht="44.25" customHeight="1" x14ac:dyDescent="0.25">
      <c r="A37" s="60" t="s">
        <v>13</v>
      </c>
      <c r="B37" s="60"/>
      <c r="C37" s="60"/>
      <c r="D37" s="60"/>
      <c r="E37" s="60"/>
    </row>
    <row r="38" spans="1:6" ht="25.5" customHeight="1" x14ac:dyDescent="0.25">
      <c r="A38" s="60" t="s">
        <v>14</v>
      </c>
      <c r="B38" s="60"/>
      <c r="C38" s="60"/>
      <c r="D38" s="60"/>
      <c r="E38" s="60"/>
    </row>
    <row r="39" spans="1:6" ht="68.25" customHeight="1" x14ac:dyDescent="0.25">
      <c r="A39" s="61" t="s">
        <v>15</v>
      </c>
      <c r="B39" s="61"/>
      <c r="C39" s="61"/>
      <c r="D39" s="61"/>
      <c r="E39" s="61"/>
    </row>
    <row r="40" spans="1:6" ht="15" customHeight="1" x14ac:dyDescent="0.25">
      <c r="A40" s="60" t="s">
        <v>16</v>
      </c>
      <c r="B40" s="60"/>
      <c r="C40" s="60"/>
      <c r="D40" s="60"/>
      <c r="E40" s="60"/>
    </row>
    <row r="41" spans="1:6" ht="22.5" customHeight="1" x14ac:dyDescent="0.25">
      <c r="A41" s="8" t="s">
        <v>17</v>
      </c>
      <c r="B41" s="24"/>
      <c r="C41" s="24"/>
      <c r="D41" s="24"/>
      <c r="E41" s="23"/>
    </row>
    <row r="42" spans="1:6" ht="24" customHeight="1" x14ac:dyDescent="0.25">
      <c r="A42" s="29" t="s">
        <v>22</v>
      </c>
      <c r="B42" s="62" t="s">
        <v>34</v>
      </c>
      <c r="C42" s="62"/>
      <c r="D42" s="62"/>
      <c r="E42" s="23"/>
    </row>
    <row r="43" spans="1:6" ht="19.5" customHeight="1" x14ac:dyDescent="0.25">
      <c r="A43" s="8"/>
      <c r="B43" s="24"/>
      <c r="C43" s="24"/>
      <c r="D43" s="24"/>
      <c r="E43" s="23"/>
    </row>
    <row r="44" spans="1:6" ht="17.25" customHeight="1" x14ac:dyDescent="0.25">
      <c r="A44" s="8"/>
      <c r="B44" s="24"/>
      <c r="C44" s="24"/>
      <c r="D44" s="24"/>
      <c r="E44" s="23"/>
    </row>
    <row r="45" spans="1:6" x14ac:dyDescent="0.25">
      <c r="A45" s="15" t="s">
        <v>36</v>
      </c>
      <c r="B45" s="24"/>
      <c r="C45" s="24"/>
      <c r="D45" s="24"/>
      <c r="E45" s="23"/>
    </row>
    <row r="46" spans="1:6" x14ac:dyDescent="0.25">
      <c r="A46" s="30" t="s">
        <v>44</v>
      </c>
      <c r="B46" s="31"/>
      <c r="C46" s="31"/>
      <c r="D46" s="31"/>
      <c r="E46" s="32"/>
    </row>
  </sheetData>
  <mergeCells count="20">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 ref="A1:D1"/>
    <mergeCell ref="A27:E27"/>
    <mergeCell ref="A38:E38"/>
    <mergeCell ref="A39:E39"/>
    <mergeCell ref="A35:E35"/>
    <mergeCell ref="A11:E11"/>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5"/>
  <sheetViews>
    <sheetView tabSelected="1" topLeftCell="A26" zoomScaleNormal="100" zoomScalePageLayoutView="50" workbookViewId="0">
      <selection activeCell="B32" sqref="B32"/>
    </sheetView>
  </sheetViews>
  <sheetFormatPr baseColWidth="10" defaultRowHeight="15" x14ac:dyDescent="0.25"/>
  <cols>
    <col min="1" max="1" width="2.85546875" style="18" customWidth="1"/>
    <col min="2" max="2" width="52.140625" customWidth="1"/>
    <col min="3" max="3" width="16.7109375" customWidth="1"/>
    <col min="4" max="4" width="15.42578125" customWidth="1"/>
    <col min="5" max="6" width="18.7109375" customWidth="1"/>
  </cols>
  <sheetData>
    <row r="4" spans="2:6" x14ac:dyDescent="0.25">
      <c r="B4" s="23"/>
      <c r="C4" s="23"/>
      <c r="D4" s="23"/>
      <c r="E4" s="23"/>
      <c r="F4" s="23"/>
    </row>
    <row r="5" spans="2:6" x14ac:dyDescent="0.25">
      <c r="B5" s="23"/>
      <c r="C5" s="23"/>
      <c r="D5" s="23"/>
      <c r="E5" s="23"/>
      <c r="F5" s="23"/>
    </row>
    <row r="6" spans="2:6" ht="34.5" customHeight="1" x14ac:dyDescent="0.25">
      <c r="B6" s="23"/>
      <c r="C6" s="23"/>
      <c r="D6" s="23"/>
      <c r="E6" s="23"/>
      <c r="F6" s="23"/>
    </row>
    <row r="7" spans="2:6" x14ac:dyDescent="0.25">
      <c r="B7" s="23"/>
      <c r="C7" s="23"/>
      <c r="D7" s="23"/>
      <c r="E7" s="23"/>
      <c r="F7" s="23"/>
    </row>
    <row r="8" spans="2:6" x14ac:dyDescent="0.25">
      <c r="B8" s="47" t="s">
        <v>48</v>
      </c>
      <c r="C8" s="47"/>
      <c r="D8" s="47"/>
      <c r="E8" s="47"/>
      <c r="F8" s="47"/>
    </row>
    <row r="9" spans="2:6" x14ac:dyDescent="0.25">
      <c r="B9" s="37"/>
      <c r="C9" s="37"/>
      <c r="D9" s="37"/>
      <c r="E9" s="37"/>
      <c r="F9" s="37"/>
    </row>
    <row r="10" spans="2:6" x14ac:dyDescent="0.25">
      <c r="B10" s="37"/>
      <c r="C10" s="37"/>
      <c r="D10" s="37"/>
      <c r="E10" s="37"/>
      <c r="F10" s="37"/>
    </row>
    <row r="11" spans="2:6" x14ac:dyDescent="0.25">
      <c r="B11" s="1"/>
      <c r="C11" s="38"/>
      <c r="D11" s="38"/>
      <c r="E11" s="38"/>
      <c r="F11" s="38"/>
    </row>
    <row r="12" spans="2:6" x14ac:dyDescent="0.25">
      <c r="B12" s="66" t="s">
        <v>52</v>
      </c>
      <c r="C12" s="38"/>
      <c r="D12" s="38"/>
      <c r="E12" s="38"/>
      <c r="F12" s="38"/>
    </row>
    <row r="13" spans="2:6" x14ac:dyDescent="0.25">
      <c r="B13" s="1" t="s">
        <v>0</v>
      </c>
      <c r="C13" s="38"/>
      <c r="D13" s="38"/>
      <c r="E13" s="38"/>
      <c r="F13" s="38"/>
    </row>
    <row r="14" spans="2:6" x14ac:dyDescent="0.25">
      <c r="B14" s="1"/>
      <c r="C14" s="38"/>
      <c r="D14" s="38"/>
      <c r="E14" s="38"/>
      <c r="F14" s="38"/>
    </row>
    <row r="15" spans="2:6" ht="12.75" customHeight="1" x14ac:dyDescent="0.25">
      <c r="B15" s="1"/>
      <c r="C15" s="38"/>
      <c r="D15" s="38"/>
      <c r="E15" s="38"/>
      <c r="F15" s="38"/>
    </row>
    <row r="16" spans="2:6" ht="13.5" customHeight="1" x14ac:dyDescent="0.25">
      <c r="B16" s="1"/>
      <c r="C16" s="38"/>
      <c r="D16" s="38"/>
      <c r="E16" s="38"/>
      <c r="F16" s="38"/>
    </row>
    <row r="17" spans="2:6" ht="21.75" customHeight="1" x14ac:dyDescent="0.25">
      <c r="B17" s="67" t="s">
        <v>53</v>
      </c>
      <c r="C17" s="67"/>
      <c r="D17" s="67"/>
      <c r="E17" s="67"/>
      <c r="F17" s="67"/>
    </row>
    <row r="18" spans="2:6" ht="21.75" customHeight="1" x14ac:dyDescent="0.25">
      <c r="B18" s="44"/>
      <c r="C18" s="44"/>
      <c r="D18" s="44"/>
      <c r="E18" s="44"/>
      <c r="F18" s="44"/>
    </row>
    <row r="19" spans="2:6" x14ac:dyDescent="0.25">
      <c r="B19" s="42"/>
      <c r="C19" s="38"/>
      <c r="D19" s="38"/>
      <c r="E19" s="38"/>
      <c r="F19" s="38"/>
    </row>
    <row r="20" spans="2:6" x14ac:dyDescent="0.25">
      <c r="B20" s="54" t="s">
        <v>54</v>
      </c>
      <c r="C20" s="54"/>
      <c r="D20" s="54"/>
      <c r="E20" s="54"/>
      <c r="F20" s="54"/>
    </row>
    <row r="21" spans="2:6" x14ac:dyDescent="0.25">
      <c r="B21" s="68" t="s">
        <v>55</v>
      </c>
      <c r="C21" s="69"/>
      <c r="D21" s="69"/>
      <c r="E21" s="69"/>
      <c r="F21" s="69"/>
    </row>
    <row r="22" spans="2:6" x14ac:dyDescent="0.25">
      <c r="B22" s="54"/>
      <c r="C22" s="54"/>
      <c r="D22" s="54"/>
      <c r="E22" s="54"/>
      <c r="F22" s="54"/>
    </row>
    <row r="23" spans="2:6" x14ac:dyDescent="0.25">
      <c r="B23" s="8" t="s">
        <v>1</v>
      </c>
      <c r="C23" s="8"/>
      <c r="D23" s="24"/>
      <c r="E23" s="24"/>
      <c r="F23" s="24"/>
    </row>
    <row r="24" spans="2:6" ht="30.75" customHeight="1" x14ac:dyDescent="0.25">
      <c r="B24" s="53" t="s">
        <v>56</v>
      </c>
      <c r="C24" s="53"/>
      <c r="D24" s="53"/>
      <c r="E24" s="53"/>
      <c r="F24" s="53"/>
    </row>
    <row r="25" spans="2:6" x14ac:dyDescent="0.25">
      <c r="B25" s="46" t="s">
        <v>20</v>
      </c>
      <c r="C25" s="46"/>
      <c r="D25" s="46" t="s">
        <v>18</v>
      </c>
      <c r="E25" s="46" t="s">
        <v>25</v>
      </c>
      <c r="F25" s="46" t="s">
        <v>19</v>
      </c>
    </row>
    <row r="26" spans="2:6" x14ac:dyDescent="0.25">
      <c r="B26" s="46"/>
      <c r="C26" s="46"/>
      <c r="D26" s="46"/>
      <c r="E26" s="46"/>
      <c r="F26" s="46"/>
    </row>
    <row r="27" spans="2:6" x14ac:dyDescent="0.25">
      <c r="B27" s="46"/>
      <c r="C27" s="46"/>
      <c r="D27" s="46"/>
      <c r="E27" s="46"/>
      <c r="F27" s="46"/>
    </row>
    <row r="28" spans="2:6" x14ac:dyDescent="0.25">
      <c r="B28" s="7"/>
      <c r="C28" s="7"/>
      <c r="D28" s="20"/>
      <c r="E28" s="20"/>
      <c r="F28" s="20"/>
    </row>
    <row r="29" spans="2:6" ht="18.75" customHeight="1" x14ac:dyDescent="0.25">
      <c r="B29" s="43" t="s">
        <v>57</v>
      </c>
      <c r="C29" s="27" t="s">
        <v>59</v>
      </c>
      <c r="D29" s="27">
        <v>21</v>
      </c>
      <c r="E29" s="25">
        <v>12055.6</v>
      </c>
      <c r="F29" s="13">
        <f>D29*E29</f>
        <v>253167.6</v>
      </c>
    </row>
    <row r="30" spans="2:6" ht="18.75" customHeight="1" x14ac:dyDescent="0.25">
      <c r="B30" s="43" t="s">
        <v>58</v>
      </c>
      <c r="C30" s="27" t="s">
        <v>59</v>
      </c>
      <c r="D30" s="27">
        <v>15</v>
      </c>
      <c r="E30" s="45">
        <v>11886.4</v>
      </c>
      <c r="F30" s="13">
        <f t="shared" ref="F30:F34" si="0">D30*E30</f>
        <v>178296</v>
      </c>
    </row>
    <row r="31" spans="2:6" ht="18.75" customHeight="1" x14ac:dyDescent="0.25">
      <c r="B31" s="43" t="s">
        <v>60</v>
      </c>
      <c r="C31" s="27" t="s">
        <v>59</v>
      </c>
      <c r="D31" s="5">
        <v>4</v>
      </c>
      <c r="E31" s="25">
        <v>9073.7000000000007</v>
      </c>
      <c r="F31" s="13">
        <f t="shared" si="0"/>
        <v>36294.800000000003</v>
      </c>
    </row>
    <row r="32" spans="2:6" ht="18.75" customHeight="1" x14ac:dyDescent="0.25">
      <c r="B32" s="43" t="s">
        <v>61</v>
      </c>
      <c r="C32" s="27" t="s">
        <v>59</v>
      </c>
      <c r="D32" s="27">
        <v>4</v>
      </c>
      <c r="E32" s="25">
        <v>10281.799999999999</v>
      </c>
      <c r="F32" s="13">
        <f t="shared" si="0"/>
        <v>41127.199999999997</v>
      </c>
    </row>
    <row r="33" spans="2:15" ht="18.75" customHeight="1" x14ac:dyDescent="0.25">
      <c r="B33" s="43" t="s">
        <v>47</v>
      </c>
      <c r="C33" s="27" t="s">
        <v>24</v>
      </c>
      <c r="D33" s="5">
        <v>57</v>
      </c>
      <c r="E33" s="25">
        <v>4797.13</v>
      </c>
      <c r="F33" s="13">
        <f t="shared" si="0"/>
        <v>273436.41000000003</v>
      </c>
    </row>
    <row r="34" spans="2:15" ht="18.75" customHeight="1" x14ac:dyDescent="0.25">
      <c r="B34" s="43" t="s">
        <v>62</v>
      </c>
      <c r="C34" s="27" t="s">
        <v>59</v>
      </c>
      <c r="D34" s="27">
        <v>2</v>
      </c>
      <c r="E34" s="25">
        <v>50235.7</v>
      </c>
      <c r="F34" s="13">
        <f t="shared" si="0"/>
        <v>100471.4</v>
      </c>
    </row>
    <row r="35" spans="2:15" ht="51" customHeight="1" x14ac:dyDescent="0.25">
      <c r="B35" s="10" t="s">
        <v>33</v>
      </c>
      <c r="C35" s="10"/>
      <c r="D35" s="11"/>
      <c r="E35" s="13"/>
      <c r="F35" s="13"/>
    </row>
    <row r="36" spans="2:15" x14ac:dyDescent="0.25">
      <c r="B36" s="4"/>
      <c r="C36" s="4"/>
      <c r="D36" s="11"/>
      <c r="E36" s="12"/>
      <c r="F36" s="13"/>
      <c r="H36" s="17"/>
    </row>
    <row r="37" spans="2:15" ht="19.5" customHeight="1" x14ac:dyDescent="0.25">
      <c r="B37" s="4"/>
      <c r="C37" s="4"/>
      <c r="D37" s="24"/>
      <c r="E37" s="4" t="s">
        <v>2</v>
      </c>
      <c r="F37" s="14">
        <f>SUM(F29:F36)</f>
        <v>882793.41</v>
      </c>
    </row>
    <row r="38" spans="2:15" ht="19.5" customHeight="1" x14ac:dyDescent="0.25">
      <c r="B38" s="4"/>
      <c r="C38" s="4"/>
      <c r="D38" s="4"/>
      <c r="E38" s="4" t="s">
        <v>3</v>
      </c>
      <c r="F38" s="14">
        <f>F37*16%</f>
        <v>141246.94560000001</v>
      </c>
    </row>
    <row r="39" spans="2:15" ht="19.5" customHeight="1" x14ac:dyDescent="0.25">
      <c r="B39" s="4"/>
      <c r="C39" s="4"/>
      <c r="D39" s="19"/>
      <c r="E39" s="4" t="s">
        <v>4</v>
      </c>
      <c r="F39" s="14">
        <f>SUM(F37:F38)</f>
        <v>1024040.3556</v>
      </c>
    </row>
    <row r="40" spans="2:15" x14ac:dyDescent="0.25">
      <c r="B40" s="4"/>
      <c r="C40" s="4"/>
      <c r="D40" s="19"/>
      <c r="E40" s="4"/>
      <c r="F40" s="14"/>
    </row>
    <row r="41" spans="2:15" x14ac:dyDescent="0.25">
      <c r="B41" s="55" t="s">
        <v>23</v>
      </c>
      <c r="C41" s="56"/>
      <c r="D41" s="56"/>
      <c r="E41" s="56"/>
      <c r="F41" s="56"/>
    </row>
    <row r="42" spans="2:15" x14ac:dyDescent="0.25">
      <c r="B42" s="1"/>
      <c r="C42" s="1"/>
      <c r="D42" s="23"/>
      <c r="E42" s="23"/>
      <c r="F42" s="23"/>
    </row>
    <row r="43" spans="2:15" ht="27.75" customHeight="1" x14ac:dyDescent="0.25">
      <c r="B43" s="53" t="s">
        <v>26</v>
      </c>
      <c r="C43" s="53"/>
      <c r="D43" s="53"/>
      <c r="E43" s="53"/>
      <c r="F43" s="53"/>
    </row>
    <row r="44" spans="2:15" x14ac:dyDescent="0.25">
      <c r="B44" s="53" t="s">
        <v>27</v>
      </c>
      <c r="C44" s="53"/>
      <c r="D44" s="53"/>
      <c r="E44" s="53"/>
      <c r="F44" s="53"/>
      <c r="G44" s="22"/>
      <c r="H44" s="22"/>
      <c r="I44" s="22"/>
      <c r="J44" s="22"/>
      <c r="K44" s="22"/>
      <c r="L44" s="22"/>
      <c r="M44" s="22"/>
      <c r="N44" s="22"/>
      <c r="O44" s="22"/>
    </row>
    <row r="45" spans="2:15" x14ac:dyDescent="0.25">
      <c r="B45" s="53" t="s">
        <v>50</v>
      </c>
      <c r="C45" s="53"/>
      <c r="D45" s="53"/>
      <c r="E45" s="53"/>
      <c r="F45" s="53"/>
      <c r="G45" s="22"/>
      <c r="H45" s="22"/>
      <c r="I45" s="22"/>
      <c r="J45" s="22"/>
      <c r="K45" s="22"/>
      <c r="L45" s="22"/>
      <c r="M45" s="22"/>
      <c r="N45" s="22"/>
      <c r="O45" s="22"/>
    </row>
    <row r="46" spans="2:15" x14ac:dyDescent="0.25">
      <c r="B46" s="53" t="s">
        <v>28</v>
      </c>
      <c r="C46" s="53"/>
      <c r="D46" s="53"/>
      <c r="E46" s="53"/>
      <c r="F46" s="53"/>
      <c r="G46" s="22"/>
      <c r="H46" s="22"/>
      <c r="I46" s="22"/>
      <c r="J46" s="22"/>
      <c r="K46" s="22"/>
      <c r="L46" s="22"/>
      <c r="M46" s="22"/>
      <c r="N46" s="22"/>
      <c r="O46" s="22"/>
    </row>
    <row r="47" spans="2:15" ht="72" customHeight="1" x14ac:dyDescent="0.25">
      <c r="B47" s="53" t="s">
        <v>49</v>
      </c>
      <c r="C47" s="53"/>
      <c r="D47" s="53"/>
      <c r="E47" s="53"/>
      <c r="F47" s="53"/>
      <c r="G47" s="22"/>
      <c r="H47" s="22"/>
      <c r="I47" s="22"/>
      <c r="J47" s="22"/>
      <c r="K47" s="22"/>
      <c r="L47" s="22"/>
      <c r="M47" s="22"/>
      <c r="N47" s="22"/>
      <c r="O47" s="22"/>
    </row>
    <row r="48" spans="2:15" ht="24.75" customHeight="1" x14ac:dyDescent="0.25">
      <c r="B48" s="41"/>
      <c r="C48" s="41"/>
      <c r="D48" s="41"/>
      <c r="E48" s="41"/>
      <c r="F48" s="41"/>
      <c r="G48" s="22"/>
      <c r="H48" s="22"/>
      <c r="I48" s="22"/>
      <c r="J48" s="22"/>
      <c r="K48" s="22"/>
      <c r="L48" s="22"/>
      <c r="M48" s="22"/>
      <c r="N48" s="22"/>
      <c r="O48" s="22"/>
    </row>
    <row r="49" spans="2:15" ht="24.75" customHeight="1" x14ac:dyDescent="0.25">
      <c r="B49" s="41"/>
      <c r="C49" s="41"/>
      <c r="D49" s="41"/>
      <c r="E49" s="41"/>
      <c r="F49" s="41"/>
      <c r="G49" s="22"/>
      <c r="H49" s="22"/>
      <c r="I49" s="22"/>
      <c r="J49" s="22"/>
      <c r="K49" s="22"/>
      <c r="L49" s="22"/>
      <c r="M49" s="22"/>
      <c r="N49" s="22"/>
      <c r="O49" s="22"/>
    </row>
    <row r="50" spans="2:15" ht="24.75" customHeight="1" x14ac:dyDescent="0.25">
      <c r="B50" s="41"/>
      <c r="C50" s="41"/>
      <c r="D50" s="41"/>
      <c r="E50" s="41"/>
      <c r="F50" s="41"/>
      <c r="G50" s="22"/>
      <c r="H50" s="22"/>
      <c r="I50" s="22"/>
      <c r="J50" s="22"/>
      <c r="K50" s="22"/>
      <c r="L50" s="22"/>
      <c r="M50" s="22"/>
      <c r="N50" s="22"/>
      <c r="O50" s="22"/>
    </row>
    <row r="51" spans="2:15" x14ac:dyDescent="0.25">
      <c r="B51" s="23"/>
      <c r="C51" s="23"/>
      <c r="D51" s="23"/>
      <c r="E51" s="23"/>
      <c r="F51" s="23"/>
      <c r="G51" s="22"/>
      <c r="H51" s="22"/>
      <c r="I51" s="22"/>
      <c r="J51" s="22"/>
      <c r="K51" s="22"/>
      <c r="L51" s="22"/>
      <c r="M51" s="22"/>
      <c r="N51" s="22"/>
      <c r="O51" s="22"/>
    </row>
    <row r="52" spans="2:15" x14ac:dyDescent="0.25">
      <c r="B52" s="6" t="s">
        <v>29</v>
      </c>
      <c r="C52" s="6"/>
      <c r="D52" s="51" t="s">
        <v>30</v>
      </c>
      <c r="E52" s="51"/>
      <c r="F52" s="51"/>
      <c r="G52" s="22"/>
      <c r="H52" s="22"/>
      <c r="I52" s="22"/>
      <c r="J52" s="22"/>
      <c r="K52" s="22"/>
      <c r="L52" s="22"/>
      <c r="M52" s="22"/>
      <c r="N52" s="22"/>
      <c r="O52" s="22"/>
    </row>
    <row r="53" spans="2:15" x14ac:dyDescent="0.25">
      <c r="B53" s="8"/>
      <c r="C53" s="8"/>
      <c r="D53" s="24"/>
      <c r="E53" s="24"/>
      <c r="F53" s="24"/>
      <c r="G53" s="22"/>
      <c r="H53" s="22"/>
      <c r="I53" s="22"/>
      <c r="J53" s="22"/>
      <c r="K53" s="22"/>
      <c r="L53" s="22"/>
      <c r="M53" s="22"/>
      <c r="N53" s="22"/>
      <c r="O53" s="22"/>
    </row>
    <row r="54" spans="2:15" x14ac:dyDescent="0.25">
      <c r="B54" s="8"/>
      <c r="C54" s="8"/>
      <c r="D54" s="24"/>
      <c r="E54" s="24"/>
      <c r="F54" s="24"/>
      <c r="G54" s="22"/>
      <c r="H54" s="22"/>
      <c r="I54" s="22"/>
      <c r="J54" s="22"/>
      <c r="K54" s="22"/>
      <c r="L54" s="22"/>
      <c r="M54" s="22"/>
      <c r="N54" s="22"/>
      <c r="O54" s="22"/>
    </row>
    <row r="55" spans="2:15" x14ac:dyDescent="0.25">
      <c r="B55" s="15" t="s">
        <v>31</v>
      </c>
      <c r="C55" s="15"/>
      <c r="D55" s="24"/>
      <c r="E55" s="24"/>
      <c r="F55" s="24"/>
    </row>
    <row r="56" spans="2:15" x14ac:dyDescent="0.25">
      <c r="B56" s="26" t="s">
        <v>63</v>
      </c>
      <c r="C56" s="26"/>
      <c r="D56" s="52" t="s">
        <v>51</v>
      </c>
      <c r="E56" s="52"/>
      <c r="F56" s="52"/>
    </row>
    <row r="57" spans="2:15" x14ac:dyDescent="0.25">
      <c r="B57" s="16"/>
      <c r="C57" s="16"/>
      <c r="D57" s="24"/>
      <c r="E57" s="24"/>
      <c r="F57" s="24"/>
    </row>
    <row r="58" spans="2:15" x14ac:dyDescent="0.25">
      <c r="B58" s="49"/>
      <c r="C58" s="49"/>
      <c r="D58" s="50"/>
      <c r="E58" s="50"/>
      <c r="F58" s="50"/>
    </row>
    <row r="59" spans="2:15" x14ac:dyDescent="0.25">
      <c r="B59" s="50"/>
      <c r="C59" s="50"/>
      <c r="D59" s="50"/>
      <c r="E59" s="50"/>
      <c r="F59" s="50"/>
    </row>
    <row r="60" spans="2:15" x14ac:dyDescent="0.25">
      <c r="B60" s="50"/>
      <c r="C60" s="50"/>
      <c r="D60" s="50"/>
      <c r="E60" s="50"/>
      <c r="F60" s="50"/>
    </row>
    <row r="61" spans="2:15" x14ac:dyDescent="0.25">
      <c r="B61" s="50"/>
      <c r="C61" s="50"/>
      <c r="D61" s="50"/>
      <c r="E61" s="50"/>
      <c r="F61" s="50"/>
    </row>
    <row r="62" spans="2:15" x14ac:dyDescent="0.25">
      <c r="B62" s="22"/>
      <c r="C62" s="22"/>
      <c r="D62" s="22"/>
      <c r="E62" s="22"/>
      <c r="F62" s="22"/>
    </row>
    <row r="63" spans="2:15" x14ac:dyDescent="0.25">
      <c r="B63" s="22"/>
      <c r="C63" s="22"/>
      <c r="D63" s="22"/>
      <c r="E63" s="22"/>
      <c r="F63" s="22"/>
    </row>
    <row r="64" spans="2:15" x14ac:dyDescent="0.25">
      <c r="B64" s="22"/>
      <c r="C64" s="22"/>
      <c r="D64" s="22"/>
      <c r="E64" s="22"/>
      <c r="F64" s="22"/>
    </row>
    <row r="65" spans="2:6" x14ac:dyDescent="0.25">
      <c r="B65" s="22"/>
      <c r="C65" s="22"/>
      <c r="D65" s="22"/>
      <c r="E65" s="22"/>
      <c r="F65" s="22"/>
    </row>
  </sheetData>
  <mergeCells count="15">
    <mergeCell ref="B8:F8"/>
    <mergeCell ref="B17:F17"/>
    <mergeCell ref="B58:F61"/>
    <mergeCell ref="D52:F52"/>
    <mergeCell ref="D56:F56"/>
    <mergeCell ref="B43:F43"/>
    <mergeCell ref="B44:F44"/>
    <mergeCell ref="B45:F45"/>
    <mergeCell ref="B46:F46"/>
    <mergeCell ref="B22:F22"/>
    <mergeCell ref="B24:F24"/>
    <mergeCell ref="B47:F47"/>
    <mergeCell ref="B41:F41"/>
    <mergeCell ref="B20:F20"/>
    <mergeCell ref="B21:F21"/>
  </mergeCells>
  <pageMargins left="0.70866141732283472" right="0.11811023622047245" top="0.74803149606299213" bottom="0.74803149606299213" header="0.31496062992125984" footer="0.31496062992125984"/>
  <pageSetup paperSize="9" scale="6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2026-07-08T22:34:42Z</cp:lastPrinted>
  <dcterms:created xsi:type="dcterms:W3CDTF">2020-12-14T19:54:01Z</dcterms:created>
  <dcterms:modified xsi:type="dcterms:W3CDTF">2026-07-08T22:34:53Z</dcterms:modified>
</cp:coreProperties>
</file>