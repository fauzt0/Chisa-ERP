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5DD07705-ABDF-4F01-BA08-EAD2E81FA9EF}"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 i="3" l="1"/>
  <c r="F30" i="3"/>
  <c r="F29" i="3"/>
  <c r="F28" i="3"/>
  <c r="F27" i="3"/>
  <c r="F26" i="3"/>
  <c r="F25" i="3"/>
  <c r="F24" i="3"/>
  <c r="F23" i="3"/>
  <c r="F22" i="3"/>
  <c r="E19" i="1"/>
  <c r="E18" i="1" l="1"/>
  <c r="E21" i="1" l="1"/>
  <c r="E22" i="1" l="1"/>
  <c r="E23" i="1" l="1"/>
  <c r="F34" i="3" l="1"/>
  <c r="F35" i="3" s="1"/>
</calcChain>
</file>

<file path=xl/sharedStrings.xml><?xml version="1.0" encoding="utf-8"?>
<sst xmlns="http://schemas.openxmlformats.org/spreadsheetml/2006/main" count="82" uniqueCount="64">
  <si>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</si>
  <si>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</si>
  <si>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</si>
  <si>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</si>
  <si>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</si>
  <si>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</si>
  <si>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</si>
  <si>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</si>
  <si>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</si>
  <si>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</si>
  <si>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</si>
  <si>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</si>
  <si>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</si>
  <si>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</si>
  <si>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</si>
  <si>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</si>
  <si>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</si>
  <si>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</si>
  <si>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</si>
  <si>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</si>
  <si>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</si>
  <si>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</si>
  <si>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</si>
  <si>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</si>
  <si>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</si>
  <si>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</si>
  <si>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</si>
  <si>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</si>
  <si>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</si>
  <si>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</si>
  <si>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</si>
  <si>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</si>
  <si>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</si>
  <si>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</si>
  <si>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</si>
  <si>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</si>
  <si>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</si>
  <si>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</si>
  <si>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</si>
  <si>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</si>
  <si>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</si>
  <si>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</si>
  <si>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</si>
  <si>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</si>
  <si>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</si>
  <si>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</si>
  <si>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</si>
  <si>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1.-SELLADOR INICIAL (90 M2)</t>
  </si>
  <si>
    <t>2.- PRAIMER GLASS REF S.M.A. (85 M2)</t>
  </si>
  <si>
    <t>3.-CHISA GLASS REF. S.M.A.(60 M2)</t>
  </si>
  <si>
    <t>4.-VITROGLASS ECOLOGICO (180 M2)</t>
  </si>
  <si>
    <t xml:space="preserve">           HAPA SOLUCIONES INTEGRALES EN RECUBRIMIENTOS</t>
  </si>
  <si>
    <t xml:space="preserve">            ____________________________________                                                      _____________________________________________</t>
  </si>
  <si>
    <t>CIUDAD DE MEXICO A 17 DE JULIO DEL 2026</t>
  </si>
  <si>
    <t>CONSTRUCTORA: PREFIMAX SA DE CV</t>
  </si>
  <si>
    <t xml:space="preserve">AT´N: ING. RICARDO ALEJANDRO RODRIGUEZ </t>
  </si>
  <si>
    <t>OBRA: HOSPITAL DEL IMSS EN ZITACUARO, MIC</t>
  </si>
  <si>
    <t>PRES. REF. 16612/2026CG</t>
  </si>
  <si>
    <t>5.-MARMO GOT (25 M2)</t>
  </si>
  <si>
    <t>7.-MARMO FLEX (5 M2)</t>
  </si>
  <si>
    <t xml:space="preserve">           ING. RICARDO ALEJANDRO RODRIGUEZ </t>
  </si>
  <si>
    <t>6.-CHISA PLAST (16 M2)</t>
  </si>
  <si>
    <t>8.-PROTECT PLUS (90M2)</t>
  </si>
  <si>
    <t>8.-REDYPLAST G (12M2)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</si>
</sst>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72">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cellXfs>
  <cellStyles count="72">
    <cellStyle name="Moneda" xfId="1" builtinId="4"/>
    <cellStyle name="Moneda 10" xfId="41" xr:uid="{4D376FC4-9266-4B87-8752-F8E6D0A619E5}"/>
    <cellStyle name="Moneda 11" xfId="70" xr:uid="{1196FE40-7272-44C9-8088-7BFB4A625B50}"/>
    <cellStyle name="Moneda 12" xfId="35" xr:uid="{B50750B8-6137-4E67-A0B1-E294AC3BDF0E}"/>
    <cellStyle name="Moneda 13" xfId="71" xr:uid="{541382B3-8263-4069-AA0C-935B50578BBB}"/>
    <cellStyle name="Moneda 14" xfId="2" xr:uid="{A91CF3B9-9C3F-4655-854B-3381C58C5971}"/>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3" xfId="23" xr:uid="{EB3A109E-4685-4D72-AB98-57CFC7502AC3}"/>
    <cellStyle name="Moneda 2 2 3 2" xfId="62" xr:uid="{EE42DB92-02E1-43E1-A31F-61079AEB4FBB}"/>
    <cellStyle name="Moneda 2 2 4" xfId="69" xr:uid="{E1089F51-7137-43EF-BA7F-1CDEA62E83AB}"/>
    <cellStyle name="Moneda 2 2 5" xfId="46" xr:uid="{69BEAA91-FD91-41A8-B830-75D53FC54D80}"/>
    <cellStyle name="Moneda 2 2 6" xfId="40" xr:uid="{C79ED841-3E91-4855-B7AC-EA3497B25C02}"/>
    <cellStyle name="Moneda 2 3" xfId="11" xr:uid="{667EEF88-ED29-4415-B292-C2428B3B4904}"/>
    <cellStyle name="Moneda 2 3 2" xfId="27" xr:uid="{794D3631-C573-4492-916C-01C5EA283672}"/>
    <cellStyle name="Moneda 2 3 3" xfId="50" xr:uid="{8FFDEE7F-5189-4121-AA0D-8CBB73D2EC42}"/>
    <cellStyle name="Moneda 2 4" xfId="17" xr:uid="{0BC8E800-24B8-438B-B0E5-2EF9C392F89E}"/>
    <cellStyle name="Moneda 2 4 2" xfId="33" xr:uid="{3581CAC2-29E5-4B73-A003-A16BE88FCC88}"/>
    <cellStyle name="Moneda 2 4 3" xfId="56" xr:uid="{D366DC4E-D476-4F44-80A2-17603AF66034}"/>
    <cellStyle name="Moneda 2 5" xfId="20" xr:uid="{6E761435-0333-48D3-8E12-68ED68235C53}"/>
    <cellStyle name="Moneda 2 5 2" xfId="59" xr:uid="{6A82DA27-54CC-4631-AF01-88881C05BB08}"/>
    <cellStyle name="Moneda 2 6" xfId="65" xr:uid="{5EB08501-592D-45C3-832F-340B2A57CE71}"/>
    <cellStyle name="Moneda 2 7" xfId="43" xr:uid="{D2322E2A-8088-40A5-B28F-BD87662B2B8E}"/>
    <cellStyle name="Moneda 2 8" xfId="37" xr:uid="{DEDFCD53-DDAC-4DC5-88D8-8FE967D46158}"/>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3" xfId="22" xr:uid="{57147D47-FAA1-44A0-8036-1AD48DC44EA6}"/>
    <cellStyle name="Moneda 3 2 3 2" xfId="61" xr:uid="{2F4EDC0F-821F-49F5-A63B-12F2A9FB9CC6}"/>
    <cellStyle name="Moneda 3 2 4" xfId="68" xr:uid="{C7B71855-F2FD-4C7B-A8C5-F2A7D393B814}"/>
    <cellStyle name="Moneda 3 2 5" xfId="45" xr:uid="{55F8412B-C72F-4137-A899-17F09444DFD7}"/>
    <cellStyle name="Moneda 3 2 6" xfId="39" xr:uid="{F785F495-7934-4561-A2C4-C9CF204D85CD}"/>
    <cellStyle name="Moneda 3 3" xfId="10" xr:uid="{8F648247-9A04-4593-B3FF-AD86E96CF903}"/>
    <cellStyle name="Moneda 3 3 2" xfId="26" xr:uid="{81CAFAE8-CC4C-4C47-8079-DE083AD53193}"/>
    <cellStyle name="Moneda 3 3 3" xfId="49" xr:uid="{2D7BDD49-E4B3-423E-9B95-6ABF151F5283}"/>
    <cellStyle name="Moneda 3 4" xfId="19" xr:uid="{7699A138-E03D-4884-BA02-F5B50C16FF9F}"/>
    <cellStyle name="Moneda 3 4 2" xfId="58" xr:uid="{71AEEA80-C6C7-4334-98F5-7A6B94AA0891}"/>
    <cellStyle name="Moneda 3 5" xfId="64" xr:uid="{D479E5A0-6018-4C90-A7F3-129BC0DF4DE0}"/>
    <cellStyle name="Moneda 3 6" xfId="42" xr:uid="{2DFF5E7E-58CC-4B89-9513-A05ED25403F3}"/>
    <cellStyle name="Moneda 3 7" xfId="36" xr:uid="{11E140DB-6F0E-431F-A1EB-265A874E849E}"/>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3" xfId="21" xr:uid="{01BCC806-5655-48D8-A12C-58745C3634A3}"/>
    <cellStyle name="Moneda 4 3 2" xfId="60" xr:uid="{C06B185C-8B83-481F-B17C-5BAAFD7046B9}"/>
    <cellStyle name="Moneda 4 4" xfId="66" xr:uid="{02671B75-7B71-43F9-9427-493A8CDB38A5}"/>
    <cellStyle name="Moneda 4 5" xfId="44" xr:uid="{C3104001-D9F3-4E45-B7B7-9D11E3322B9B}"/>
    <cellStyle name="Moneda 4 6" xfId="38" xr:uid="{B13432E9-BBA7-4C85-AD8C-EE500B569135}"/>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3" xfId="24" xr:uid="{5E057A0A-68D7-470E-8847-3725E9F564ED}"/>
    <cellStyle name="Moneda 5 3 2" xfId="67" xr:uid="{F178486E-02DD-419D-B1DC-EE316A3F49BF}"/>
    <cellStyle name="Moneda 5 4" xfId="47" xr:uid="{7C481FA9-69B6-4301-97FE-2A7F6E3C890B}"/>
    <cellStyle name="Moneda 6" xfId="9" xr:uid="{F4C33197-3166-4A33-A8D9-19DC0C3ECE28}"/>
    <cellStyle name="Moneda 6 2" xfId="25" xr:uid="{D014DDF4-BEBB-4724-9D3E-3BDE10023B0F}"/>
    <cellStyle name="Moneda 6 3" xfId="48" xr:uid="{411F3C88-720E-45A4-AA9F-A0588939FF9D}"/>
    <cellStyle name="Moneda 7" xfId="16" xr:uid="{FC50B210-FEB6-45DB-9636-CA8BDFD8E866}"/>
    <cellStyle name="Moneda 7 2" xfId="32" xr:uid="{70A29698-5F27-44E6-AAE6-AFBB357EF5EB}"/>
    <cellStyle name="Moneda 7 3" xfId="55" xr:uid="{EB922DFE-0FFC-40E5-86B1-89E7013A685E}"/>
    <cellStyle name="Moneda 8" xfId="18" xr:uid="{4601BD7C-CBA9-4092-BE7C-057DE8AAA6CB}"/>
    <cellStyle name="Moneda 8 2" xfId="57" xr:uid="{7984ABC2-ADFA-41BD-ABFE-9491C93A0D8E}"/>
    <cellStyle name="Moneda 9" xfId="63" xr:uid="{56A1F3FC-774B-4432-AD82-58BD583AEEFA}"/>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4"/>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38</v>
      </c>
      <c r="B4" s="45"/>
      <c r="C4" s="45"/>
      <c r="D4" s="45"/>
      <c r="E4" s="45"/>
      <c r="F4" s="6"/>
    </row>
    <row r="5" spans="1:8" ht="12" customHeight="1" x14ac:dyDescent="0.25">
      <c r="A5" s="34"/>
      <c r="B5" s="34"/>
      <c r="C5" s="34"/>
      <c r="D5" s="34"/>
      <c r="E5" s="34"/>
      <c r="F5" s="6"/>
    </row>
    <row r="6" spans="1:8" ht="12" customHeight="1" x14ac:dyDescent="0.25">
      <c r="A6" s="1" t="s">
        <v>36</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59" t="s">
        <v>37</v>
      </c>
      <c r="B11" s="59"/>
      <c r="C11" s="59"/>
      <c r="D11" s="59"/>
      <c r="E11" s="59"/>
      <c r="F11" s="37"/>
    </row>
    <row r="12" spans="1:8" ht="12" customHeight="1" x14ac:dyDescent="0.25">
      <c r="A12" s="39"/>
      <c r="B12" s="35"/>
      <c r="C12" s="35"/>
      <c r="D12" s="35"/>
      <c r="E12" s="35"/>
      <c r="F12" s="35"/>
    </row>
    <row r="13" spans="1:8" ht="12" customHeight="1" x14ac:dyDescent="0.25">
      <c r="A13" s="37" t="s">
        <v>39</v>
      </c>
      <c r="B13" s="37"/>
      <c r="C13" s="37"/>
      <c r="D13" s="37"/>
      <c r="E13" s="37"/>
      <c r="F13" s="37"/>
    </row>
    <row r="14" spans="1:8" ht="12" customHeight="1" x14ac:dyDescent="0.25">
      <c r="A14" s="1" t="s">
        <v>40</v>
      </c>
      <c r="B14" s="36"/>
      <c r="C14" s="36"/>
      <c r="D14" s="36"/>
      <c r="E14" s="35"/>
      <c r="F14" s="35"/>
    </row>
    <row r="15" spans="1:8" ht="12" customHeight="1" x14ac:dyDescent="0.25">
      <c r="A15" s="8" t="s">
        <v>1</v>
      </c>
      <c r="B15" s="21"/>
      <c r="C15" s="21"/>
      <c r="D15" s="21"/>
      <c r="E15" s="20"/>
    </row>
    <row r="16" spans="1:8" ht="12" customHeight="1" x14ac:dyDescent="0.25">
      <c r="A16" s="62" t="s">
        <v>33</v>
      </c>
      <c r="B16" s="62"/>
      <c r="C16" s="62"/>
      <c r="D16" s="62"/>
      <c r="E16" s="62"/>
      <c r="F16" s="3"/>
      <c r="G16" s="3"/>
      <c r="H16" s="3"/>
    </row>
    <row r="17" spans="1:8" ht="21.75" customHeight="1" x14ac:dyDescent="0.25">
      <c r="A17" s="18" t="s">
        <v>20</v>
      </c>
      <c r="B17" s="25" t="s">
        <v>31</v>
      </c>
      <c r="C17" s="25" t="s">
        <v>18</v>
      </c>
      <c r="D17" s="25" t="s">
        <v>25</v>
      </c>
      <c r="E17" s="25" t="s">
        <v>19</v>
      </c>
      <c r="F17" s="2"/>
      <c r="G17" s="2"/>
      <c r="H17" s="2"/>
    </row>
    <row r="18" spans="1:8" ht="191.25" customHeight="1" x14ac:dyDescent="0.25">
      <c r="A18" s="30" t="s">
        <v>35</v>
      </c>
      <c r="B18" s="31" t="s">
        <v>21</v>
      </c>
      <c r="C18" s="32">
        <v>3500</v>
      </c>
      <c r="D18" s="22">
        <v>110</v>
      </c>
      <c r="E18" s="10">
        <f t="shared" ref="E18" si="0">C18*D18</f>
        <v>385000</v>
      </c>
      <c r="F18" s="2"/>
      <c r="G18" s="2"/>
      <c r="H18" s="2"/>
    </row>
    <row r="19" spans="1:8" ht="183" customHeight="1" x14ac:dyDescent="0.25">
      <c r="A19" s="38" t="s">
        <v>41</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61" t="s">
        <v>44</v>
      </c>
      <c r="B26" s="61"/>
      <c r="C26" s="61"/>
      <c r="D26" s="61"/>
      <c r="E26" s="61"/>
      <c r="F26" s="11"/>
      <c r="G26" s="11"/>
    </row>
    <row r="27" spans="1:8" ht="18" customHeight="1" x14ac:dyDescent="0.25">
      <c r="A27" s="55" t="s">
        <v>39</v>
      </c>
      <c r="B27" s="56"/>
      <c r="C27" s="56"/>
      <c r="D27" s="56"/>
      <c r="E27" s="56"/>
      <c r="F27" s="5"/>
      <c r="G27" s="11"/>
    </row>
    <row r="28" spans="1:8" ht="12" customHeight="1" x14ac:dyDescent="0.25">
      <c r="A28" s="63" t="s">
        <v>5</v>
      </c>
      <c r="B28" s="63"/>
      <c r="C28" s="63"/>
      <c r="D28" s="63"/>
      <c r="E28" s="63"/>
      <c r="F28" s="5"/>
      <c r="G28" s="11"/>
    </row>
    <row r="29" spans="1:8" ht="69" customHeight="1" x14ac:dyDescent="0.25">
      <c r="A29" s="57" t="s">
        <v>43</v>
      </c>
      <c r="B29" s="57"/>
      <c r="C29" s="57"/>
      <c r="D29" s="57"/>
      <c r="E29" s="57"/>
      <c r="F29" s="5"/>
      <c r="G29" s="11"/>
    </row>
    <row r="30" spans="1:8" ht="15" customHeight="1" x14ac:dyDescent="0.25">
      <c r="A30" s="63" t="s">
        <v>6</v>
      </c>
      <c r="B30" s="63"/>
      <c r="C30" s="63"/>
      <c r="D30" s="63"/>
      <c r="E30" s="63"/>
      <c r="F30" s="5"/>
    </row>
    <row r="31" spans="1:8" ht="33.75" customHeight="1" x14ac:dyDescent="0.25">
      <c r="A31" s="57" t="s">
        <v>7</v>
      </c>
      <c r="B31" s="57"/>
      <c r="C31" s="57"/>
      <c r="D31" s="57"/>
      <c r="E31" s="57"/>
    </row>
    <row r="32" spans="1:8" ht="43.5" customHeight="1" x14ac:dyDescent="0.25">
      <c r="A32" s="58" t="s">
        <v>8</v>
      </c>
      <c r="B32" s="58"/>
      <c r="C32" s="58"/>
      <c r="D32" s="58"/>
      <c r="E32" s="58"/>
    </row>
    <row r="33" spans="1:6" ht="46.5" customHeight="1" x14ac:dyDescent="0.25">
      <c r="A33" s="58" t="s">
        <v>9</v>
      </c>
      <c r="B33" s="58"/>
      <c r="C33" s="58"/>
      <c r="D33" s="58"/>
      <c r="E33" s="58"/>
    </row>
    <row r="34" spans="1:6" ht="21.75" customHeight="1" x14ac:dyDescent="0.25">
      <c r="A34" s="58" t="s">
        <v>10</v>
      </c>
      <c r="B34" s="58"/>
      <c r="C34" s="58"/>
      <c r="D34" s="58"/>
      <c r="E34" s="58"/>
      <c r="F34" s="5"/>
    </row>
    <row r="35" spans="1:6" ht="72" customHeight="1" x14ac:dyDescent="0.25">
      <c r="A35" s="57" t="s">
        <v>11</v>
      </c>
      <c r="B35" s="57"/>
      <c r="C35" s="57"/>
      <c r="D35" s="57"/>
      <c r="E35" s="57"/>
    </row>
    <row r="36" spans="1:6" ht="21.75" customHeight="1" x14ac:dyDescent="0.25">
      <c r="A36" s="57" t="s">
        <v>12</v>
      </c>
      <c r="B36" s="57"/>
      <c r="C36" s="57"/>
      <c r="D36" s="57"/>
      <c r="E36" s="57"/>
    </row>
    <row r="37" spans="1:6" ht="44.25" customHeight="1" x14ac:dyDescent="0.25">
      <c r="A37" s="57" t="s">
        <v>13</v>
      </c>
      <c r="B37" s="57"/>
      <c r="C37" s="57"/>
      <c r="D37" s="57"/>
      <c r="E37" s="57"/>
    </row>
    <row r="38" spans="1:6" ht="25.5" customHeight="1" x14ac:dyDescent="0.25">
      <c r="A38" s="57" t="s">
        <v>14</v>
      </c>
      <c r="B38" s="57"/>
      <c r="C38" s="57"/>
      <c r="D38" s="57"/>
      <c r="E38" s="57"/>
    </row>
    <row r="39" spans="1:6" ht="68.25" customHeight="1" x14ac:dyDescent="0.25">
      <c r="A39" s="58" t="s">
        <v>15</v>
      </c>
      <c r="B39" s="58"/>
      <c r="C39" s="58"/>
      <c r="D39" s="58"/>
      <c r="E39" s="58"/>
    </row>
    <row r="40" spans="1:6" ht="15" customHeight="1" x14ac:dyDescent="0.25">
      <c r="A40" s="57" t="s">
        <v>16</v>
      </c>
      <c r="B40" s="57"/>
      <c r="C40" s="57"/>
      <c r="D40" s="57"/>
      <c r="E40" s="57"/>
    </row>
    <row r="41" spans="1:6" ht="22.5" customHeight="1" x14ac:dyDescent="0.25">
      <c r="A41" s="8" t="s">
        <v>17</v>
      </c>
      <c r="B41" s="21"/>
      <c r="C41" s="21"/>
      <c r="D41" s="21"/>
      <c r="E41" s="20"/>
    </row>
    <row r="42" spans="1:6" ht="24" customHeight="1" x14ac:dyDescent="0.25">
      <c r="A42" s="26" t="s">
        <v>22</v>
      </c>
      <c r="B42" s="60" t="s">
        <v>32</v>
      </c>
      <c r="C42" s="60"/>
      <c r="D42" s="60"/>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34</v>
      </c>
      <c r="B45" s="21"/>
      <c r="C45" s="21"/>
      <c r="D45" s="21"/>
      <c r="E45" s="20"/>
    </row>
    <row r="46" spans="1:6" x14ac:dyDescent="0.25">
      <c r="A46" s="27" t="s">
        <v>42</v>
      </c>
      <c r="B46" s="28"/>
      <c r="C46" s="28"/>
      <c r="D46" s="28"/>
      <c r="E46" s="29"/>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A19" zoomScaleNormal="100" zoomScalePageLayoutView="50" workbookViewId="0">
      <selection activeCell="C31" sqref="C30:C31"/>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5" t="s">
        <v>53</v>
      </c>
      <c r="C8" s="45"/>
      <c r="D8" s="45"/>
      <c r="E8" s="45"/>
      <c r="F8" s="45"/>
    </row>
    <row r="9" spans="2:6" x14ac:dyDescent="0.25">
      <c r="B9" s="1"/>
      <c r="C9" s="20"/>
      <c r="D9" s="20"/>
      <c r="E9" s="20"/>
      <c r="F9" s="20"/>
    </row>
    <row r="10" spans="2:6" x14ac:dyDescent="0.25">
      <c r="B10" s="1"/>
      <c r="C10" s="20"/>
      <c r="D10" s="20"/>
      <c r="E10" s="20"/>
      <c r="F10" s="20"/>
    </row>
    <row r="11" spans="2:6" x14ac:dyDescent="0.25">
      <c r="B11" s="1" t="s">
        <v>54</v>
      </c>
      <c r="C11" s="20"/>
      <c r="D11" s="20"/>
      <c r="E11" s="20"/>
      <c r="F11" s="42"/>
    </row>
    <row r="12" spans="2:6" x14ac:dyDescent="0.25">
      <c r="B12" s="1" t="s">
        <v>0</v>
      </c>
      <c r="C12" s="20"/>
      <c r="D12" s="20"/>
      <c r="E12" s="20"/>
      <c r="F12" s="20"/>
    </row>
    <row r="13" spans="2:6" ht="13.5" customHeight="1" x14ac:dyDescent="0.25">
      <c r="B13" s="1"/>
      <c r="C13" s="20"/>
      <c r="D13" s="20"/>
      <c r="E13" s="20"/>
      <c r="F13" s="20"/>
    </row>
    <row r="14" spans="2:6" ht="21.75" customHeight="1" x14ac:dyDescent="0.25">
      <c r="B14" s="1"/>
      <c r="C14" s="20"/>
      <c r="D14" s="20"/>
      <c r="E14" s="20"/>
      <c r="F14" s="20"/>
    </row>
    <row r="15" spans="2:6" ht="21.75" customHeight="1" x14ac:dyDescent="0.25">
      <c r="B15" s="52" t="s">
        <v>55</v>
      </c>
      <c r="C15" s="52"/>
      <c r="D15" s="52"/>
      <c r="E15" s="52"/>
      <c r="F15" s="52"/>
    </row>
    <row r="16" spans="2:6" x14ac:dyDescent="0.25">
      <c r="B16" s="53" t="s">
        <v>56</v>
      </c>
      <c r="C16" s="53"/>
      <c r="D16" s="53"/>
      <c r="E16" s="53"/>
      <c r="F16" s="53"/>
    </row>
    <row r="17" spans="2:8" ht="30.75" customHeight="1" x14ac:dyDescent="0.25">
      <c r="B17" s="7" t="s">
        <v>57</v>
      </c>
      <c r="C17" s="21"/>
      <c r="D17" s="21"/>
      <c r="E17" s="21"/>
      <c r="F17" s="20"/>
    </row>
    <row r="18" spans="2:8" x14ac:dyDescent="0.25">
      <c r="B18" s="41" t="s">
        <v>20</v>
      </c>
      <c r="C18" s="41"/>
      <c r="D18" s="41" t="s">
        <v>18</v>
      </c>
      <c r="E18" s="41" t="s">
        <v>25</v>
      </c>
      <c r="F18" s="41" t="s">
        <v>19</v>
      </c>
    </row>
    <row r="19" spans="2:8" x14ac:dyDescent="0.25">
      <c r="B19" s="41"/>
      <c r="C19" s="41"/>
      <c r="D19" s="41"/>
      <c r="E19" s="41"/>
      <c r="F19" s="41"/>
    </row>
    <row r="20" spans="2:8" x14ac:dyDescent="0.25">
      <c r="B20" s="41"/>
      <c r="C20" s="41"/>
      <c r="D20" s="41"/>
      <c r="E20" s="41"/>
      <c r="F20" s="41"/>
    </row>
    <row r="21" spans="2:8" x14ac:dyDescent="0.25">
      <c r="B21" s="7"/>
      <c r="C21" s="7"/>
      <c r="D21" s="17"/>
      <c r="E21" s="17"/>
      <c r="F21" s="17"/>
    </row>
    <row r="22" spans="2:8" ht="15.75" customHeight="1" x14ac:dyDescent="0.25">
      <c r="B22" s="40" t="s">
        <v>47</v>
      </c>
      <c r="C22" s="24" t="s">
        <v>24</v>
      </c>
      <c r="D22" s="5">
        <v>1</v>
      </c>
      <c r="E22" s="22">
        <v>934.94</v>
      </c>
      <c r="F22" s="10">
        <f t="shared" ref="F22:F25" si="0">D22*E22</f>
        <v>934.94</v>
      </c>
    </row>
    <row r="23" spans="2:8" ht="15.75" customHeight="1" x14ac:dyDescent="0.25">
      <c r="B23" s="40" t="s">
        <v>48</v>
      </c>
      <c r="C23" s="24" t="s">
        <v>24</v>
      </c>
      <c r="D23" s="24">
        <v>1</v>
      </c>
      <c r="E23" s="22">
        <v>1118.97</v>
      </c>
      <c r="F23" s="10">
        <f t="shared" si="0"/>
        <v>1118.97</v>
      </c>
    </row>
    <row r="24" spans="2:8" ht="15.75" customHeight="1" x14ac:dyDescent="0.25">
      <c r="B24" s="40" t="s">
        <v>49</v>
      </c>
      <c r="C24" s="24" t="s">
        <v>24</v>
      </c>
      <c r="D24" s="5">
        <v>1</v>
      </c>
      <c r="E24" s="22">
        <v>5278.58</v>
      </c>
      <c r="F24" s="10">
        <f t="shared" si="0"/>
        <v>5278.58</v>
      </c>
    </row>
    <row r="25" spans="2:8" ht="15.75" customHeight="1" x14ac:dyDescent="0.25">
      <c r="B25" s="40" t="s">
        <v>50</v>
      </c>
      <c r="C25" s="24" t="s">
        <v>24</v>
      </c>
      <c r="D25" s="24">
        <v>1</v>
      </c>
      <c r="E25" s="22">
        <v>4125.2299999999996</v>
      </c>
      <c r="F25" s="10">
        <f t="shared" si="0"/>
        <v>4125.2299999999996</v>
      </c>
    </row>
    <row r="26" spans="2:8" ht="15.75" customHeight="1" x14ac:dyDescent="0.25">
      <c r="B26" s="40" t="s">
        <v>58</v>
      </c>
      <c r="C26" s="24" t="s">
        <v>24</v>
      </c>
      <c r="D26" s="24">
        <v>1</v>
      </c>
      <c r="E26" s="22">
        <v>2298.77</v>
      </c>
      <c r="F26" s="10">
        <f t="shared" ref="F26:F27" si="1">D26*E26</f>
        <v>2298.77</v>
      </c>
    </row>
    <row r="27" spans="2:8" ht="15.75" customHeight="1" x14ac:dyDescent="0.25">
      <c r="B27" s="40" t="s">
        <v>61</v>
      </c>
      <c r="C27" s="24" t="s">
        <v>24</v>
      </c>
      <c r="D27" s="24">
        <v>1</v>
      </c>
      <c r="E27" s="22">
        <v>1393.37</v>
      </c>
      <c r="F27" s="10">
        <f t="shared" si="1"/>
        <v>1393.37</v>
      </c>
    </row>
    <row r="28" spans="2:8" x14ac:dyDescent="0.25">
      <c r="B28" s="40" t="s">
        <v>59</v>
      </c>
      <c r="C28" s="24" t="s">
        <v>24</v>
      </c>
      <c r="D28" s="24">
        <v>1</v>
      </c>
      <c r="E28" s="22">
        <v>3461.38</v>
      </c>
      <c r="F28" s="10">
        <f t="shared" ref="F28" si="2">D28*E28</f>
        <v>3461.38</v>
      </c>
      <c r="H28" s="14"/>
    </row>
    <row r="29" spans="2:8" x14ac:dyDescent="0.25">
      <c r="B29" s="40" t="s">
        <v>62</v>
      </c>
      <c r="C29" s="24" t="s">
        <v>24</v>
      </c>
      <c r="D29" s="24">
        <v>1</v>
      </c>
      <c r="E29" s="22">
        <v>4489.1099999999997</v>
      </c>
      <c r="F29" s="10">
        <f t="shared" ref="F29" si="3">D29*E29</f>
        <v>4489.1099999999997</v>
      </c>
      <c r="H29" s="14"/>
    </row>
    <row r="30" spans="2:8" x14ac:dyDescent="0.25">
      <c r="B30" s="40" t="s">
        <v>63</v>
      </c>
      <c r="C30" s="24" t="s">
        <v>24</v>
      </c>
      <c r="D30" s="24">
        <v>1</v>
      </c>
      <c r="E30" s="22">
        <v>1303.44</v>
      </c>
      <c r="F30" s="10">
        <f t="shared" ref="F30" si="4">D30*E30</f>
        <v>1303.44</v>
      </c>
      <c r="H30" s="14"/>
    </row>
    <row r="31" spans="2:8" x14ac:dyDescent="0.25">
      <c r="B31" s="40"/>
      <c r="C31" s="24"/>
      <c r="D31" s="24"/>
      <c r="E31" s="22"/>
      <c r="F31" s="10"/>
      <c r="H31" s="14"/>
    </row>
    <row r="32" spans="2:8" x14ac:dyDescent="0.25">
      <c r="B32" s="40"/>
      <c r="C32" s="24"/>
      <c r="D32" s="24"/>
      <c r="E32" s="22"/>
      <c r="F32" s="10"/>
      <c r="H32" s="14"/>
    </row>
    <row r="33" spans="2:15" ht="19.5" customHeight="1" x14ac:dyDescent="0.25">
      <c r="B33" s="4"/>
      <c r="C33" s="4"/>
      <c r="D33" s="21"/>
      <c r="E33" s="4" t="s">
        <v>2</v>
      </c>
      <c r="F33" s="11">
        <f>SUM(F22:F32)</f>
        <v>24403.79</v>
      </c>
    </row>
    <row r="34" spans="2:15" ht="19.5" customHeight="1" x14ac:dyDescent="0.25">
      <c r="B34" s="4"/>
      <c r="C34" s="4"/>
      <c r="D34" s="4"/>
      <c r="E34" s="4" t="s">
        <v>3</v>
      </c>
      <c r="F34" s="11">
        <f>F33*16%</f>
        <v>3904.6064000000001</v>
      </c>
    </row>
    <row r="35" spans="2:15" ht="19.5" customHeight="1" x14ac:dyDescent="0.25">
      <c r="B35" s="4"/>
      <c r="C35" s="4"/>
      <c r="D35" s="16"/>
      <c r="E35" s="4" t="s">
        <v>4</v>
      </c>
      <c r="F35" s="11">
        <f>SUM(F33:F34)</f>
        <v>28308.396400000001</v>
      </c>
    </row>
    <row r="36" spans="2:15" ht="19.5" customHeight="1" x14ac:dyDescent="0.25">
      <c r="B36" s="4"/>
      <c r="C36" s="4"/>
      <c r="D36" s="16"/>
      <c r="E36" s="4"/>
      <c r="F36" s="11"/>
    </row>
    <row r="37" spans="2:15" x14ac:dyDescent="0.25">
      <c r="B37" s="4"/>
      <c r="C37" s="4"/>
      <c r="D37" s="16"/>
      <c r="E37" s="4"/>
      <c r="F37" s="11"/>
    </row>
    <row r="38" spans="2:15" x14ac:dyDescent="0.25">
      <c r="B38" s="50" t="s">
        <v>23</v>
      </c>
      <c r="C38" s="51"/>
      <c r="D38" s="51"/>
      <c r="E38" s="51"/>
      <c r="F38" s="51"/>
    </row>
    <row r="39" spans="2:15" x14ac:dyDescent="0.25">
      <c r="B39" s="1"/>
      <c r="C39" s="1"/>
      <c r="D39" s="20"/>
      <c r="E39" s="20"/>
      <c r="F39" s="20"/>
    </row>
    <row r="40" spans="2:15" ht="27.75" customHeight="1" x14ac:dyDescent="0.25">
      <c r="B40" s="49" t="s">
        <v>26</v>
      </c>
      <c r="C40" s="49"/>
      <c r="D40" s="49"/>
      <c r="E40" s="49"/>
      <c r="F40" s="49"/>
    </row>
    <row r="41" spans="2:15" x14ac:dyDescent="0.25">
      <c r="B41" s="49" t="s">
        <v>27</v>
      </c>
      <c r="C41" s="49"/>
      <c r="D41" s="49"/>
      <c r="E41" s="49"/>
      <c r="F41" s="49"/>
      <c r="G41" s="19"/>
      <c r="H41" s="19"/>
      <c r="I41" s="19"/>
      <c r="J41" s="19"/>
      <c r="K41" s="19"/>
      <c r="L41" s="19"/>
      <c r="M41" s="19"/>
      <c r="N41" s="19"/>
      <c r="O41" s="19"/>
    </row>
    <row r="42" spans="2:15" x14ac:dyDescent="0.25">
      <c r="B42" s="49" t="s">
        <v>46</v>
      </c>
      <c r="C42" s="49"/>
      <c r="D42" s="49"/>
      <c r="E42" s="49"/>
      <c r="F42" s="49"/>
      <c r="G42" s="19"/>
      <c r="H42" s="19"/>
      <c r="I42" s="19"/>
      <c r="J42" s="19"/>
      <c r="K42" s="19"/>
      <c r="L42" s="19"/>
      <c r="M42" s="19"/>
      <c r="N42" s="19"/>
      <c r="O42" s="19"/>
    </row>
    <row r="43" spans="2:15" x14ac:dyDescent="0.25">
      <c r="B43" s="49" t="s">
        <v>28</v>
      </c>
      <c r="C43" s="49"/>
      <c r="D43" s="49"/>
      <c r="E43" s="49"/>
      <c r="F43" s="49"/>
      <c r="G43" s="19"/>
      <c r="H43" s="19"/>
      <c r="I43" s="19"/>
      <c r="J43" s="19"/>
      <c r="K43" s="19"/>
      <c r="L43" s="19"/>
      <c r="M43" s="19"/>
      <c r="N43" s="19"/>
      <c r="O43" s="19"/>
    </row>
    <row r="44" spans="2:15" ht="72" customHeight="1" x14ac:dyDescent="0.25">
      <c r="B44" s="49" t="s">
        <v>45</v>
      </c>
      <c r="C44" s="49"/>
      <c r="D44" s="49"/>
      <c r="E44" s="49"/>
      <c r="F44" s="49"/>
      <c r="G44" s="19"/>
      <c r="H44" s="19"/>
      <c r="I44" s="19"/>
      <c r="J44" s="19"/>
      <c r="K44" s="19"/>
      <c r="L44" s="19"/>
      <c r="M44" s="19"/>
      <c r="N44" s="19"/>
      <c r="O44" s="19"/>
    </row>
    <row r="45" spans="2:15" ht="24.75" customHeight="1" x14ac:dyDescent="0.25">
      <c r="B45" s="38"/>
      <c r="C45" s="38"/>
      <c r="D45" s="38"/>
      <c r="E45" s="38"/>
      <c r="F45" s="38"/>
      <c r="G45" s="19"/>
      <c r="H45" s="19"/>
      <c r="I45" s="19"/>
      <c r="J45" s="19"/>
      <c r="K45" s="19"/>
      <c r="L45" s="19"/>
      <c r="M45" s="19"/>
      <c r="N45" s="19"/>
      <c r="O45" s="19"/>
    </row>
    <row r="46" spans="2:15" ht="24.75" customHeight="1" x14ac:dyDescent="0.25">
      <c r="B46" s="38"/>
      <c r="C46" s="38"/>
      <c r="D46" s="38"/>
      <c r="E46" s="38"/>
      <c r="F46" s="38"/>
      <c r="G46" s="19"/>
      <c r="H46" s="19"/>
      <c r="I46" s="19"/>
      <c r="J46" s="19"/>
      <c r="K46" s="19"/>
      <c r="L46" s="19"/>
      <c r="M46" s="19"/>
      <c r="N46" s="19"/>
      <c r="O46" s="19"/>
    </row>
    <row r="47" spans="2:15" ht="24.75" customHeight="1" x14ac:dyDescent="0.25">
      <c r="B47" s="38"/>
      <c r="C47" s="38"/>
      <c r="D47" s="38"/>
      <c r="E47" s="38"/>
      <c r="F47" s="38"/>
      <c r="G47" s="19"/>
      <c r="H47" s="19"/>
      <c r="I47" s="19"/>
      <c r="J47" s="19"/>
      <c r="K47" s="19"/>
      <c r="L47" s="19"/>
      <c r="M47" s="19"/>
      <c r="N47" s="19"/>
      <c r="O47" s="19"/>
    </row>
    <row r="48" spans="2:15" x14ac:dyDescent="0.25">
      <c r="B48" s="20"/>
      <c r="C48" s="20"/>
      <c r="D48" s="20"/>
      <c r="E48" s="20"/>
      <c r="F48" s="20"/>
      <c r="G48" s="19"/>
      <c r="H48" s="19"/>
      <c r="I48" s="19"/>
      <c r="J48" s="19"/>
      <c r="K48" s="19"/>
      <c r="L48" s="19"/>
      <c r="M48" s="19"/>
      <c r="N48" s="19"/>
      <c r="O48" s="19"/>
    </row>
    <row r="49" spans="2:15" x14ac:dyDescent="0.25">
      <c r="B49" s="6" t="s">
        <v>29</v>
      </c>
      <c r="C49" s="6"/>
      <c r="D49" s="48" t="s">
        <v>30</v>
      </c>
      <c r="E49" s="48"/>
      <c r="F49" s="48"/>
      <c r="G49" s="19"/>
      <c r="H49" s="19"/>
      <c r="I49" s="19"/>
      <c r="J49" s="19"/>
      <c r="K49" s="19"/>
      <c r="L49" s="19"/>
      <c r="M49" s="19"/>
      <c r="N49" s="19"/>
      <c r="O49" s="19"/>
    </row>
    <row r="50" spans="2:15" x14ac:dyDescent="0.25">
      <c r="B50" s="8"/>
      <c r="C50" s="8"/>
      <c r="D50" s="21"/>
      <c r="E50" s="21"/>
      <c r="F50" s="21"/>
      <c r="G50" s="19"/>
      <c r="H50" s="19"/>
      <c r="I50" s="19"/>
      <c r="J50" s="19"/>
      <c r="K50" s="19"/>
      <c r="L50" s="19"/>
      <c r="M50" s="19"/>
      <c r="N50" s="19"/>
      <c r="O50" s="19"/>
    </row>
    <row r="51" spans="2:15" x14ac:dyDescent="0.25">
      <c r="B51" s="8"/>
      <c r="C51" s="8"/>
      <c r="D51" s="21"/>
      <c r="E51" s="21"/>
      <c r="F51" s="21"/>
      <c r="G51" s="19"/>
      <c r="H51" s="19"/>
      <c r="I51" s="19"/>
      <c r="J51" s="19"/>
      <c r="K51" s="19"/>
      <c r="L51" s="19"/>
      <c r="M51" s="19"/>
      <c r="N51" s="19"/>
      <c r="O51" s="19"/>
    </row>
    <row r="52" spans="2:15" x14ac:dyDescent="0.25">
      <c r="B52" s="12" t="s">
        <v>52</v>
      </c>
      <c r="C52" s="12"/>
      <c r="D52" s="21"/>
      <c r="E52" s="21"/>
      <c r="F52" s="21"/>
    </row>
    <row r="53" spans="2:15" x14ac:dyDescent="0.25">
      <c r="B53" s="23" t="s">
        <v>60</v>
      </c>
      <c r="C53" s="43" t="s">
        <v>51</v>
      </c>
      <c r="D53" s="44"/>
      <c r="E53" s="44"/>
      <c r="F53" s="44"/>
    </row>
    <row r="54" spans="2:15" x14ac:dyDescent="0.25">
      <c r="B54" s="13"/>
      <c r="C54" s="13"/>
      <c r="D54" s="21"/>
      <c r="E54" s="21"/>
      <c r="F54" s="21"/>
    </row>
    <row r="55" spans="2:15" x14ac:dyDescent="0.25">
      <c r="B55" s="46"/>
      <c r="C55" s="46"/>
      <c r="D55" s="47"/>
      <c r="E55" s="47"/>
      <c r="F55" s="47"/>
    </row>
    <row r="56" spans="2:15" x14ac:dyDescent="0.25">
      <c r="B56" s="47"/>
      <c r="C56" s="47"/>
      <c r="D56" s="47"/>
      <c r="E56" s="47"/>
      <c r="F56" s="47"/>
    </row>
    <row r="57" spans="2:15" x14ac:dyDescent="0.25">
      <c r="B57" s="47"/>
      <c r="C57" s="47"/>
      <c r="D57" s="47"/>
      <c r="E57" s="47"/>
      <c r="F57" s="47"/>
    </row>
    <row r="58" spans="2:15" x14ac:dyDescent="0.25">
      <c r="B58" s="47"/>
      <c r="C58" s="47"/>
      <c r="D58" s="47"/>
      <c r="E58" s="47"/>
      <c r="F58" s="47"/>
    </row>
    <row r="59" spans="2:15" x14ac:dyDescent="0.25">
      <c r="B59" s="19"/>
      <c r="C59" s="19"/>
      <c r="D59" s="19"/>
      <c r="E59" s="19"/>
      <c r="F59" s="19"/>
    </row>
    <row r="60" spans="2:15" x14ac:dyDescent="0.25">
      <c r="B60" s="19"/>
      <c r="C60" s="19"/>
      <c r="D60" s="19"/>
      <c r="E60" s="19"/>
      <c r="F60" s="19"/>
    </row>
    <row r="61" spans="2:15" x14ac:dyDescent="0.25">
      <c r="B61" s="19"/>
      <c r="C61" s="19"/>
      <c r="D61" s="19"/>
      <c r="E61" s="19"/>
      <c r="F61" s="19"/>
    </row>
    <row r="62" spans="2:15" x14ac:dyDescent="0.25">
      <c r="B62" s="19"/>
      <c r="C62" s="19"/>
      <c r="D62" s="19"/>
      <c r="E62" s="19"/>
      <c r="F62" s="19"/>
    </row>
  </sheetData>
  <mergeCells count="12">
    <mergeCell ref="C53:F53"/>
    <mergeCell ref="B8:F8"/>
    <mergeCell ref="B55:F58"/>
    <mergeCell ref="D49:F49"/>
    <mergeCell ref="B40:F40"/>
    <mergeCell ref="B41:F41"/>
    <mergeCell ref="B42:F42"/>
    <mergeCell ref="B43:F43"/>
    <mergeCell ref="B44:F44"/>
    <mergeCell ref="B38:F38"/>
    <mergeCell ref="B15:F15"/>
    <mergeCell ref="B16:F16"/>
  </mergeCells>
  <pageMargins left="0.70866141732283472" right="0.11811023622047245" top="0.74803149606299213" bottom="0.74803149606299213" header="0.31496062992125984" footer="0.31496062992125984"/>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2026-07-16T01:32:28Z</cp:lastPrinted>
  <dcterms:created xsi:type="dcterms:W3CDTF">2020-12-14T19:54:01Z</dcterms:created>
  <dcterms:modified xsi:type="dcterms:W3CDTF">2026-07-16T01:32:35Z</dcterms:modified>
</cp:coreProperties>
</file>