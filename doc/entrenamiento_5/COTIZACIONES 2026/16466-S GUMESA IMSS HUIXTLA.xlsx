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7A7B2EF-2147-4C63-BF53-47C1749BB13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3" l="1"/>
  <c r="F25" i="3"/>
  <c r="F29" i="3" l="1"/>
  <c r="D21" i="1"/>
  <c r="D22" i="1" s="1"/>
  <c r="F30" i="3" l="1"/>
  <c r="F31" i="3" s="1"/>
</calcChain>
</file>

<file path=xl/sharedStrings.xml><?xml version="1.0" encoding="utf-8"?>
<sst xmlns="http://schemas.openxmlformats.org/spreadsheetml/2006/main" count="67" uniqueCount="60">
  <si>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</si>
  <si>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</si>
  <si>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</si>
  <si>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</si>
  <si>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</si>
  <si>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</si>
  <si>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</si>
  <si>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</si>
  <si>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</si>
  <si>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</si>
  <si>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</si>
  <si>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</si>
  <si>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</si>
  <si>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</si>
  <si>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</si>
  <si>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</si>
  <si>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</si>
  <si>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</si>
  <si>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</si>
  <si>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</si>
  <si>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</si>
  <si>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</si>
  <si>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</si>
  <si>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</si>
  <si>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</si>
  <si>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</si>
  <si>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</si>
  <si>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</si>
  <si>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</si>
  <si>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</si>
  <si>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</si>
  <si>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</si>
  <si>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</si>
  <si>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</si>
  <si>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</si>
  <si>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</si>
  <si>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</si>
  <si>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</si>
  <si>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</si>
  <si>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</si>
  <si>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</si>
  <si>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</si>
  <si>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</si>
  <si>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</si>
  <si>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CHISA RECUBRIMIENTOS, S.A DE C.V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</si>
  <si>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</si>
  <si>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</si>
  <si>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</si>
  <si>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</si>
  <si>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</si>
  <si>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</si>
  <si>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CONSTRUCTORA: GUMESA</t>
  </si>
  <si>
    <t>AT´N: DAVID ISAIAS GUMETA SANCHEZ</t>
  </si>
  <si>
    <t>OBRA: IMSS EN HUIXTLA, CHI</t>
  </si>
  <si>
    <t xml:space="preserve">                DAVID ISAIAS GUMETA SANCHEZ</t>
  </si>
  <si>
    <t>CIUDAD DE MEXICO A 25 DE MARZO DEL 2026</t>
  </si>
  <si>
    <t>PRES. REF. 16466-S/2026CG</t>
  </si>
  <si>
    <t xml:space="preserve">PRESENTAMOS A SU AMABLE CONSIDERACIÓN EL PRESUPUESTO DE SUMINISTRO DE LOS SIGUIENTES MATERIALES: </t>
  </si>
  <si>
    <t>1.- PRAIMER GLASS REF. S.M.A (REND. 85M2)</t>
  </si>
  <si>
    <t>1.- CHISA PLAST REF. S.M.A (REND. 16M2)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</si>
</sst>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center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7"/>
      <c r="B5" s="27"/>
      <c r="C5" s="27"/>
      <c r="D5" s="27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9" t="s">
        <v>33</v>
      </c>
      <c r="B17" s="25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8" t="s">
        <v>34</v>
      </c>
      <c r="B18" s="34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8"/>
      <c r="B19" s="30"/>
      <c r="C19" s="22"/>
      <c r="D19" s="22"/>
    </row>
    <row r="20" spans="1:7" ht="18.75" customHeight="1" x14ac:dyDescent="0.25">
      <c r="A20" s="4"/>
      <c r="B20" s="31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2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35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6" t="s">
        <v>22</v>
      </c>
      <c r="B40" s="52" t="s">
        <v>31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3"/>
      <c r="B45" s="33"/>
      <c r="C45" s="33"/>
      <c r="D45" s="33"/>
    </row>
    <row r="46" spans="1:4" x14ac:dyDescent="0.25">
      <c r="A46" s="33"/>
      <c r="B46" s="33"/>
      <c r="C46" s="33"/>
      <c r="D46" s="33"/>
    </row>
    <row r="47" spans="1:4" x14ac:dyDescent="0.25">
      <c r="A47" s="33"/>
      <c r="B47" s="33"/>
      <c r="C47" s="33"/>
      <c r="D47" s="33"/>
    </row>
    <row r="48" spans="1:4" x14ac:dyDescent="0.25">
      <c r="A48" s="33"/>
      <c r="B48" s="33"/>
      <c r="C48" s="33"/>
      <c r="D48" s="33"/>
    </row>
    <row r="49" spans="1:4" x14ac:dyDescent="0.25">
      <c r="A49" s="33"/>
      <c r="B49" s="33"/>
      <c r="C49" s="33"/>
      <c r="D49" s="33"/>
    </row>
    <row r="50" spans="1:4" x14ac:dyDescent="0.25">
      <c r="A50" s="33"/>
      <c r="B50" s="33"/>
      <c r="C50" s="33"/>
      <c r="D50" s="33"/>
    </row>
    <row r="51" spans="1:4" x14ac:dyDescent="0.25">
      <c r="A51" s="33"/>
      <c r="B51" s="33"/>
      <c r="C51" s="33"/>
      <c r="D51" s="33"/>
    </row>
    <row r="52" spans="1:4" x14ac:dyDescent="0.25">
      <c r="A52" s="33"/>
      <c r="B52" s="33"/>
      <c r="C52" s="33"/>
      <c r="D52" s="33"/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9"/>
  <sheetViews>
    <sheetView tabSelected="1" topLeftCell="A19" zoomScaleNormal="100" zoomScalePageLayoutView="50" workbookViewId="0">
      <selection activeCell="F31" sqref="F3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55</v>
      </c>
      <c r="C9" s="49"/>
      <c r="D9" s="49"/>
      <c r="E9" s="49"/>
      <c r="F9" s="49"/>
    </row>
    <row r="10" spans="2:6" x14ac:dyDescent="0.25">
      <c r="B10" s="18"/>
      <c r="C10" s="27"/>
      <c r="D10" s="27"/>
      <c r="E10" s="27"/>
      <c r="F10" s="27"/>
    </row>
    <row r="11" spans="2:6" x14ac:dyDescent="0.25">
      <c r="B11" s="27"/>
      <c r="C11" s="27"/>
      <c r="D11" s="27"/>
      <c r="E11" s="27"/>
      <c r="F11" s="27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50" t="s">
        <v>52</v>
      </c>
      <c r="C14" s="50"/>
      <c r="D14" s="50"/>
      <c r="E14" s="50"/>
      <c r="F14" s="50"/>
    </row>
    <row r="15" spans="2:6" x14ac:dyDescent="0.25">
      <c r="B15" s="42"/>
      <c r="C15" s="42"/>
      <c r="D15" s="42"/>
      <c r="E15" s="42"/>
      <c r="F15" s="42"/>
    </row>
    <row r="16" spans="2:6" x14ac:dyDescent="0.25">
      <c r="B16" s="42"/>
      <c r="C16" s="42"/>
      <c r="D16" s="42"/>
      <c r="E16" s="42"/>
      <c r="F16" s="42"/>
    </row>
    <row r="17" spans="2:6" x14ac:dyDescent="0.25">
      <c r="B17" s="51" t="s">
        <v>53</v>
      </c>
      <c r="C17" s="51"/>
      <c r="D17" s="51"/>
      <c r="E17" s="51"/>
      <c r="F17" s="51"/>
    </row>
    <row r="18" spans="2:6" ht="12.75" customHeight="1" x14ac:dyDescent="0.25">
      <c r="B18" s="8" t="s">
        <v>56</v>
      </c>
      <c r="C18" s="8"/>
      <c r="D18" s="21"/>
      <c r="E18" s="21"/>
      <c r="F18" s="21"/>
    </row>
    <row r="19" spans="2:6" ht="12.75" customHeight="1" x14ac:dyDescent="0.25">
      <c r="B19" s="8"/>
      <c r="C19" s="8"/>
      <c r="D19" s="21"/>
      <c r="E19" s="21"/>
      <c r="F19" s="21"/>
    </row>
    <row r="20" spans="2:6" ht="13.5" customHeight="1" x14ac:dyDescent="0.25">
      <c r="B20" s="9" t="s">
        <v>2</v>
      </c>
      <c r="C20" s="9"/>
      <c r="D20" s="21"/>
      <c r="E20" s="21"/>
      <c r="F20" s="21"/>
    </row>
    <row r="21" spans="2:6" ht="24.75" customHeight="1" x14ac:dyDescent="0.25">
      <c r="B21" s="47" t="s">
        <v>57</v>
      </c>
      <c r="C21" s="47"/>
      <c r="D21" s="47"/>
      <c r="E21" s="47"/>
      <c r="F21" s="47"/>
    </row>
    <row r="22" spans="2:6" ht="18" customHeight="1" x14ac:dyDescent="0.25">
      <c r="B22" s="37"/>
      <c r="C22" s="37"/>
      <c r="D22" s="37"/>
      <c r="E22" s="37"/>
      <c r="F22" s="37"/>
    </row>
    <row r="23" spans="2:6" x14ac:dyDescent="0.25">
      <c r="B23" s="8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7"/>
      <c r="C24" s="8"/>
      <c r="D24" s="17"/>
      <c r="E24" s="17"/>
      <c r="F24" s="17"/>
    </row>
    <row r="25" spans="2:6" x14ac:dyDescent="0.25">
      <c r="B25" s="36" t="s">
        <v>58</v>
      </c>
      <c r="C25" s="24" t="s">
        <v>47</v>
      </c>
      <c r="D25" s="35">
        <v>1</v>
      </c>
      <c r="E25" s="43">
        <v>1128.18</v>
      </c>
      <c r="F25" s="43">
        <f>E25*D25</f>
        <v>1128.18</v>
      </c>
    </row>
    <row r="26" spans="2:6" x14ac:dyDescent="0.25">
      <c r="B26" s="36" t="s">
        <v>59</v>
      </c>
      <c r="C26" s="24" t="s">
        <v>47</v>
      </c>
      <c r="D26" s="35">
        <v>1</v>
      </c>
      <c r="E26" s="43">
        <v>1316.34</v>
      </c>
      <c r="F26" s="43">
        <f>E26*D26</f>
        <v>1316.34</v>
      </c>
    </row>
    <row r="27" spans="2:6" x14ac:dyDescent="0.25">
      <c r="B27" s="36"/>
      <c r="C27" s="24"/>
      <c r="D27" s="35"/>
      <c r="E27" s="43"/>
      <c r="F27" s="43"/>
    </row>
    <row r="28" spans="2:6" x14ac:dyDescent="0.25">
      <c r="B28" s="36"/>
      <c r="C28" s="24"/>
      <c r="D28" s="35"/>
      <c r="E28" s="43"/>
      <c r="F28" s="43"/>
    </row>
    <row r="29" spans="2:6" x14ac:dyDescent="0.25">
      <c r="B29" s="4"/>
      <c r="C29" s="4"/>
      <c r="D29" s="16"/>
      <c r="E29" s="4" t="s">
        <v>3</v>
      </c>
      <c r="F29" s="11">
        <f>SUM(F25:F28)</f>
        <v>2444.52</v>
      </c>
    </row>
    <row r="30" spans="2:6" x14ac:dyDescent="0.25">
      <c r="B30" s="4"/>
      <c r="C30" s="4"/>
      <c r="D30" s="16"/>
      <c r="E30" s="4" t="s">
        <v>45</v>
      </c>
      <c r="F30" s="11">
        <f>F29*16%</f>
        <v>391.1232</v>
      </c>
    </row>
    <row r="31" spans="2:6" x14ac:dyDescent="0.25">
      <c r="B31" s="4"/>
      <c r="C31" s="4"/>
      <c r="D31" s="16"/>
      <c r="E31" s="4" t="s">
        <v>46</v>
      </c>
      <c r="F31" s="11">
        <f>F29+F30</f>
        <v>2835.6432</v>
      </c>
    </row>
    <row r="32" spans="2:6" x14ac:dyDescent="0.25">
      <c r="B32" s="4"/>
      <c r="C32" s="4"/>
      <c r="D32" s="16"/>
      <c r="E32" s="4"/>
      <c r="F32" s="11"/>
    </row>
    <row r="33" spans="2:8" x14ac:dyDescent="0.25">
      <c r="B33" s="4"/>
      <c r="C33" s="4"/>
      <c r="D33" s="16"/>
      <c r="E33" s="4"/>
      <c r="F33" s="11"/>
    </row>
    <row r="34" spans="2:8" x14ac:dyDescent="0.25">
      <c r="B34" s="4"/>
      <c r="C34" s="4"/>
      <c r="D34" s="16"/>
      <c r="E34" s="4"/>
      <c r="F34" s="11"/>
    </row>
    <row r="35" spans="2:8" x14ac:dyDescent="0.25">
      <c r="B35" s="1" t="s">
        <v>23</v>
      </c>
      <c r="C35" s="1"/>
      <c r="D35" s="20"/>
      <c r="E35" s="20"/>
      <c r="F35" s="20"/>
    </row>
    <row r="36" spans="2:8" ht="27.75" customHeight="1" x14ac:dyDescent="0.25">
      <c r="B36" s="47" t="s">
        <v>26</v>
      </c>
      <c r="C36" s="47"/>
      <c r="D36" s="47"/>
      <c r="E36" s="47"/>
      <c r="F36" s="47"/>
    </row>
    <row r="37" spans="2:8" ht="17.25" customHeight="1" x14ac:dyDescent="0.25">
      <c r="B37" s="47" t="s">
        <v>27</v>
      </c>
      <c r="C37" s="47"/>
      <c r="D37" s="47"/>
      <c r="E37" s="47"/>
      <c r="F37" s="47"/>
    </row>
    <row r="38" spans="2:8" ht="15" customHeight="1" x14ac:dyDescent="0.25">
      <c r="B38" s="47" t="s">
        <v>28</v>
      </c>
      <c r="C38" s="47"/>
      <c r="D38" s="47"/>
      <c r="E38" s="47"/>
      <c r="F38" s="47"/>
    </row>
    <row r="39" spans="2:8" ht="18" customHeight="1" x14ac:dyDescent="0.25">
      <c r="B39" s="47" t="s">
        <v>29</v>
      </c>
      <c r="C39" s="47"/>
      <c r="D39" s="47"/>
      <c r="E39" s="47"/>
      <c r="F39" s="47"/>
    </row>
    <row r="40" spans="2:8" ht="96.75" customHeight="1" x14ac:dyDescent="0.25">
      <c r="B40" s="47" t="s">
        <v>30</v>
      </c>
      <c r="C40" s="47"/>
      <c r="D40" s="47"/>
      <c r="E40" s="47"/>
      <c r="F40" s="47"/>
    </row>
    <row r="41" spans="2:8" ht="14.25" customHeight="1" x14ac:dyDescent="0.25">
      <c r="B41" s="37"/>
      <c r="C41" s="37"/>
      <c r="D41" s="37"/>
      <c r="E41" s="37"/>
      <c r="F41" s="37"/>
    </row>
    <row r="42" spans="2:8" ht="14.25" customHeight="1" x14ac:dyDescent="0.25">
      <c r="B42" s="37"/>
      <c r="C42" s="37"/>
      <c r="D42" s="37"/>
      <c r="E42" s="37"/>
      <c r="F42" s="37"/>
    </row>
    <row r="43" spans="2:8" x14ac:dyDescent="0.25">
      <c r="B43" s="20"/>
      <c r="C43" s="20"/>
      <c r="D43" s="20"/>
      <c r="E43" s="20"/>
      <c r="F43" s="20"/>
      <c r="H43" s="14"/>
    </row>
    <row r="44" spans="2:8" x14ac:dyDescent="0.25">
      <c r="B44" s="18" t="s">
        <v>49</v>
      </c>
      <c r="C44" s="40"/>
      <c r="D44" s="46" t="s">
        <v>48</v>
      </c>
      <c r="E44" s="46"/>
      <c r="F44" s="46"/>
    </row>
    <row r="45" spans="2:8" x14ac:dyDescent="0.25">
      <c r="B45" s="9"/>
      <c r="C45" s="9"/>
      <c r="D45" s="21"/>
      <c r="E45" s="21"/>
      <c r="F45" s="21"/>
    </row>
    <row r="46" spans="2:8" x14ac:dyDescent="0.25">
      <c r="B46" s="9"/>
      <c r="C46" s="9"/>
      <c r="D46" s="21"/>
      <c r="E46" s="21"/>
      <c r="F46" s="21"/>
    </row>
    <row r="47" spans="2:8" x14ac:dyDescent="0.25">
      <c r="B47" s="12" t="s">
        <v>50</v>
      </c>
      <c r="C47" s="12"/>
      <c r="D47" s="12"/>
      <c r="E47" s="12"/>
      <c r="F47" s="12"/>
    </row>
    <row r="48" spans="2:8" x14ac:dyDescent="0.25">
      <c r="B48" s="39" t="s">
        <v>54</v>
      </c>
      <c r="C48" s="41"/>
      <c r="D48" s="48" t="s">
        <v>44</v>
      </c>
      <c r="E48" s="48"/>
      <c r="F48" s="48"/>
    </row>
    <row r="49" spans="2:15" x14ac:dyDescent="0.25">
      <c r="B49" s="23"/>
      <c r="C49" s="38"/>
      <c r="D49" s="38"/>
      <c r="E49" s="38"/>
      <c r="F49" s="38"/>
    </row>
    <row r="50" spans="2:15" x14ac:dyDescent="0.25">
      <c r="B50" s="23"/>
      <c r="C50" s="38"/>
      <c r="D50" s="38"/>
      <c r="E50" s="38"/>
      <c r="F50" s="38"/>
    </row>
    <row r="51" spans="2:15" x14ac:dyDescent="0.25">
      <c r="B51" s="13"/>
      <c r="C51" s="13"/>
      <c r="D51" s="21"/>
      <c r="E51" s="21"/>
      <c r="F51" s="21"/>
    </row>
    <row r="52" spans="2:15" x14ac:dyDescent="0.25">
      <c r="B52" s="44" t="s">
        <v>24</v>
      </c>
      <c r="C52" s="44"/>
      <c r="D52" s="45"/>
      <c r="E52" s="45"/>
      <c r="F52" s="45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45"/>
      <c r="C53" s="45"/>
      <c r="D53" s="45"/>
      <c r="E53" s="45"/>
      <c r="F53" s="45"/>
      <c r="G53" s="19"/>
      <c r="H53" s="19"/>
      <c r="I53" s="19"/>
      <c r="J53" s="19"/>
      <c r="K53" s="19"/>
      <c r="L53" s="19"/>
      <c r="M53" s="19"/>
      <c r="N53" s="19"/>
      <c r="O53" s="19"/>
    </row>
    <row r="54" spans="2:15" x14ac:dyDescent="0.25">
      <c r="B54" s="45"/>
      <c r="C54" s="45"/>
      <c r="D54" s="45"/>
      <c r="E54" s="45"/>
      <c r="F54" s="45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45"/>
      <c r="C55" s="45"/>
      <c r="D55" s="45"/>
      <c r="E55" s="45"/>
      <c r="F55" s="45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</sheetData>
  <mergeCells count="12">
    <mergeCell ref="B9:F9"/>
    <mergeCell ref="B14:F14"/>
    <mergeCell ref="B17:F17"/>
    <mergeCell ref="B21:F21"/>
    <mergeCell ref="B40:F40"/>
    <mergeCell ref="B52:F55"/>
    <mergeCell ref="D44:F44"/>
    <mergeCell ref="B36:F36"/>
    <mergeCell ref="B37:F37"/>
    <mergeCell ref="B38:F38"/>
    <mergeCell ref="B39:F39"/>
    <mergeCell ref="D48:F48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2026-03-25T19:22:57Z</cp:lastPrinted>
  <dcterms:created xsi:type="dcterms:W3CDTF">2020-12-14T19:54:01Z</dcterms:created>
  <dcterms:modified xsi:type="dcterms:W3CDTF">2026-03-25T19:23:05Z</dcterms:modified>
</cp:coreProperties>
</file>