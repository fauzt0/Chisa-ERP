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A09DEE0-4A9D-4B04-95EC-F2186B9E5C43}"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9" i="1" l="1"/>
  <c r="E87" i="1"/>
  <c r="E85" i="1"/>
  <c r="E93" i="1"/>
  <c r="E91" i="1"/>
  <c r="E83" i="1"/>
  <c r="E81" i="1"/>
  <c r="E73" i="1"/>
  <c r="E71" i="1"/>
  <c r="E69" i="1"/>
  <c r="E67" i="1"/>
  <c r="E65" i="1"/>
  <c r="E63" i="1"/>
  <c r="E51" i="1"/>
  <c r="E49" i="1"/>
  <c r="E47" i="1"/>
  <c r="E45" i="1"/>
  <c r="E41" i="1"/>
  <c r="E39" i="1"/>
  <c r="E28" i="1"/>
  <c r="E26" i="1"/>
  <c r="E24" i="1"/>
  <c r="E22" i="1"/>
  <c r="E20" i="1"/>
  <c r="E97" i="1" l="1"/>
  <c r="E98" i="1" s="1"/>
  <c r="E99" i="1" l="1"/>
  <c r="F16" i="3"/>
  <c r="F20" i="3" l="1"/>
  <c r="F17" i="3"/>
  <c r="F21" i="3" l="1"/>
  <c r="F19" i="3"/>
  <c r="F18" i="3"/>
  <c r="F26" i="3" l="1"/>
  <c r="F27" i="3" l="1"/>
  <c r="F28" i="3" s="1"/>
</calcChain>
</file>

<file path=xl/sharedStrings.xml><?xml version="1.0" encoding="utf-8"?>
<sst xmlns="http://schemas.openxmlformats.org/spreadsheetml/2006/main" count="126" uniqueCount="94">
  <si>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</si>
  <si>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</si>
  <si>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</si>
  <si>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</si>
  <si>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</si>
  <si>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</si>
  <si>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</si>
  <si>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</si>
  <si>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</si>
  <si>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</si>
  <si>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</si>
  <si>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</si>
  <si>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</si>
  <si>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</si>
  <si>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</si>
  <si>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</si>
  <si>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</si>
  <si>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</si>
  <si>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</si>
  <si>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</si>
  <si>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</si>
  <si>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t>M2</t>
  </si>
  <si>
    <t>ACEPTO</t>
  </si>
  <si>
    <t xml:space="preserve">PRESENTAMOS A SU AMABLE CONSIDERACIÓN EL PRESUPUESTO DE SUMINISTRO DE LOS SIGUIENTES MATERIALES: </t>
  </si>
  <si>
    <t xml:space="preserve">NOTAS: </t>
  </si>
  <si>
    <t xml:space="preserve">  CAROLINA GALVAN</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</si>
  <si>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</si>
  <si>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</si>
  <si>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</si>
  <si>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</si>
  <si>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</si>
  <si>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</si>
  <si>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</si>
  <si>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</si>
  <si>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</si>
  <si>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</si>
  <si>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</si>
  <si>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CUBETA</t>
  </si>
  <si>
    <t>1.- ARENA SILICA MALLA 250-300 (REN 25 M2)</t>
  </si>
  <si>
    <t>2.- SELLADOR INICIAL 4648 (REN 90 M2)</t>
  </si>
  <si>
    <t>3.- PRAIMER GLASS REF. S.M.A. (REN 90 M2)</t>
  </si>
  <si>
    <t>4.- CHISAGLASS REF. S.M.A. (REN 55 M2)</t>
  </si>
  <si>
    <t>3.- VITROGLASS ECOLOGICO (REN 180 M2)</t>
  </si>
  <si>
    <t>OBRA: HOSPITAL JUAREZ CDMX</t>
  </si>
  <si>
    <t xml:space="preserve">               C. GRISELL GALLEGOS</t>
  </si>
  <si>
    <t>C. GRISELL GALLEGOS</t>
  </si>
  <si>
    <t>CIUDAD DE MEXICO A 5 DE DICIEMBRE DEL 2022</t>
  </si>
  <si>
    <t>PRES. REF. 14670-S/2022</t>
  </si>
  <si>
    <t>1.- MORTERO PLASTICO (REN 16 M2)</t>
  </si>
  <si>
    <r>
      <t>PRESENTAMOS  A  SU AMABLE  CONSIDERACIÓN EL PRESUPUESTO DE SUMINISTRO Y APLICACIÓN  DE  LOS SIGUIENTES CONCEPTOS.</t>
    </r>
    <r>
      <rPr>
        <b/>
        <sz val="9"/>
        <rFont val="Times New Roman"/>
        <family val="1"/>
      </rPr>
      <t xml:space="preserve">                                                   </t>
    </r>
  </si>
  <si>
    <r>
      <t xml:space="preserve">PRECIO  U.                </t>
    </r>
    <r>
      <rPr>
        <sz val="9"/>
        <rFont val="Times New Roman"/>
        <family val="1"/>
      </rPr>
      <t xml:space="preserve">       </t>
    </r>
  </si>
  <si>
    <r>
      <t xml:space="preserve">EN CASO DE SER ACEPTADO EL PRESENTE PRESUPUESTO </t>
    </r>
    <r>
      <rPr>
        <b/>
        <sz val="8"/>
        <rFont val="Times New Roman"/>
        <family val="1"/>
      </rPr>
      <t>REQUERIMOS DEL 70% COMO ANTICIPO</t>
    </r>
    <r>
      <rPr>
        <sz val="8"/>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</si>
  <si>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INICIAMOS LOS TRABAJOS PREVIA ENTREGA  DE PAGO TOTAL ANTICIPADO  A LOS</t>
    </r>
    <r>
      <rPr>
        <b/>
        <sz val="8"/>
        <rFont val="Times New Roman"/>
        <family val="1"/>
      </rPr>
      <t xml:space="preserve"> 15 DIAS HABILES PARA OBRAS FORANEAS</t>
    </r>
    <r>
      <rPr>
        <sz val="8"/>
        <rFont val="Times New Roman"/>
        <family val="1"/>
      </rPr>
      <t xml:space="preserve"> Y EN 5 DIAS HABILES EN OBRAS EN LA CDMX, SIEMPRE Y CUANDO EL ACABADO DE LOS MUROS SEA DE MEZCLA FINO Y LIBRE DE DETALLES DE ALBAÑILERIA Y/O TABLAROCA, EN DICHOS TIEMPOS SE CONSIDERA LA FABRICACION DEL MATERIAL Y EL TRASLADO DE MATERIALES A EL LUGAR DE LOS TRABAJOS.</t>
    </r>
  </si>
  <si>
    <t xml:space="preserve">                 ATENTAMENTE</t>
  </si>
  <si>
    <t xml:space="preserve">                  ____________________________________                                                   _______________________________________</t>
  </si>
  <si>
    <t xml:space="preserve">                       AT´N: ING. MARIO ROBLES</t>
  </si>
  <si>
    <t>OBRA: “HOSPITAL GENERAL DE TEMIXCO.”.</t>
  </si>
  <si>
    <t>SUMINISTRO E INSTALACIÓN DE TUBERÍA DEPOLIETILENO</t>
  </si>
  <si>
    <t>REPOSICION DE PAVIMENTO</t>
  </si>
  <si>
    <t xml:space="preserve">REGISTROS </t>
  </si>
  <si>
    <t>EQUIPO</t>
  </si>
  <si>
    <t>1.-TRAZO Y CORTE C/CORTADORA DE DISCO PARA PAVIMENTO HIDRÁULICO Y/O ASFALTICO, INCLUYE: MANO DE OBRA, HERRAMIENTA, EQUIPO, ACARREOS DEL MATERIAL SOBRANTE FUERA DE LA LOCALIDAD, MANIOBRAS LOCALES Y TODO LO NECESARIO PARA SU CORRECTA Y COMPLETA EJECUCION.</t>
  </si>
  <si>
    <t>2.-RUPTURA Y DEMOLICIÓN DE PAVIMENTO HIDRAULICO CON MALLA ELECTROSOLDADA DE 15 A 20 CMS. DE ESPESOR INCLUYE: MANO DE OBRA, MEDIOS MECANICOS, REMOCIÓN Y APILE DE ESCOMBRO Y HERRAMIENTA.</t>
  </si>
  <si>
    <t>3.-RUPTURA Y DEMOLICIÓN DE PAVIMENTO ASFALTICO DE 5 A 8 CMS. DE ESPESOR INCLUYE: MANO DE OBRA, MEDIOS MECANICOS, REMOCIÓN Y APILE DE ESCOMBRO Y HERRAMIENTA.</t>
  </si>
  <si>
    <t>4.-EXCAVACIÓN POR CUALQUIER MEDIO PARA ZANJAS EN MATERIAL COMÚN DE 0.00 A 2.00 M DE PROFUNDIDAD. INCLUYE: MANO DE OBRA, MAQUINARIA Y/O EQUIPO, HERRAMIENTA, CARGA Y RETIRO DE MATERIAL SOBRANTE PRODUCTO DE LA EXCAVACIÓN HASTA 10 KM DE DISTANCIA Y TODO LO NECESARIO PARA LA CORRECTA EJECUCIÓN DE LOS TRABAJOS</t>
  </si>
  <si>
    <t>5.-PLANTILLA APISONADA AL 85% PROCTOR EN ZANJAS, CON MATERIAL DE BANCO- (TEPETATE), INCLUYE : PISÓN, MANO DE OBRA, HERRAMIENTA Y  TODO LO NECESARIO PARA SU CORRECTA EJECUCIÓN.</t>
  </si>
  <si>
    <t>6.-SUMINISTRO, INSTALACIÓN Y PRUEBA DE TUBERÍA CORRUGADA DE POLIETILENO DE ALTA DENSIDAD (PEAD) PARA ALCANTARILLADO SANITARIO INTERIOR LISO, CON CAMPANA Y EMPAQUES DE 8  DE DIÁMETRO, INCLUYE: MATERIALES, BOMBEO DE ACHIQUE CON EL EQUIPO ADECUADO PARA EL BAYPASS DEL GASTO EXISTENTE, MANO DE OBRA, FLETES, EQUIPO Y LA HERRAMIENTA NECESARIA PARA LA CORRECTA EJECUCIÓN DE LOS TRABAJOS.</t>
  </si>
  <si>
    <t>7.-RELLENO EN ZANJAS COMPACTADO AL 90% PROCTOR, CON MATERIAL PRODUCTO DE BANCO, INCLUYE: EQUIPO, AGUA, MANO DE OBRA, HERRAMIENTA Y  TODO LO NECESARIO PARA SU CORRECTA EJECUCIÓN.</t>
  </si>
  <si>
    <t>8.-FABRICACION Y COLADO DE CONCRETO VIBRADO Y CURADO DE F'C=200 KG/CM2, HECHO EN OBRA 20 CM DE ESPESOR, AGREGADO MÁXIMO DE 3/4", EN PAVIMENTO, ACABADO RAYADO, INCLUYE: ACARREOS VERTICALES, HORIZONTALES, MATERIALES, MANO DE OBRA, EQUIPO, HERRAMIENTA Y TODO LO NECESARIO PARA SU CORRECTA EJECUCIÓN.</t>
  </si>
  <si>
    <t>9.-SUMINISTRO Y COLOCACION DE CONCRETO ASFALTICO EN FRIO DE 7 A 8 CM DE ESPESOR,, INCLUYE: ACARREOS VERTICALES, HORIZONTALES, MATERIALES, MANO DE OBRA, EQUIPO, HERRAMIENTA Y TODO LO NECESARIO PARA SU CORRECTA EJECUCIÓN.</t>
  </si>
  <si>
    <t>10.-SUMINISTRO Y COLOCACIÓN DE MALLA ELECTROSOLDADA E-6X6-10/10, INCLUYE: MATERIALES, MANO DE OBRA, EQUIPO, HERRAMIENTA Y TODO LO NECESARIO PARA LA CORRECTA EJECUCIÓN DE LOS TRABAJOS.</t>
  </si>
  <si>
    <t>11.-RETIRO Y REPOSICION DE LOSETA CERAMICA, MARCA INTERCERAMIC, DE 40X40 CMS. COLOR SEGÚN EXISTENTE, INCLUYE; CARGO DIRECTO POR EL COSTO DE LOS MATERIALES Y MANO DE OBRA QUE INTERVENGAN, DEPRECIACION Y DEMAS DERIVADOS DEL USO DE HERRAMIENTA Y EQUIPO.</t>
  </si>
  <si>
    <t>12.-REGISTROS DE ALBAÑAL C/ MUROS DE TABIQUE 14 CMS., APLANADOS C/ MORTERO CEMENTO-ARENA 1:3 Y TAPA DE CONCRETO C/ MARCO DE METALICO, DE 0.60 X 0.90 X 1.50 MTS. MEDIDAS INTERIORES. INCUYE:  EXCAVACION, RELLENO COMPACTADO, ACARREOS LOCALES,Y TODO LO NECESARIO PARA SU CORRECTA EJECUCION.</t>
  </si>
  <si>
    <t>13.-REGISTROS DE ALBAÑAL C/ MUROS DE TABIQUE 14 CMS., APLANADOS C/ MORTERO CEMENTO-ARENA 1:3 Y TAPA DE CONCRETO C/ MARCO DE METALICO, DE 0.90 X 1.20 X 1.50 MTS. MEDIDAS INTERIORES. INCUYE:  EXCAVACION, RELLENO COMPACTADO, ACARREOS LOCALES,Y TODO LO NECESARIO PARA SU CORRECTA EJECUCION.</t>
  </si>
  <si>
    <t>14.-REGISTROS DE ALBAÑAL C/ MUROS DE TABIQUE 14 CMS., APLANADOS C/ MORTERO CEMENTO-ARENA 1:3 Y TAPA DE CONCRETO C/ MARCO DE METALICO, DE 0.40 X 0.60 X 0.50 MTS. MEDIDAS INTERIORES. INCUYE:  EXCAVACION, RELLENO COMPACTADO, ACARREOS LOCALES,Y TODO LO NECESARIO PARA SU CORRECTA EJECUCION.</t>
  </si>
  <si>
    <t>15.-LIMPIEZA DE REGISTROS ELECTRICOS DE DIMENSIONES VARIABLES  INCUYE:  LIBRANZA DE VOLTAJE, ACARREOS LOCALES DE ESCOMBRO Y DEMAS HASTA LUGAR AUTORIZADO,Y TODO LO NECESARIO PARA SU CORRECTA EJECUCION.</t>
  </si>
  <si>
    <t>17.-LIMPIEZA Y DESAZOLVE DE TUBERÍA CON AGUA A PRESIÓN UTILIZANDO CAMIÓN HIDRONEUMATICÓ DE PRESIÓN SUCCIÓN (NIVEL DE AZOLVE HASTA 66%), DE 20 A  61 CM DE DIAMETRO INCLUYE: MATERIALES, MANO DE OBRA, EQUIPO, HERRAMIENTA, MANIOBRAS, CARGA, DESCARGA, RETIRO DE MATERIAL A TIRO AUTORIZADO, A UN SITIO FUERA DEL AREA DE LOS TRABAJOS INDICADO POR LA SUPERVISIÓN  A UNA DISTANCIA COMPRENDIDA DE HASTA 10 KM  Y TODO LO NECESARIO PARA LA CORRECTA EJECUCIÓN DE LOS TRABAJOS.</t>
  </si>
  <si>
    <t>20.-SUMINISTRO Y COLOCACION DE SENALIZACION DE INDICACION DE OBRA EN PROCESO  INCLUYE: CARGO DIRECTO POR LOS MATERIAL, MANO DE OBRA, HERRAMIENTA Y EQUIPO.</t>
  </si>
  <si>
    <t>21.-HABILITADO DE BODEGA TEMPORAL PARA LA EJECUCION DE LOS TABAJOS A BASE DE MADERA, (POLINES, BARROTES, TRIPLAY, LAMINA GALVANIZADA) INCLUYE: CARGO DIRECTO POR LOS MATERIAL, MANO DE OBRA, HERRAMIENTA Y EQUIPO.Y TODO LO NECESARIO PARA SU CORRECTA EJECUCION</t>
  </si>
  <si>
    <t>M</t>
  </si>
  <si>
    <t>M3</t>
  </si>
  <si>
    <t>PZA</t>
  </si>
  <si>
    <t>H</t>
  </si>
  <si>
    <t>LOTE</t>
  </si>
  <si>
    <t xml:space="preserve">                                      AT´N: ING. MARIO ROBLES                                                  CHISA RECUBRIMIENTOS, S.A. DE C.V</t>
  </si>
  <si>
    <t>CIUDAD DE MEXICO A 09 DE MARZO DEL 2026</t>
  </si>
  <si>
    <t>PRES. REF. 16434-1/2026CG</t>
  </si>
  <si>
    <t>16.-BOMBEO DE ACHIQUE CON BOMBA AUTOCEBANTE  (RETIRO DE AGUAS NEGRAS POR ESTAR EN SERVICIO LA UNIDAD POR SI ES NECERIO HACER UN BAYPASS PARA PODER TRABAJAR), PROPIEDAD DE LA CONTRATISTA DE 4" DE DIÁMETRO Y 12 HP DE POTENCIA, INCLUYE: MANO DE OBRA, EQUIPO. HERRAMIENTA, COMBUSTIBLE, ADITIVOS Y TODO LO NECESARIO PARA LA CORRECTA EJECUSIÓN DEL CONCEPTO.</t>
  </si>
  <si>
    <t>18.-FABRICACIÓN REGISTRO Y COLOCACIÓN DE TRAMPA DE GRASAS, INCLUYE:,CARGO DIRECTO POR EL COSTO DE MANO DE OBRA Y MATERIALES REQUERIDOS, ACARREO, TRAZO, CORTE, DESPERDICIO, SOLDADO, ARMADO, ELABORACIÓN DE REGISTRO, DREN, MANUFACTURA, REFUERZO Y MONTAJE, LIMPIEZA Y RETIRO DE SOBRANTES FUERA DE OBRA, EQUIPO DE SEGURIDAD, INSTALACIONES ESPECIFICAS, DEPRECIACIÓN Y DEMÁS CARGOS DERIVADOS DEL USO DE EQUIPO Y HERRAMIENTA, EN CUALQUIER NIVEL</t>
  </si>
  <si>
    <t>19.-SUMINISTRO DE BOMBA SUMERGIBLE PARA AEREACION  DE 1.5 H.P. 220 VOLTS,. SIMILAR O EQUIVALENTE. INCLUYE: CARGO DIRECTO POR LOS MATERIAL, MANO DE OBRA, HERRAMIENTA Y EQUIPO.</t>
  </si>
  <si>
    <t>19-1.-SUMINISTRO DE BOMBA SUMERGIBLE PARA LODOS  DE 2 H.P. 220 VOLTS,. SIMILAR O EQUIVALENTE. INCLUYE: CARGO DIRECTO POR LOS MATERIAL, MANO DE OBRA, HERRAMIENTA Y EQUIPO.</t>
  </si>
  <si>
    <t>19-2.-SUMINISTRO DE BOMBA SUMERGIBLE PARA PARA RECIRCULACION  DE 1.5 H.P. 220. SIMILAR O EQUIVALENTE. INCLUYE: CARGO DIRECTO POR LOS MATERIAL, MANO DE OBRA, HERRAMIENTA Y EQUIPO.</t>
  </si>
  <si>
    <t>19-3.-SUMINISTRO E INSTALACION DE DIGESTOR O TRITURADOR EN AREA DE COCINA INCLUYE: CARGO DIRECTO POR LOS MATERIAL, MANO DE OBRA, HERRAMIENTA Y EQUIPO.</t>
  </si>
  <si>
    <r>
      <t xml:space="preserve">FORMA DE PAGO Y CONSIDERACIONES GENERALES CORRESPONDIENTES AL PRESUPUESTO </t>
    </r>
    <r>
      <rPr>
        <b/>
        <sz val="8"/>
        <rFont val="Times New Roman"/>
        <family val="1"/>
      </rPr>
      <t>REF. 16434-1/2026CG.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</si>
</sst>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6"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9"/>
      <name val="Times New Roman"/>
      <family val="1"/>
    </font>
    <font>
      <b/>
      <sz val="9"/>
      <name val="Times New Roman"/>
      <family val="1"/>
    </font>
    <font>
      <sz val="9"/>
      <name val="Calibri"/>
      <family val="2"/>
      <scheme val="minor"/>
    </font>
    <font>
      <b/>
      <u/>
      <sz val="9"/>
      <name val="Times New Roman"/>
      <family val="1"/>
    </font>
    <font>
      <sz val="8"/>
      <name val="Times New Roman"/>
      <family val="1"/>
    </font>
    <font>
      <b/>
      <sz val="8"/>
      <name val="Times New Roman"/>
      <family val="1"/>
    </font>
    <font>
      <sz val="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5" fillId="0" borderId="0" applyFont="0" applyFill="0" applyBorder="0" applyAlignment="0" applyProtection="0"/>
  </cellStyleXfs>
  <cellXfs count="87">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4"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4" fillId="0" borderId="0" xfId="0" applyFont="1" applyAlignment="1">
      <alignment horizontal="right" vertical="top" wrapText="1"/>
    </xf>
    <xf numFmtId="0" fontId="1" fillId="0" borderId="0" xfId="0" applyFont="1" applyAlignment="1">
      <alignment horizontal="right"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applyAlignment="1">
      <alignment vertical="center"/>
    </xf>
    <xf numFmtId="0" fontId="11" fillId="0" borderId="0" xfId="0" applyFont="1"/>
    <xf numFmtId="0" fontId="10" fillId="0" borderId="0" xfId="0" applyFont="1" applyAlignment="1">
      <alignment horizontal="right" vertical="center"/>
    </xf>
    <xf numFmtId="0" fontId="10" fillId="0" borderId="0" xfId="0" applyFont="1" applyAlignment="1">
      <alignment horizontal="justify" vertical="center"/>
    </xf>
    <xf numFmtId="0" fontId="11" fillId="0" borderId="0" xfId="0" applyFont="1" applyAlignment="1">
      <alignment horizontal="justify"/>
    </xf>
    <xf numFmtId="0" fontId="9" fillId="0" borderId="0" xfId="0" applyFont="1" applyAlignment="1">
      <alignment horizontal="justify" vertical="center"/>
    </xf>
    <xf numFmtId="0" fontId="12" fillId="0" borderId="0" xfId="0" applyFont="1" applyAlignment="1">
      <alignment horizontal="justify" vertical="center"/>
    </xf>
    <xf numFmtId="0" fontId="11" fillId="0" borderId="0" xfId="0" applyFont="1" applyAlignment="1">
      <alignment horizontal="center"/>
    </xf>
    <xf numFmtId="44" fontId="9" fillId="0" borderId="0" xfId="1" applyFont="1" applyAlignment="1">
      <alignment horizontal="center" wrapText="1"/>
    </xf>
    <xf numFmtId="0" fontId="9" fillId="0" borderId="0" xfId="0" applyFont="1" applyAlignment="1">
      <alignment horizontal="justify" vertical="center" wrapText="1"/>
    </xf>
    <xf numFmtId="44" fontId="9" fillId="0" borderId="0" xfId="1" applyFont="1" applyAlignment="1">
      <alignment horizontal="right" wrapText="1"/>
    </xf>
    <xf numFmtId="44" fontId="9" fillId="0" borderId="0" xfId="1" applyFont="1" applyAlignment="1">
      <alignment horizontal="right" vertical="center" wrapText="1"/>
    </xf>
    <xf numFmtId="0" fontId="11" fillId="0" borderId="0" xfId="0" applyFont="1" applyAlignment="1">
      <alignment horizontal="justify" vertical="top" wrapText="1"/>
    </xf>
    <xf numFmtId="0" fontId="9" fillId="0" borderId="0" xfId="0" applyFont="1" applyAlignment="1">
      <alignment horizontal="center" vertical="center"/>
    </xf>
    <xf numFmtId="0" fontId="9" fillId="0" borderId="0" xfId="0" applyFont="1" applyAlignment="1">
      <alignment vertical="center"/>
    </xf>
    <xf numFmtId="0" fontId="9" fillId="0" borderId="0" xfId="0" applyFont="1" applyAlignment="1">
      <alignment vertical="top"/>
    </xf>
    <xf numFmtId="0" fontId="14" fillId="0" borderId="0" xfId="0" applyFont="1" applyAlignment="1">
      <alignment horizontal="left" vertical="center"/>
    </xf>
    <xf numFmtId="0" fontId="14" fillId="0" borderId="0" xfId="0" applyFont="1" applyAlignment="1">
      <alignment vertical="center"/>
    </xf>
    <xf numFmtId="0" fontId="9" fillId="0" borderId="0" xfId="0" applyFont="1" applyAlignment="1">
      <alignment horizontal="justify" vertical="top" wrapText="1"/>
    </xf>
    <xf numFmtId="0" fontId="10"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center" vertical="center" wrapText="1"/>
    </xf>
    <xf numFmtId="0" fontId="11" fillId="0" borderId="0" xfId="0" applyFont="1" applyAlignment="1">
      <alignment horizontal="center" vertical="center"/>
    </xf>
    <xf numFmtId="164" fontId="9" fillId="0" borderId="0" xfId="1" applyNumberFormat="1" applyFont="1" applyAlignment="1">
      <alignment horizontal="center" wrapText="1"/>
    </xf>
    <xf numFmtId="0" fontId="9" fillId="0" borderId="0" xfId="0" applyFont="1" applyAlignment="1">
      <alignment horizontal="center" wrapText="1"/>
    </xf>
    <xf numFmtId="2" fontId="9" fillId="0" borderId="0" xfId="0" applyNumberFormat="1" applyFont="1" applyAlignment="1">
      <alignment horizontal="center" vertical="center" wrapText="1"/>
    </xf>
    <xf numFmtId="2" fontId="9" fillId="0" borderId="0" xfId="0" applyNumberFormat="1" applyFont="1" applyAlignment="1">
      <alignment horizontal="center" wrapText="1"/>
    </xf>
    <xf numFmtId="2" fontId="9" fillId="0" borderId="0" xfId="0" applyNumberFormat="1" applyFont="1" applyAlignment="1">
      <alignment horizontal="right" wrapText="1"/>
    </xf>
    <xf numFmtId="2" fontId="11" fillId="0" borderId="0" xfId="0" applyNumberFormat="1" applyFont="1" applyAlignment="1">
      <alignment horizontal="justify"/>
    </xf>
    <xf numFmtId="2" fontId="9" fillId="0" borderId="0" xfId="0" applyNumberFormat="1" applyFont="1" applyAlignment="1">
      <alignment horizontal="justify" vertical="center" wrapText="1"/>
    </xf>
    <xf numFmtId="2" fontId="11" fillId="0" borderId="0" xfId="0" applyNumberFormat="1" applyFont="1" applyAlignment="1">
      <alignment horizontal="justify" vertical="top" wrapText="1"/>
    </xf>
    <xf numFmtId="164" fontId="9" fillId="0" borderId="0" xfId="1" applyNumberFormat="1" applyFont="1" applyAlignment="1">
      <alignment vertical="center" wrapText="1"/>
    </xf>
    <xf numFmtId="164" fontId="10" fillId="0" borderId="0" xfId="0" applyNumberFormat="1" applyFont="1" applyAlignment="1">
      <alignment horizontal="right" vertical="center"/>
    </xf>
    <xf numFmtId="164" fontId="9" fillId="0" borderId="0" xfId="1" applyNumberFormat="1" applyFont="1" applyAlignment="1">
      <alignment horizontal="right" vertical="center" wrapText="1"/>
    </xf>
    <xf numFmtId="0" fontId="9" fillId="0" borderId="0" xfId="0" applyFont="1" applyAlignment="1">
      <alignment horizontal="left"/>
    </xf>
    <xf numFmtId="0" fontId="13" fillId="0" borderId="0" xfId="0" applyFont="1" applyAlignment="1">
      <alignment horizontal="justify" vertical="center" wrapText="1"/>
    </xf>
    <xf numFmtId="0" fontId="13" fillId="0" borderId="0" xfId="0" applyFont="1" applyAlignment="1">
      <alignment horizontal="justify" vertical="top" wrapText="1"/>
    </xf>
    <xf numFmtId="0" fontId="15" fillId="0" borderId="0" xfId="0" applyFont="1" applyAlignment="1">
      <alignment horizontal="justify"/>
    </xf>
    <xf numFmtId="0" fontId="10" fillId="0" borderId="0" xfId="0" applyFont="1" applyAlignment="1">
      <alignment horizontal="right" vertical="center"/>
    </xf>
    <xf numFmtId="0" fontId="9" fillId="0" borderId="0" xfId="0" applyFont="1" applyAlignment="1">
      <alignment horizontal="right" vertical="center"/>
    </xf>
    <xf numFmtId="0" fontId="10" fillId="0" borderId="0" xfId="0" applyFont="1" applyAlignment="1">
      <alignment horizontal="left" vertical="center"/>
    </xf>
    <xf numFmtId="0" fontId="13" fillId="0" borderId="0" xfId="0" applyFont="1" applyAlignment="1">
      <alignment horizontal="left" vertical="center"/>
    </xf>
    <xf numFmtId="0" fontId="9" fillId="0" borderId="0" xfId="0" applyFont="1" applyAlignment="1">
      <alignment horizontal="justify" vertical="top" wrapText="1"/>
    </xf>
    <xf numFmtId="0" fontId="14" fillId="0" borderId="0" xfId="0"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justify" vertical="top" wrapText="1"/>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2" fontId="9" fillId="0" borderId="0" xfId="0" applyNumberFormat="1" applyFont="1" applyAlignment="1">
      <alignment horizontal="center" vertical="center"/>
    </xf>
    <xf numFmtId="164" fontId="9" fillId="0" borderId="0" xfId="0" applyNumberFormat="1" applyFont="1" applyAlignment="1">
      <alignment horizontal="righ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H131"/>
  <sheetViews>
    <sheetView tabSelected="1" topLeftCell="A91" zoomScale="90" zoomScaleNormal="90" workbookViewId="0">
      <selection activeCell="E97" sqref="E97"/>
    </sheetView>
  </sheetViews>
  <sheetFormatPr baseColWidth="10" defaultRowHeight="15" x14ac:dyDescent="0.25"/>
  <cols>
    <col min="1" max="1" width="47.42578125" customWidth="1"/>
    <col min="2" max="2" width="11.85546875" customWidth="1"/>
    <col min="3" max="3" width="12.28515625" customWidth="1"/>
    <col min="4" max="4" width="11.5703125" customWidth="1"/>
    <col min="5" max="5" width="14.5703125" customWidth="1"/>
    <col min="7" max="7" width="12.28515625" bestFit="1" customWidth="1"/>
  </cols>
  <sheetData>
    <row r="6" spans="1:8" x14ac:dyDescent="0.25">
      <c r="A6" s="70" t="s">
        <v>85</v>
      </c>
      <c r="B6" s="70"/>
      <c r="C6" s="70"/>
      <c r="D6" s="70"/>
      <c r="E6" s="70"/>
      <c r="F6" s="7"/>
    </row>
    <row r="7" spans="1:8" x14ac:dyDescent="0.25">
      <c r="A7" s="31"/>
      <c r="B7" s="31"/>
      <c r="C7" s="32"/>
      <c r="D7" s="32"/>
      <c r="E7" s="32"/>
    </row>
    <row r="8" spans="1:8" x14ac:dyDescent="0.25">
      <c r="A8" s="31"/>
      <c r="B8" s="31"/>
      <c r="C8" s="32"/>
      <c r="D8" s="32"/>
      <c r="E8" s="32"/>
    </row>
    <row r="9" spans="1:8" x14ac:dyDescent="0.25">
      <c r="A9" s="31" t="s">
        <v>0</v>
      </c>
      <c r="B9" s="31"/>
      <c r="C9" s="32"/>
      <c r="D9" s="32"/>
      <c r="E9" s="32"/>
    </row>
    <row r="10" spans="1:8" x14ac:dyDescent="0.25">
      <c r="A10" s="31"/>
      <c r="B10" s="31"/>
      <c r="C10" s="32"/>
      <c r="D10" s="32"/>
      <c r="E10" s="32"/>
    </row>
    <row r="11" spans="1:8" x14ac:dyDescent="0.25">
      <c r="A11" s="69" t="s">
        <v>55</v>
      </c>
      <c r="B11" s="69"/>
      <c r="C11" s="69"/>
      <c r="D11" s="69"/>
      <c r="E11" s="69"/>
      <c r="F11" s="1"/>
      <c r="G11" s="1"/>
      <c r="H11" s="1"/>
    </row>
    <row r="12" spans="1:8" x14ac:dyDescent="0.25">
      <c r="A12" s="33"/>
      <c r="B12" s="33"/>
      <c r="C12" s="33"/>
      <c r="D12" s="33"/>
      <c r="E12" s="33"/>
      <c r="F12" s="1"/>
      <c r="G12" s="1"/>
      <c r="H12" s="1"/>
    </row>
    <row r="13" spans="1:8" x14ac:dyDescent="0.25">
      <c r="A13" s="71"/>
      <c r="B13" s="71"/>
      <c r="C13" s="71"/>
      <c r="D13" s="71"/>
      <c r="E13" s="71"/>
    </row>
    <row r="14" spans="1:8" x14ac:dyDescent="0.25">
      <c r="A14" s="71" t="s">
        <v>56</v>
      </c>
      <c r="B14" s="71"/>
      <c r="C14" s="71"/>
      <c r="D14" s="71"/>
      <c r="E14" s="71"/>
    </row>
    <row r="15" spans="1:8" x14ac:dyDescent="0.25">
      <c r="A15" s="34" t="s">
        <v>86</v>
      </c>
      <c r="B15" s="34"/>
      <c r="C15" s="35"/>
      <c r="D15" s="35"/>
      <c r="E15" s="35"/>
    </row>
    <row r="16" spans="1:8" x14ac:dyDescent="0.25">
      <c r="A16" s="36" t="s">
        <v>1</v>
      </c>
      <c r="B16" s="36"/>
      <c r="C16" s="35"/>
      <c r="D16" s="35"/>
      <c r="E16" s="35"/>
    </row>
    <row r="17" spans="1:8" ht="30" customHeight="1" x14ac:dyDescent="0.25">
      <c r="A17" s="73" t="s">
        <v>49</v>
      </c>
      <c r="B17" s="73"/>
      <c r="C17" s="73"/>
      <c r="D17" s="73"/>
      <c r="E17" s="73"/>
      <c r="F17" s="4"/>
      <c r="G17" s="4"/>
      <c r="H17" s="4"/>
    </row>
    <row r="18" spans="1:8" ht="25.5" customHeight="1" x14ac:dyDescent="0.25">
      <c r="A18" s="50" t="s">
        <v>20</v>
      </c>
      <c r="B18" s="50" t="s">
        <v>36</v>
      </c>
      <c r="C18" s="50" t="s">
        <v>18</v>
      </c>
      <c r="D18" s="50" t="s">
        <v>50</v>
      </c>
      <c r="E18" s="50" t="s">
        <v>19</v>
      </c>
      <c r="F18" s="3"/>
      <c r="G18" s="3"/>
      <c r="H18" s="3"/>
    </row>
    <row r="19" spans="1:8" x14ac:dyDescent="0.25">
      <c r="A19" s="34"/>
      <c r="B19" s="33"/>
      <c r="C19" s="33"/>
      <c r="D19" s="33"/>
      <c r="E19" s="33"/>
      <c r="F19" s="3"/>
      <c r="G19" s="3"/>
      <c r="H19" s="3"/>
    </row>
    <row r="20" spans="1:8" ht="68.25" customHeight="1" x14ac:dyDescent="0.25">
      <c r="A20" s="49" t="s">
        <v>61</v>
      </c>
      <c r="B20" s="50" t="s">
        <v>79</v>
      </c>
      <c r="C20" s="85">
        <v>170</v>
      </c>
      <c r="D20" s="86">
        <v>50.3</v>
      </c>
      <c r="E20" s="63">
        <f>C20*D20</f>
        <v>8551</v>
      </c>
      <c r="F20" s="3"/>
      <c r="G20" s="3"/>
      <c r="H20" s="3"/>
    </row>
    <row r="21" spans="1:8" ht="16.5" customHeight="1" x14ac:dyDescent="0.25">
      <c r="A21" s="34"/>
      <c r="B21" s="50"/>
      <c r="C21" s="85"/>
      <c r="D21" s="86"/>
      <c r="E21" s="63"/>
      <c r="F21" s="3"/>
      <c r="G21" s="3"/>
      <c r="H21" s="3"/>
    </row>
    <row r="22" spans="1:8" ht="58.5" customHeight="1" x14ac:dyDescent="0.25">
      <c r="A22" s="49" t="s">
        <v>62</v>
      </c>
      <c r="B22" s="50" t="s">
        <v>80</v>
      </c>
      <c r="C22" s="85">
        <v>12.5</v>
      </c>
      <c r="D22" s="86">
        <v>740.59</v>
      </c>
      <c r="E22" s="63">
        <f t="shared" ref="E22:E93" si="0">C22*D22</f>
        <v>9257.375</v>
      </c>
      <c r="F22" s="3"/>
      <c r="G22" s="3"/>
      <c r="H22" s="3"/>
    </row>
    <row r="23" spans="1:8" ht="15.75" customHeight="1" x14ac:dyDescent="0.25">
      <c r="A23" s="34"/>
      <c r="B23" s="50"/>
      <c r="C23" s="85"/>
      <c r="D23" s="86"/>
      <c r="E23" s="63"/>
      <c r="F23" s="3"/>
      <c r="G23" s="3"/>
      <c r="H23" s="3"/>
    </row>
    <row r="24" spans="1:8" ht="45" customHeight="1" x14ac:dyDescent="0.25">
      <c r="A24" s="49" t="s">
        <v>63</v>
      </c>
      <c r="B24" s="50" t="s">
        <v>80</v>
      </c>
      <c r="C24" s="85">
        <v>15.84</v>
      </c>
      <c r="D24" s="86">
        <v>377.11</v>
      </c>
      <c r="E24" s="63">
        <f t="shared" si="0"/>
        <v>5973.4224000000004</v>
      </c>
      <c r="F24" s="3"/>
      <c r="G24" s="3"/>
      <c r="H24" s="3"/>
    </row>
    <row r="25" spans="1:8" ht="18" customHeight="1" x14ac:dyDescent="0.25">
      <c r="A25" s="34"/>
      <c r="B25" s="50"/>
      <c r="C25" s="85"/>
      <c r="D25" s="86"/>
      <c r="E25" s="63"/>
      <c r="F25" s="3"/>
      <c r="G25" s="3"/>
      <c r="H25" s="3"/>
    </row>
    <row r="26" spans="1:8" ht="91.5" customHeight="1" x14ac:dyDescent="0.25">
      <c r="A26" s="49" t="s">
        <v>64</v>
      </c>
      <c r="B26" s="50" t="s">
        <v>80</v>
      </c>
      <c r="C26" s="85">
        <v>193.8</v>
      </c>
      <c r="D26" s="86">
        <v>230.53</v>
      </c>
      <c r="E26" s="63">
        <f t="shared" si="0"/>
        <v>44676.714</v>
      </c>
      <c r="F26" s="3"/>
      <c r="G26" s="3"/>
      <c r="H26" s="3"/>
    </row>
    <row r="27" spans="1:8" x14ac:dyDescent="0.25">
      <c r="A27" s="34"/>
      <c r="B27" s="50"/>
      <c r="C27" s="85"/>
      <c r="D27" s="86"/>
      <c r="E27" s="63"/>
      <c r="F27" s="3"/>
      <c r="G27" s="3"/>
      <c r="H27" s="3"/>
    </row>
    <row r="28" spans="1:8" ht="48" x14ac:dyDescent="0.25">
      <c r="A28" s="49" t="s">
        <v>65</v>
      </c>
      <c r="B28" s="50" t="s">
        <v>80</v>
      </c>
      <c r="C28" s="85">
        <v>30.6</v>
      </c>
      <c r="D28" s="86">
        <v>416.53</v>
      </c>
      <c r="E28" s="63">
        <f t="shared" si="0"/>
        <v>12745.817999999999</v>
      </c>
      <c r="F28" s="3"/>
      <c r="G28" s="3"/>
      <c r="H28" s="3"/>
    </row>
    <row r="29" spans="1:8" x14ac:dyDescent="0.25">
      <c r="A29" s="34"/>
      <c r="B29" s="50"/>
      <c r="C29" s="85"/>
      <c r="D29" s="86"/>
      <c r="E29" s="63"/>
      <c r="F29" s="3"/>
      <c r="G29" s="3"/>
      <c r="H29" s="3"/>
    </row>
    <row r="30" spans="1:8" x14ac:dyDescent="0.25">
      <c r="A30" s="34"/>
      <c r="B30" s="50"/>
      <c r="C30" s="85"/>
      <c r="D30" s="86"/>
      <c r="E30" s="63"/>
      <c r="F30" s="3"/>
      <c r="G30" s="3"/>
      <c r="H30" s="3"/>
    </row>
    <row r="31" spans="1:8" x14ac:dyDescent="0.25">
      <c r="A31" s="34"/>
      <c r="B31" s="50"/>
      <c r="C31" s="85"/>
      <c r="D31" s="86"/>
      <c r="E31" s="63"/>
      <c r="F31" s="3"/>
      <c r="G31" s="3"/>
      <c r="H31" s="3"/>
    </row>
    <row r="32" spans="1:8" x14ac:dyDescent="0.25">
      <c r="A32" s="34"/>
      <c r="B32" s="50"/>
      <c r="C32" s="85"/>
      <c r="D32" s="86"/>
      <c r="E32" s="63"/>
      <c r="F32" s="3"/>
      <c r="G32" s="3"/>
      <c r="H32" s="3"/>
    </row>
    <row r="33" spans="1:8" x14ac:dyDescent="0.25">
      <c r="A33" s="34"/>
      <c r="B33" s="50"/>
      <c r="C33" s="85"/>
      <c r="D33" s="86"/>
      <c r="E33" s="63"/>
      <c r="F33" s="3"/>
      <c r="G33" s="3"/>
      <c r="H33" s="3"/>
    </row>
    <row r="34" spans="1:8" x14ac:dyDescent="0.25">
      <c r="A34" s="34"/>
      <c r="B34" s="50"/>
      <c r="C34" s="85"/>
      <c r="D34" s="86"/>
      <c r="E34" s="63"/>
      <c r="F34" s="3"/>
      <c r="G34" s="3"/>
      <c r="H34" s="3"/>
    </row>
    <row r="35" spans="1:8" x14ac:dyDescent="0.25">
      <c r="A35" s="34"/>
      <c r="B35" s="50"/>
      <c r="C35" s="85"/>
      <c r="D35" s="86"/>
      <c r="E35" s="63"/>
      <c r="F35" s="3"/>
      <c r="G35" s="3"/>
      <c r="H35" s="3"/>
    </row>
    <row r="36" spans="1:8" x14ac:dyDescent="0.25">
      <c r="A36" s="34"/>
      <c r="B36" s="50"/>
      <c r="C36" s="85"/>
      <c r="D36" s="86"/>
      <c r="E36" s="63"/>
      <c r="F36" s="3"/>
      <c r="G36" s="3"/>
      <c r="H36" s="3"/>
    </row>
    <row r="37" spans="1:8" ht="24" x14ac:dyDescent="0.25">
      <c r="A37" s="51" t="s">
        <v>57</v>
      </c>
      <c r="B37" s="50"/>
      <c r="C37" s="85"/>
      <c r="D37" s="86"/>
      <c r="E37" s="63"/>
      <c r="F37" s="3"/>
      <c r="G37" s="3"/>
      <c r="H37" s="3"/>
    </row>
    <row r="38" spans="1:8" x14ac:dyDescent="0.25">
      <c r="A38" s="34"/>
      <c r="B38" s="50"/>
      <c r="C38" s="85"/>
      <c r="D38" s="86"/>
      <c r="E38" s="63"/>
      <c r="F38" s="3"/>
      <c r="G38" s="3"/>
      <c r="H38" s="3"/>
    </row>
    <row r="39" spans="1:8" ht="108" x14ac:dyDescent="0.25">
      <c r="A39" s="49" t="s">
        <v>66</v>
      </c>
      <c r="B39" s="50" t="s">
        <v>79</v>
      </c>
      <c r="C39" s="85">
        <v>85</v>
      </c>
      <c r="D39" s="86">
        <v>383.68</v>
      </c>
      <c r="E39" s="63">
        <f t="shared" si="0"/>
        <v>32612.799999999999</v>
      </c>
      <c r="F39" s="3"/>
      <c r="G39" s="3"/>
      <c r="H39" s="3"/>
    </row>
    <row r="40" spans="1:8" x14ac:dyDescent="0.25">
      <c r="A40" s="34"/>
      <c r="B40" s="50"/>
      <c r="C40" s="85"/>
      <c r="D40" s="86"/>
      <c r="E40" s="63"/>
      <c r="F40" s="3"/>
      <c r="G40" s="3"/>
      <c r="H40" s="3"/>
    </row>
    <row r="41" spans="1:8" ht="60" x14ac:dyDescent="0.25">
      <c r="A41" s="49" t="s">
        <v>67</v>
      </c>
      <c r="B41" s="50" t="s">
        <v>80</v>
      </c>
      <c r="C41" s="85">
        <v>112.2</v>
      </c>
      <c r="D41" s="86">
        <v>471.79</v>
      </c>
      <c r="E41" s="63">
        <f t="shared" si="0"/>
        <v>52934.838000000003</v>
      </c>
      <c r="F41" s="3"/>
      <c r="G41" s="3"/>
      <c r="H41" s="3"/>
    </row>
    <row r="42" spans="1:8" x14ac:dyDescent="0.25">
      <c r="A42" s="34"/>
      <c r="B42" s="50"/>
      <c r="C42" s="85"/>
      <c r="D42" s="86"/>
      <c r="E42" s="63"/>
      <c r="F42" s="3"/>
      <c r="G42" s="3"/>
      <c r="H42" s="3"/>
    </row>
    <row r="43" spans="1:8" ht="18" customHeight="1" x14ac:dyDescent="0.25">
      <c r="A43" s="52" t="s">
        <v>58</v>
      </c>
      <c r="B43" s="50"/>
      <c r="C43" s="85"/>
      <c r="D43" s="86"/>
      <c r="E43" s="63"/>
      <c r="F43" s="3"/>
      <c r="G43" s="3"/>
      <c r="H43" s="3"/>
    </row>
    <row r="44" spans="1:8" x14ac:dyDescent="0.25">
      <c r="A44" s="34"/>
      <c r="B44" s="50"/>
      <c r="C44" s="85"/>
      <c r="D44" s="86"/>
      <c r="E44" s="63"/>
      <c r="F44" s="3"/>
      <c r="G44" s="3"/>
      <c r="H44" s="3"/>
    </row>
    <row r="45" spans="1:8" ht="96" x14ac:dyDescent="0.25">
      <c r="A45" s="49" t="s">
        <v>68</v>
      </c>
      <c r="B45" s="50" t="s">
        <v>80</v>
      </c>
      <c r="C45" s="85">
        <v>12.5</v>
      </c>
      <c r="D45" s="86">
        <v>3751.72</v>
      </c>
      <c r="E45" s="63">
        <f t="shared" si="0"/>
        <v>46896.5</v>
      </c>
      <c r="F45" s="3"/>
      <c r="G45" s="3"/>
      <c r="H45" s="3"/>
    </row>
    <row r="46" spans="1:8" x14ac:dyDescent="0.25">
      <c r="A46" s="34"/>
      <c r="B46" s="50"/>
      <c r="C46" s="85"/>
      <c r="D46" s="86"/>
      <c r="E46" s="63"/>
      <c r="F46" s="3"/>
      <c r="G46" s="3"/>
      <c r="H46" s="3"/>
    </row>
    <row r="47" spans="1:8" ht="72" x14ac:dyDescent="0.25">
      <c r="A47" s="49" t="s">
        <v>69</v>
      </c>
      <c r="B47" s="50" t="s">
        <v>80</v>
      </c>
      <c r="C47" s="85">
        <v>6.34</v>
      </c>
      <c r="D47" s="86">
        <v>3225.72</v>
      </c>
      <c r="E47" s="63">
        <f t="shared" si="0"/>
        <v>20451.064799999996</v>
      </c>
      <c r="F47" s="3"/>
      <c r="G47" s="3"/>
      <c r="H47" s="3"/>
    </row>
    <row r="48" spans="1:8" x14ac:dyDescent="0.25">
      <c r="A48" s="34"/>
      <c r="B48" s="50"/>
      <c r="C48" s="85"/>
      <c r="D48" s="86"/>
      <c r="E48" s="63"/>
      <c r="F48" s="3"/>
      <c r="G48" s="3"/>
      <c r="H48" s="3"/>
    </row>
    <row r="49" spans="1:8" ht="60" x14ac:dyDescent="0.25">
      <c r="A49" s="49" t="s">
        <v>70</v>
      </c>
      <c r="B49" s="50" t="s">
        <v>21</v>
      </c>
      <c r="C49" s="85">
        <v>18</v>
      </c>
      <c r="D49" s="86">
        <v>85.21</v>
      </c>
      <c r="E49" s="63">
        <f t="shared" si="0"/>
        <v>1533.78</v>
      </c>
      <c r="F49" s="3"/>
      <c r="G49" s="3"/>
      <c r="H49" s="3"/>
    </row>
    <row r="50" spans="1:8" x14ac:dyDescent="0.25">
      <c r="A50" s="34"/>
      <c r="B50" s="50"/>
      <c r="C50" s="85"/>
      <c r="D50" s="86"/>
      <c r="E50" s="63"/>
      <c r="F50" s="3"/>
      <c r="G50" s="3"/>
      <c r="H50" s="3"/>
    </row>
    <row r="51" spans="1:8" ht="72" x14ac:dyDescent="0.25">
      <c r="A51" s="49" t="s">
        <v>71</v>
      </c>
      <c r="B51" s="50" t="s">
        <v>21</v>
      </c>
      <c r="C51" s="85">
        <v>25</v>
      </c>
      <c r="D51" s="86">
        <v>805.09</v>
      </c>
      <c r="E51" s="63">
        <f t="shared" si="0"/>
        <v>20127.25</v>
      </c>
      <c r="F51" s="3"/>
      <c r="G51" s="3"/>
      <c r="H51" s="3"/>
    </row>
    <row r="52" spans="1:8" x14ac:dyDescent="0.25">
      <c r="A52" s="49"/>
      <c r="B52" s="50"/>
      <c r="C52" s="85"/>
      <c r="D52" s="86"/>
      <c r="E52" s="63"/>
      <c r="F52" s="3"/>
      <c r="G52" s="3"/>
      <c r="H52" s="3"/>
    </row>
    <row r="53" spans="1:8" x14ac:dyDescent="0.25">
      <c r="A53" s="49"/>
      <c r="B53" s="50"/>
      <c r="C53" s="85"/>
      <c r="D53" s="86"/>
      <c r="E53" s="63"/>
      <c r="F53" s="3"/>
      <c r="G53" s="3"/>
      <c r="H53" s="3"/>
    </row>
    <row r="54" spans="1:8" x14ac:dyDescent="0.25">
      <c r="A54" s="49"/>
      <c r="B54" s="50"/>
      <c r="C54" s="85"/>
      <c r="D54" s="86"/>
      <c r="E54" s="63"/>
      <c r="F54" s="3"/>
      <c r="G54" s="3"/>
      <c r="H54" s="3"/>
    </row>
    <row r="55" spans="1:8" x14ac:dyDescent="0.25">
      <c r="A55" s="49"/>
      <c r="B55" s="50"/>
      <c r="C55" s="85"/>
      <c r="D55" s="86"/>
      <c r="E55" s="63"/>
      <c r="F55" s="3"/>
      <c r="G55" s="3"/>
      <c r="H55" s="3"/>
    </row>
    <row r="56" spans="1:8" x14ac:dyDescent="0.25">
      <c r="A56" s="49"/>
      <c r="B56" s="50"/>
      <c r="C56" s="85"/>
      <c r="D56" s="86"/>
      <c r="E56" s="63"/>
      <c r="F56" s="3"/>
      <c r="G56" s="3"/>
      <c r="H56" s="3"/>
    </row>
    <row r="57" spans="1:8" x14ac:dyDescent="0.25">
      <c r="A57" s="49"/>
      <c r="B57" s="50"/>
      <c r="C57" s="85"/>
      <c r="D57" s="86"/>
      <c r="E57" s="63"/>
      <c r="F57" s="3"/>
      <c r="G57" s="3"/>
      <c r="H57" s="3"/>
    </row>
    <row r="58" spans="1:8" x14ac:dyDescent="0.25">
      <c r="A58" s="49"/>
      <c r="B58" s="50"/>
      <c r="C58" s="85"/>
      <c r="D58" s="86"/>
      <c r="E58" s="63"/>
      <c r="F58" s="3"/>
      <c r="G58" s="3"/>
      <c r="H58" s="3"/>
    </row>
    <row r="59" spans="1:8" x14ac:dyDescent="0.25">
      <c r="A59" s="49"/>
      <c r="B59" s="50"/>
      <c r="C59" s="85"/>
      <c r="D59" s="86"/>
      <c r="E59" s="63"/>
      <c r="F59" s="3"/>
      <c r="G59" s="3"/>
      <c r="H59" s="3"/>
    </row>
    <row r="60" spans="1:8" x14ac:dyDescent="0.25">
      <c r="A60" s="34"/>
      <c r="B60" s="50"/>
      <c r="C60" s="85"/>
      <c r="D60" s="86"/>
      <c r="E60" s="63"/>
      <c r="F60" s="3"/>
      <c r="G60" s="3"/>
      <c r="H60" s="3"/>
    </row>
    <row r="61" spans="1:8" x14ac:dyDescent="0.25">
      <c r="A61" s="52" t="s">
        <v>59</v>
      </c>
      <c r="B61" s="50"/>
      <c r="C61" s="85"/>
      <c r="D61" s="86"/>
      <c r="E61" s="63"/>
      <c r="F61" s="3"/>
      <c r="G61" s="3"/>
      <c r="H61" s="3"/>
    </row>
    <row r="62" spans="1:8" x14ac:dyDescent="0.25">
      <c r="A62" s="34"/>
      <c r="B62" s="50"/>
      <c r="C62" s="85"/>
      <c r="D62" s="86"/>
      <c r="E62" s="63"/>
      <c r="F62" s="3"/>
      <c r="G62" s="3"/>
      <c r="H62" s="3"/>
    </row>
    <row r="63" spans="1:8" ht="84" x14ac:dyDescent="0.25">
      <c r="A63" s="49" t="s">
        <v>72</v>
      </c>
      <c r="B63" s="50" t="s">
        <v>81</v>
      </c>
      <c r="C63" s="85">
        <v>4</v>
      </c>
      <c r="D63" s="86">
        <v>5927.5</v>
      </c>
      <c r="E63" s="63">
        <f t="shared" si="0"/>
        <v>23710</v>
      </c>
      <c r="F63" s="3"/>
      <c r="G63" s="3"/>
      <c r="H63" s="3"/>
    </row>
    <row r="64" spans="1:8" x14ac:dyDescent="0.25">
      <c r="A64" s="34"/>
      <c r="B64" s="50"/>
      <c r="C64" s="85"/>
      <c r="D64" s="86"/>
      <c r="E64" s="63"/>
      <c r="F64" s="3"/>
      <c r="G64" s="3"/>
      <c r="H64" s="3"/>
    </row>
    <row r="65" spans="1:8" ht="84" x14ac:dyDescent="0.25">
      <c r="A65" s="49" t="s">
        <v>73</v>
      </c>
      <c r="B65" s="50" t="s">
        <v>81</v>
      </c>
      <c r="C65" s="85">
        <v>2</v>
      </c>
      <c r="D65" s="86">
        <v>6439.19</v>
      </c>
      <c r="E65" s="63">
        <f t="shared" si="0"/>
        <v>12878.38</v>
      </c>
      <c r="F65" s="3"/>
      <c r="G65" s="3"/>
      <c r="H65" s="3"/>
    </row>
    <row r="66" spans="1:8" x14ac:dyDescent="0.25">
      <c r="A66" s="34"/>
      <c r="B66" s="50"/>
      <c r="C66" s="85"/>
      <c r="D66" s="86"/>
      <c r="E66" s="63"/>
      <c r="F66" s="3"/>
      <c r="G66" s="3"/>
      <c r="H66" s="3"/>
    </row>
    <row r="67" spans="1:8" ht="84" x14ac:dyDescent="0.25">
      <c r="A67" s="49" t="s">
        <v>74</v>
      </c>
      <c r="B67" s="50" t="s">
        <v>81</v>
      </c>
      <c r="C67" s="85">
        <v>1</v>
      </c>
      <c r="D67" s="86">
        <v>2759.29</v>
      </c>
      <c r="E67" s="63">
        <f t="shared" si="0"/>
        <v>2759.29</v>
      </c>
      <c r="F67" s="3"/>
      <c r="G67" s="3"/>
      <c r="H67" s="3"/>
    </row>
    <row r="68" spans="1:8" x14ac:dyDescent="0.25">
      <c r="A68" s="34"/>
      <c r="B68" s="50"/>
      <c r="C68" s="85"/>
      <c r="D68" s="86"/>
      <c r="E68" s="63"/>
      <c r="F68" s="3"/>
      <c r="G68" s="3"/>
      <c r="H68" s="3"/>
    </row>
    <row r="69" spans="1:8" ht="60" x14ac:dyDescent="0.25">
      <c r="A69" s="49" t="s">
        <v>75</v>
      </c>
      <c r="B69" s="50" t="s">
        <v>81</v>
      </c>
      <c r="C69" s="85">
        <v>7</v>
      </c>
      <c r="D69" s="86">
        <v>502.49</v>
      </c>
      <c r="E69" s="63">
        <f t="shared" si="0"/>
        <v>3517.4300000000003</v>
      </c>
      <c r="F69" s="3"/>
      <c r="G69" s="3"/>
      <c r="H69" s="3"/>
    </row>
    <row r="70" spans="1:8" x14ac:dyDescent="0.25">
      <c r="A70" s="34"/>
      <c r="B70" s="50"/>
      <c r="C70" s="85"/>
      <c r="D70" s="86"/>
      <c r="E70" s="63"/>
      <c r="F70" s="3"/>
      <c r="G70" s="3"/>
      <c r="H70" s="3"/>
    </row>
    <row r="71" spans="1:8" ht="108" x14ac:dyDescent="0.25">
      <c r="A71" s="49" t="s">
        <v>87</v>
      </c>
      <c r="B71" s="50" t="s">
        <v>82</v>
      </c>
      <c r="C71" s="85">
        <v>120</v>
      </c>
      <c r="D71" s="86">
        <v>139.11000000000001</v>
      </c>
      <c r="E71" s="63">
        <f t="shared" si="0"/>
        <v>16693.2</v>
      </c>
      <c r="F71" s="3"/>
      <c r="G71" s="3"/>
      <c r="H71" s="3"/>
    </row>
    <row r="72" spans="1:8" x14ac:dyDescent="0.25">
      <c r="A72" s="34"/>
      <c r="B72" s="50"/>
      <c r="C72" s="85"/>
      <c r="D72" s="86"/>
      <c r="E72" s="63"/>
      <c r="F72" s="3"/>
      <c r="G72" s="3"/>
      <c r="H72" s="3"/>
    </row>
    <row r="73" spans="1:8" ht="132" x14ac:dyDescent="0.25">
      <c r="A73" s="49" t="s">
        <v>76</v>
      </c>
      <c r="B73" s="50" t="s">
        <v>79</v>
      </c>
      <c r="C73" s="85">
        <v>25</v>
      </c>
      <c r="D73" s="86">
        <v>237.49</v>
      </c>
      <c r="E73" s="63">
        <f t="shared" si="0"/>
        <v>5937.25</v>
      </c>
      <c r="F73" s="3"/>
      <c r="G73" s="3"/>
      <c r="H73" s="3"/>
    </row>
    <row r="74" spans="1:8" x14ac:dyDescent="0.25">
      <c r="A74" s="49"/>
      <c r="B74" s="50"/>
      <c r="C74" s="85"/>
      <c r="D74" s="86"/>
      <c r="E74" s="63"/>
      <c r="F74" s="3"/>
      <c r="G74" s="3"/>
      <c r="H74" s="3"/>
    </row>
    <row r="75" spans="1:8" x14ac:dyDescent="0.25">
      <c r="A75" s="49"/>
      <c r="B75" s="50"/>
      <c r="C75" s="85"/>
      <c r="D75" s="86"/>
      <c r="E75" s="63"/>
      <c r="F75" s="3"/>
      <c r="G75" s="3"/>
      <c r="H75" s="3"/>
    </row>
    <row r="76" spans="1:8" x14ac:dyDescent="0.25">
      <c r="A76" s="49"/>
      <c r="B76" s="50"/>
      <c r="C76" s="85"/>
      <c r="D76" s="86"/>
      <c r="E76" s="63"/>
      <c r="F76" s="3"/>
      <c r="G76" s="3"/>
      <c r="H76" s="3"/>
    </row>
    <row r="77" spans="1:8" x14ac:dyDescent="0.25">
      <c r="A77" s="49"/>
      <c r="B77" s="50"/>
      <c r="C77" s="85"/>
      <c r="D77" s="86"/>
      <c r="E77" s="63"/>
      <c r="F77" s="3"/>
      <c r="G77" s="3"/>
      <c r="H77" s="3"/>
    </row>
    <row r="78" spans="1:8" x14ac:dyDescent="0.25">
      <c r="A78" s="34"/>
      <c r="B78" s="50"/>
      <c r="C78" s="85"/>
      <c r="D78" s="86"/>
      <c r="E78" s="63"/>
      <c r="F78" s="3"/>
      <c r="G78" s="3"/>
      <c r="H78" s="3"/>
    </row>
    <row r="79" spans="1:8" x14ac:dyDescent="0.25">
      <c r="A79" s="52" t="s">
        <v>60</v>
      </c>
      <c r="B79" s="50"/>
      <c r="C79" s="85"/>
      <c r="D79" s="86"/>
      <c r="E79" s="63"/>
      <c r="F79" s="3"/>
      <c r="G79" s="3"/>
      <c r="H79" s="3"/>
    </row>
    <row r="80" spans="1:8" ht="18.75" customHeight="1" x14ac:dyDescent="0.25">
      <c r="A80" s="37"/>
      <c r="B80" s="53"/>
      <c r="C80" s="56"/>
      <c r="D80" s="64"/>
      <c r="E80" s="63"/>
      <c r="F80" s="3"/>
      <c r="G80" s="3"/>
      <c r="H80" s="3"/>
    </row>
    <row r="81" spans="1:8" ht="128.25" customHeight="1" x14ac:dyDescent="0.25">
      <c r="A81" s="49" t="s">
        <v>88</v>
      </c>
      <c r="B81" s="50" t="s">
        <v>81</v>
      </c>
      <c r="C81" s="56">
        <v>1</v>
      </c>
      <c r="D81" s="64">
        <v>11430.36</v>
      </c>
      <c r="E81" s="63">
        <f t="shared" si="0"/>
        <v>11430.36</v>
      </c>
      <c r="F81" s="3"/>
      <c r="G81" s="3"/>
      <c r="H81" s="3"/>
    </row>
    <row r="82" spans="1:8" ht="12" customHeight="1" x14ac:dyDescent="0.25">
      <c r="A82" s="37"/>
      <c r="B82" s="53"/>
      <c r="C82" s="56"/>
      <c r="D82" s="64"/>
      <c r="E82" s="63"/>
      <c r="F82" s="3"/>
      <c r="G82" s="3"/>
      <c r="H82" s="3"/>
    </row>
    <row r="83" spans="1:8" ht="62.25" customHeight="1" x14ac:dyDescent="0.25">
      <c r="A83" s="49" t="s">
        <v>89</v>
      </c>
      <c r="B83" s="50" t="s">
        <v>81</v>
      </c>
      <c r="C83" s="56">
        <v>1</v>
      </c>
      <c r="D83" s="64">
        <v>25375</v>
      </c>
      <c r="E83" s="63">
        <f t="shared" si="0"/>
        <v>25375</v>
      </c>
      <c r="F83" s="3"/>
      <c r="G83" s="3"/>
      <c r="H83" s="3"/>
    </row>
    <row r="84" spans="1:8" ht="12.75" customHeight="1" x14ac:dyDescent="0.25">
      <c r="A84" s="37"/>
      <c r="B84" s="53"/>
      <c r="C84" s="56"/>
      <c r="D84" s="64"/>
      <c r="E84" s="63"/>
      <c r="F84" s="3"/>
      <c r="G84" s="3"/>
      <c r="H84" s="3"/>
    </row>
    <row r="85" spans="1:8" ht="46.5" customHeight="1" x14ac:dyDescent="0.25">
      <c r="A85" s="49" t="s">
        <v>90</v>
      </c>
      <c r="B85" s="50" t="s">
        <v>81</v>
      </c>
      <c r="C85" s="56">
        <v>2</v>
      </c>
      <c r="D85" s="64">
        <v>32199</v>
      </c>
      <c r="E85" s="63">
        <f t="shared" ref="E85" si="1">C85*D85</f>
        <v>64398</v>
      </c>
      <c r="F85" s="3"/>
      <c r="G85" s="3"/>
      <c r="H85" s="3"/>
    </row>
    <row r="86" spans="1:8" ht="13.5" customHeight="1" x14ac:dyDescent="0.25">
      <c r="A86" s="37"/>
      <c r="B86" s="53"/>
      <c r="C86" s="56"/>
      <c r="D86" s="64"/>
      <c r="E86" s="63"/>
      <c r="F86" s="3"/>
      <c r="G86" s="3"/>
      <c r="H86" s="3"/>
    </row>
    <row r="87" spans="1:8" ht="57" customHeight="1" x14ac:dyDescent="0.25">
      <c r="A87" s="49" t="s">
        <v>91</v>
      </c>
      <c r="B87" s="50" t="s">
        <v>81</v>
      </c>
      <c r="C87" s="56">
        <v>1</v>
      </c>
      <c r="D87" s="64">
        <v>18055</v>
      </c>
      <c r="E87" s="63">
        <f t="shared" ref="E87" si="2">C87*D87</f>
        <v>18055</v>
      </c>
      <c r="F87" s="3"/>
      <c r="G87" s="3"/>
      <c r="H87" s="3"/>
    </row>
    <row r="88" spans="1:8" ht="12.75" customHeight="1" x14ac:dyDescent="0.25">
      <c r="A88" s="37"/>
      <c r="B88" s="53"/>
      <c r="C88" s="56"/>
      <c r="D88" s="64"/>
      <c r="E88" s="63"/>
      <c r="F88" s="3"/>
      <c r="G88" s="3"/>
      <c r="H88" s="3"/>
    </row>
    <row r="89" spans="1:8" ht="51" customHeight="1" x14ac:dyDescent="0.25">
      <c r="A89" s="49" t="s">
        <v>92</v>
      </c>
      <c r="B89" s="50" t="s">
        <v>81</v>
      </c>
      <c r="C89" s="56">
        <v>1</v>
      </c>
      <c r="D89" s="64">
        <v>7575</v>
      </c>
      <c r="E89" s="63">
        <f t="shared" ref="E89" si="3">C89*D89</f>
        <v>7575</v>
      </c>
      <c r="F89" s="3"/>
      <c r="G89" s="3"/>
      <c r="H89" s="3"/>
    </row>
    <row r="90" spans="1:8" ht="14.25" customHeight="1" x14ac:dyDescent="0.25">
      <c r="A90" s="37"/>
      <c r="B90" s="53"/>
      <c r="C90" s="56"/>
      <c r="D90" s="64"/>
      <c r="E90" s="63"/>
      <c r="F90" s="3"/>
      <c r="G90" s="3"/>
      <c r="H90" s="3"/>
    </row>
    <row r="91" spans="1:8" ht="48.75" customHeight="1" x14ac:dyDescent="0.25">
      <c r="A91" s="49" t="s">
        <v>77</v>
      </c>
      <c r="B91" s="50" t="s">
        <v>83</v>
      </c>
      <c r="C91" s="56">
        <v>1</v>
      </c>
      <c r="D91" s="64">
        <v>16125</v>
      </c>
      <c r="E91" s="63">
        <f t="shared" si="0"/>
        <v>16125</v>
      </c>
      <c r="F91" s="3"/>
      <c r="G91" s="3"/>
      <c r="H91" s="3"/>
    </row>
    <row r="92" spans="1:8" ht="12" customHeight="1" x14ac:dyDescent="0.25">
      <c r="A92" s="37"/>
      <c r="B92" s="53"/>
      <c r="C92" s="56"/>
      <c r="D92" s="64"/>
      <c r="E92" s="63"/>
      <c r="F92" s="3"/>
      <c r="G92" s="3"/>
      <c r="H92" s="3"/>
    </row>
    <row r="93" spans="1:8" ht="83.25" customHeight="1" x14ac:dyDescent="0.25">
      <c r="A93" s="49" t="s">
        <v>78</v>
      </c>
      <c r="B93" s="50" t="s">
        <v>83</v>
      </c>
      <c r="C93" s="56">
        <v>1</v>
      </c>
      <c r="D93" s="64">
        <v>18080</v>
      </c>
      <c r="E93" s="63">
        <f t="shared" si="0"/>
        <v>18080</v>
      </c>
      <c r="F93" s="3"/>
      <c r="G93" s="3"/>
      <c r="H93" s="3"/>
    </row>
    <row r="94" spans="1:8" ht="19.5" customHeight="1" x14ac:dyDescent="0.25">
      <c r="A94" s="37"/>
      <c r="B94" s="38"/>
      <c r="C94" s="57"/>
      <c r="D94" s="39"/>
      <c r="E94" s="54"/>
      <c r="F94" s="3"/>
      <c r="G94" s="3"/>
      <c r="H94" s="3"/>
    </row>
    <row r="95" spans="1:8" ht="19.5" customHeight="1" x14ac:dyDescent="0.25">
      <c r="A95" s="37"/>
      <c r="B95" s="38"/>
      <c r="C95" s="57"/>
      <c r="D95" s="39"/>
      <c r="E95" s="39"/>
      <c r="F95" s="3"/>
      <c r="G95" s="3"/>
      <c r="H95" s="3"/>
    </row>
    <row r="96" spans="1:8" ht="15" customHeight="1" x14ac:dyDescent="0.25">
      <c r="A96" s="40"/>
      <c r="B96" s="38"/>
      <c r="C96" s="58"/>
      <c r="D96" s="41"/>
      <c r="E96" s="41"/>
      <c r="F96" s="11"/>
    </row>
    <row r="97" spans="1:7" x14ac:dyDescent="0.25">
      <c r="A97" s="40"/>
      <c r="B97" s="40"/>
      <c r="C97" s="59"/>
      <c r="D97" s="55" t="s">
        <v>2</v>
      </c>
      <c r="E97" s="62">
        <f>SUM(E20:E93)</f>
        <v>482294.47220000002</v>
      </c>
      <c r="F97" s="6"/>
      <c r="G97" s="17"/>
    </row>
    <row r="98" spans="1:7" x14ac:dyDescent="0.25">
      <c r="A98" s="40"/>
      <c r="B98" s="40"/>
      <c r="C98" s="60"/>
      <c r="D98" s="55" t="s">
        <v>3</v>
      </c>
      <c r="E98" s="62">
        <f>E97*16%</f>
        <v>77167.115552000003</v>
      </c>
      <c r="F98" s="17"/>
      <c r="G98" s="17"/>
    </row>
    <row r="99" spans="1:7" x14ac:dyDescent="0.25">
      <c r="A99" s="40"/>
      <c r="B99" s="40"/>
      <c r="C99" s="61"/>
      <c r="D99" s="55" t="s">
        <v>4</v>
      </c>
      <c r="E99" s="62">
        <f>SUM(E97:E98)</f>
        <v>559461.58775199996</v>
      </c>
      <c r="F99" s="6"/>
      <c r="G99" s="17"/>
    </row>
    <row r="100" spans="1:7" x14ac:dyDescent="0.25">
      <c r="A100" s="40"/>
      <c r="B100" s="40"/>
      <c r="C100" s="61"/>
      <c r="D100" s="40"/>
      <c r="E100" s="42"/>
      <c r="F100" s="6"/>
      <c r="G100" s="17"/>
    </row>
    <row r="101" spans="1:7" x14ac:dyDescent="0.25">
      <c r="A101" s="40"/>
      <c r="B101" s="40"/>
      <c r="C101" s="43"/>
      <c r="D101" s="40"/>
      <c r="E101" s="42"/>
      <c r="F101" s="6"/>
      <c r="G101" s="17"/>
    </row>
    <row r="102" spans="1:7" x14ac:dyDescent="0.25">
      <c r="A102" s="40"/>
      <c r="B102" s="40"/>
      <c r="C102" s="43"/>
      <c r="D102" s="40"/>
      <c r="E102" s="42"/>
      <c r="F102" s="6"/>
      <c r="G102" s="17"/>
    </row>
    <row r="103" spans="1:7" x14ac:dyDescent="0.25">
      <c r="A103" s="40"/>
      <c r="B103" s="40"/>
      <c r="C103" s="43"/>
      <c r="D103" s="40"/>
      <c r="E103" s="42"/>
      <c r="F103" s="6"/>
      <c r="G103" s="17"/>
    </row>
    <row r="104" spans="1:7" x14ac:dyDescent="0.25">
      <c r="A104" s="40"/>
      <c r="B104" s="40"/>
      <c r="C104" s="43"/>
      <c r="D104" s="40"/>
      <c r="E104" s="40"/>
      <c r="F104" s="6"/>
    </row>
    <row r="105" spans="1:7" x14ac:dyDescent="0.25">
      <c r="A105" s="40"/>
      <c r="B105" s="40"/>
      <c r="C105" s="43"/>
      <c r="D105" s="40"/>
      <c r="E105" s="40"/>
      <c r="F105" s="6"/>
    </row>
    <row r="106" spans="1:7" x14ac:dyDescent="0.25">
      <c r="A106" s="72" t="s">
        <v>93</v>
      </c>
      <c r="B106" s="72"/>
      <c r="C106" s="72"/>
      <c r="D106" s="72"/>
      <c r="E106" s="72"/>
    </row>
    <row r="107" spans="1:7" x14ac:dyDescent="0.25">
      <c r="A107" s="71" t="s">
        <v>56</v>
      </c>
      <c r="B107" s="71"/>
      <c r="C107" s="71"/>
      <c r="D107" s="71"/>
      <c r="E107" s="71"/>
    </row>
    <row r="108" spans="1:7" x14ac:dyDescent="0.25">
      <c r="A108" s="48"/>
      <c r="B108" s="47"/>
      <c r="C108" s="47"/>
      <c r="D108" s="47"/>
      <c r="E108" s="47"/>
    </row>
    <row r="109" spans="1:7" x14ac:dyDescent="0.25">
      <c r="A109" s="74" t="s">
        <v>5</v>
      </c>
      <c r="B109" s="74"/>
      <c r="C109" s="74"/>
      <c r="D109" s="74"/>
      <c r="E109" s="74"/>
    </row>
    <row r="110" spans="1:7" ht="61.5" customHeight="1" x14ac:dyDescent="0.25">
      <c r="A110" s="66" t="s">
        <v>51</v>
      </c>
      <c r="B110" s="66"/>
      <c r="C110" s="66"/>
      <c r="D110" s="66"/>
      <c r="E110" s="66"/>
      <c r="F110" s="6"/>
    </row>
    <row r="111" spans="1:7" x14ac:dyDescent="0.25">
      <c r="A111" s="75" t="s">
        <v>6</v>
      </c>
      <c r="B111" s="75"/>
      <c r="C111" s="75"/>
      <c r="D111" s="75"/>
      <c r="E111" s="75"/>
    </row>
    <row r="112" spans="1:7" ht="27" customHeight="1" x14ac:dyDescent="0.25">
      <c r="A112" s="66" t="s">
        <v>7</v>
      </c>
      <c r="B112" s="66"/>
      <c r="C112" s="66"/>
      <c r="D112" s="66"/>
      <c r="E112" s="66"/>
    </row>
    <row r="113" spans="1:5" ht="35.25" customHeight="1" x14ac:dyDescent="0.25">
      <c r="A113" s="67" t="s">
        <v>8</v>
      </c>
      <c r="B113" s="67"/>
      <c r="C113" s="67"/>
      <c r="D113" s="67"/>
      <c r="E113" s="67"/>
    </row>
    <row r="114" spans="1:5" ht="45" customHeight="1" x14ac:dyDescent="0.25">
      <c r="A114" s="76" t="s">
        <v>9</v>
      </c>
      <c r="B114" s="76"/>
      <c r="C114" s="76"/>
      <c r="D114" s="76"/>
      <c r="E114" s="76"/>
    </row>
    <row r="115" spans="1:5" ht="24.75" customHeight="1" x14ac:dyDescent="0.25">
      <c r="A115" s="67" t="s">
        <v>10</v>
      </c>
      <c r="B115" s="67"/>
      <c r="C115" s="67"/>
      <c r="D115" s="67"/>
      <c r="E115" s="67"/>
    </row>
    <row r="116" spans="1:5" ht="57" customHeight="1" x14ac:dyDescent="0.25">
      <c r="A116" s="66" t="s">
        <v>11</v>
      </c>
      <c r="B116" s="66"/>
      <c r="C116" s="66"/>
      <c r="D116" s="66"/>
      <c r="E116" s="66"/>
    </row>
    <row r="117" spans="1:5" ht="16.5" customHeight="1" x14ac:dyDescent="0.25">
      <c r="A117" s="66" t="s">
        <v>12</v>
      </c>
      <c r="B117" s="66"/>
      <c r="C117" s="66"/>
      <c r="D117" s="66"/>
      <c r="E117" s="66"/>
    </row>
    <row r="118" spans="1:5" ht="48.75" customHeight="1" x14ac:dyDescent="0.25">
      <c r="A118" s="66" t="s">
        <v>52</v>
      </c>
      <c r="B118" s="66"/>
      <c r="C118" s="66"/>
      <c r="D118" s="66"/>
      <c r="E118" s="66"/>
    </row>
    <row r="119" spans="1:5" ht="24" customHeight="1" x14ac:dyDescent="0.25">
      <c r="A119" s="66" t="s">
        <v>13</v>
      </c>
      <c r="B119" s="66"/>
      <c r="C119" s="66"/>
      <c r="D119" s="66"/>
      <c r="E119" s="68"/>
    </row>
    <row r="120" spans="1:5" ht="58.5" customHeight="1" x14ac:dyDescent="0.25">
      <c r="A120" s="67" t="s">
        <v>14</v>
      </c>
      <c r="B120" s="67"/>
      <c r="C120" s="67"/>
      <c r="D120" s="67"/>
      <c r="E120" s="67"/>
    </row>
    <row r="121" spans="1:5" ht="19.5" customHeight="1" x14ac:dyDescent="0.25">
      <c r="A121" s="66" t="s">
        <v>15</v>
      </c>
      <c r="B121" s="66"/>
      <c r="C121" s="66"/>
      <c r="D121" s="66"/>
      <c r="E121" s="66"/>
    </row>
    <row r="122" spans="1:5" x14ac:dyDescent="0.25">
      <c r="A122" s="36" t="s">
        <v>16</v>
      </c>
      <c r="B122" s="36"/>
      <c r="C122" s="35"/>
      <c r="D122" s="35"/>
      <c r="E122" s="35"/>
    </row>
    <row r="123" spans="1:5" x14ac:dyDescent="0.25">
      <c r="A123" s="36" t="s">
        <v>17</v>
      </c>
      <c r="B123" s="36"/>
      <c r="C123" s="35"/>
      <c r="D123" s="35"/>
      <c r="E123" s="35"/>
    </row>
    <row r="124" spans="1:5" x14ac:dyDescent="0.25">
      <c r="A124" s="44" t="s">
        <v>22</v>
      </c>
      <c r="B124" s="44"/>
      <c r="C124" s="65" t="s">
        <v>53</v>
      </c>
      <c r="D124" s="65"/>
      <c r="E124" s="65"/>
    </row>
    <row r="125" spans="1:5" x14ac:dyDescent="0.25">
      <c r="A125" s="36"/>
      <c r="B125" s="36"/>
      <c r="C125" s="35"/>
      <c r="D125" s="35"/>
      <c r="E125" s="35"/>
    </row>
    <row r="126" spans="1:5" x14ac:dyDescent="0.25">
      <c r="A126" s="36"/>
      <c r="B126" s="36"/>
      <c r="C126" s="35"/>
      <c r="D126" s="35"/>
      <c r="E126" s="35"/>
    </row>
    <row r="127" spans="1:5" x14ac:dyDescent="0.25">
      <c r="A127" s="45" t="s">
        <v>54</v>
      </c>
      <c r="B127" s="45"/>
      <c r="C127" s="35"/>
      <c r="D127" s="35"/>
      <c r="E127" s="35"/>
    </row>
    <row r="128" spans="1:5" x14ac:dyDescent="0.25">
      <c r="A128" s="46" t="s">
        <v>84</v>
      </c>
      <c r="B128" s="46"/>
      <c r="C128" s="35"/>
      <c r="D128" s="35"/>
      <c r="E128" s="35"/>
    </row>
    <row r="129" spans="1:5" x14ac:dyDescent="0.25">
      <c r="A129" s="46"/>
      <c r="B129" s="46"/>
      <c r="C129" s="35"/>
      <c r="D129" s="35"/>
      <c r="E129" s="35"/>
    </row>
    <row r="130" spans="1:5" x14ac:dyDescent="0.25">
      <c r="A130" s="38"/>
      <c r="B130" s="38"/>
      <c r="C130" s="35"/>
      <c r="D130" s="35"/>
      <c r="E130" s="35"/>
    </row>
    <row r="131" spans="1:5" x14ac:dyDescent="0.25">
      <c r="A131" s="32"/>
      <c r="B131" s="32"/>
      <c r="C131" s="32"/>
      <c r="D131" s="32"/>
      <c r="E131" s="32"/>
    </row>
  </sheetData>
  <mergeCells count="21">
    <mergeCell ref="A116:E116"/>
    <mergeCell ref="A113:E113"/>
    <mergeCell ref="A112:E112"/>
    <mergeCell ref="A107:E107"/>
    <mergeCell ref="A17:E17"/>
    <mergeCell ref="A110:E110"/>
    <mergeCell ref="A109:E109"/>
    <mergeCell ref="A111:E111"/>
    <mergeCell ref="A115:E115"/>
    <mergeCell ref="A114:E114"/>
    <mergeCell ref="A11:E11"/>
    <mergeCell ref="A6:E6"/>
    <mergeCell ref="A13:E13"/>
    <mergeCell ref="A106:E106"/>
    <mergeCell ref="A14:E14"/>
    <mergeCell ref="C124:E124"/>
    <mergeCell ref="A121:E121"/>
    <mergeCell ref="A117:E117"/>
    <mergeCell ref="A118:E118"/>
    <mergeCell ref="A120:E120"/>
    <mergeCell ref="A119:E119"/>
  </mergeCells>
  <pageMargins left="0.25" right="0.25" top="0.75" bottom="0.75" header="0.3" footer="0.3"/>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0"/>
  <sheetViews>
    <sheetView topLeftCell="A4" zoomScaleNormal="100" zoomScalePageLayoutView="50" workbookViewId="0">
      <selection activeCell="D22" sqref="D22"/>
    </sheetView>
  </sheetViews>
  <sheetFormatPr baseColWidth="10" defaultRowHeight="15" x14ac:dyDescent="0.25"/>
  <cols>
    <col min="1" max="1" width="5.85546875" style="21" customWidth="1"/>
    <col min="2" max="2" width="52.140625" customWidth="1"/>
    <col min="3" max="3" width="14.28515625" customWidth="1"/>
    <col min="4" max="4" width="11.42578125" customWidth="1"/>
    <col min="5" max="5" width="9.85546875" bestFit="1" customWidth="1"/>
    <col min="6" max="6" width="11.28515625" customWidth="1"/>
  </cols>
  <sheetData>
    <row r="4" spans="2:6" x14ac:dyDescent="0.25">
      <c r="B4" s="25"/>
      <c r="C4" s="25"/>
      <c r="D4" s="25"/>
      <c r="E4" s="25"/>
      <c r="F4" s="25"/>
    </row>
    <row r="5" spans="2:6" x14ac:dyDescent="0.25">
      <c r="B5" s="25"/>
      <c r="C5" s="25"/>
      <c r="D5" s="25"/>
      <c r="E5" s="25"/>
      <c r="F5" s="25"/>
    </row>
    <row r="6" spans="2:6" x14ac:dyDescent="0.25">
      <c r="B6" s="82" t="s">
        <v>46</v>
      </c>
      <c r="C6" s="82"/>
      <c r="D6" s="82"/>
      <c r="E6" s="82"/>
      <c r="F6" s="82"/>
    </row>
    <row r="7" spans="2:6" x14ac:dyDescent="0.25">
      <c r="B7" s="1"/>
      <c r="C7" s="1"/>
      <c r="D7" s="25"/>
      <c r="E7" s="25"/>
      <c r="F7" s="25"/>
    </row>
    <row r="8" spans="2:6" x14ac:dyDescent="0.25">
      <c r="B8" s="1" t="s">
        <v>0</v>
      </c>
      <c r="C8" s="1"/>
      <c r="D8" s="25"/>
      <c r="E8" s="25"/>
      <c r="F8" s="25"/>
    </row>
    <row r="9" spans="2:6" x14ac:dyDescent="0.25">
      <c r="B9" s="83" t="s">
        <v>45</v>
      </c>
      <c r="C9" s="83"/>
      <c r="D9" s="83"/>
      <c r="E9" s="83"/>
      <c r="F9" s="83"/>
    </row>
    <row r="10" spans="2:6" x14ac:dyDescent="0.25">
      <c r="B10" s="84" t="s">
        <v>43</v>
      </c>
      <c r="C10" s="84"/>
      <c r="D10" s="84"/>
      <c r="E10" s="84"/>
      <c r="F10" s="84"/>
    </row>
    <row r="11" spans="2:6" ht="12.75" customHeight="1" x14ac:dyDescent="0.25">
      <c r="B11" s="9" t="s">
        <v>47</v>
      </c>
      <c r="C11" s="9"/>
      <c r="D11" s="26"/>
      <c r="E11" s="26"/>
      <c r="F11" s="26"/>
    </row>
    <row r="12" spans="2:6" ht="13.5" customHeight="1" x14ac:dyDescent="0.25">
      <c r="B12" s="10" t="s">
        <v>1</v>
      </c>
      <c r="C12" s="10"/>
      <c r="D12" s="26"/>
      <c r="E12" s="26"/>
      <c r="F12" s="26"/>
    </row>
    <row r="13" spans="2:6" ht="21.75" customHeight="1" x14ac:dyDescent="0.25">
      <c r="B13" s="81" t="s">
        <v>23</v>
      </c>
      <c r="C13" s="81"/>
      <c r="D13" s="81"/>
      <c r="E13" s="81"/>
      <c r="F13" s="81"/>
    </row>
    <row r="14" spans="2:6" x14ac:dyDescent="0.25">
      <c r="B14" s="9" t="s">
        <v>20</v>
      </c>
      <c r="C14" s="9"/>
      <c r="D14" s="23" t="s">
        <v>18</v>
      </c>
      <c r="E14" s="23" t="s">
        <v>27</v>
      </c>
      <c r="F14" s="2" t="s">
        <v>19</v>
      </c>
    </row>
    <row r="15" spans="2:6" x14ac:dyDescent="0.25">
      <c r="B15" s="9"/>
      <c r="C15" s="9"/>
      <c r="D15" s="2"/>
      <c r="E15" s="2"/>
      <c r="F15" s="2"/>
    </row>
    <row r="16" spans="2:6" x14ac:dyDescent="0.25">
      <c r="B16" s="8" t="s">
        <v>48</v>
      </c>
      <c r="C16" s="28" t="s">
        <v>37</v>
      </c>
      <c r="D16" s="30">
        <v>18</v>
      </c>
      <c r="E16" s="27">
        <v>931.85</v>
      </c>
      <c r="F16" s="16">
        <f>D16*E16</f>
        <v>16773.3</v>
      </c>
    </row>
    <row r="17" spans="2:6" x14ac:dyDescent="0.25">
      <c r="B17" s="8" t="s">
        <v>38</v>
      </c>
      <c r="C17" s="28" t="s">
        <v>37</v>
      </c>
      <c r="D17" s="30">
        <v>13</v>
      </c>
      <c r="E17" s="27">
        <v>918.78</v>
      </c>
      <c r="F17" s="16">
        <f>D17*E17</f>
        <v>11944.14</v>
      </c>
    </row>
    <row r="18" spans="2:6" x14ac:dyDescent="0.25">
      <c r="B18" s="8" t="s">
        <v>39</v>
      </c>
      <c r="C18" s="28" t="s">
        <v>37</v>
      </c>
      <c r="D18" s="30">
        <v>3</v>
      </c>
      <c r="E18" s="27">
        <v>701</v>
      </c>
      <c r="F18" s="16">
        <f>D18*E18</f>
        <v>2103</v>
      </c>
    </row>
    <row r="19" spans="2:6" x14ac:dyDescent="0.25">
      <c r="B19" s="8" t="s">
        <v>40</v>
      </c>
      <c r="C19" s="28" t="s">
        <v>37</v>
      </c>
      <c r="D19" s="6">
        <v>3</v>
      </c>
      <c r="E19" s="27">
        <v>794.75</v>
      </c>
      <c r="F19" s="16">
        <f t="shared" ref="F19:F21" si="0">D19*E19</f>
        <v>2384.25</v>
      </c>
    </row>
    <row r="20" spans="2:6" x14ac:dyDescent="0.25">
      <c r="B20" s="8" t="s">
        <v>41</v>
      </c>
      <c r="C20" s="28" t="s">
        <v>37</v>
      </c>
      <c r="D20" s="6">
        <v>5</v>
      </c>
      <c r="E20" s="27">
        <v>4190</v>
      </c>
      <c r="F20" s="16">
        <f t="shared" ref="F20" si="1">D20*E20</f>
        <v>20950</v>
      </c>
    </row>
    <row r="21" spans="2:6" x14ac:dyDescent="0.25">
      <c r="B21" s="8" t="s">
        <v>42</v>
      </c>
      <c r="C21" s="28" t="s">
        <v>37</v>
      </c>
      <c r="D21" s="6">
        <v>2</v>
      </c>
      <c r="E21" s="27">
        <v>3883</v>
      </c>
      <c r="F21" s="16">
        <f t="shared" si="0"/>
        <v>7766</v>
      </c>
    </row>
    <row r="22" spans="2:6" x14ac:dyDescent="0.25">
      <c r="B22" s="12"/>
      <c r="C22" s="28"/>
      <c r="D22" s="14"/>
      <c r="E22" s="16"/>
      <c r="F22" s="16"/>
    </row>
    <row r="23" spans="2:6" x14ac:dyDescent="0.25">
      <c r="B23" s="8"/>
      <c r="C23" s="8"/>
      <c r="D23" s="13"/>
      <c r="E23" s="25"/>
      <c r="F23" s="25"/>
    </row>
    <row r="24" spans="2:6" x14ac:dyDescent="0.25">
      <c r="B24" s="12"/>
      <c r="C24" s="12"/>
      <c r="D24" s="14"/>
      <c r="E24" s="16"/>
      <c r="F24" s="16"/>
    </row>
    <row r="25" spans="2:6" x14ac:dyDescent="0.25">
      <c r="B25" s="5"/>
      <c r="C25" s="5"/>
      <c r="D25" s="14"/>
      <c r="E25" s="15"/>
      <c r="F25" s="16"/>
    </row>
    <row r="26" spans="2:6" x14ac:dyDescent="0.25">
      <c r="B26" s="5"/>
      <c r="C26" s="5"/>
      <c r="D26" s="26"/>
      <c r="E26" s="5" t="s">
        <v>2</v>
      </c>
      <c r="F26" s="17">
        <f>SUM(F16:F25)</f>
        <v>61920.69</v>
      </c>
    </row>
    <row r="27" spans="2:6" x14ac:dyDescent="0.25">
      <c r="B27" s="5"/>
      <c r="C27" s="5"/>
      <c r="D27" s="5"/>
      <c r="E27" s="5" t="s">
        <v>3</v>
      </c>
      <c r="F27" s="17">
        <f>F26*16%</f>
        <v>9907.3104000000003</v>
      </c>
    </row>
    <row r="28" spans="2:6" x14ac:dyDescent="0.25">
      <c r="B28" s="5"/>
      <c r="C28" s="5"/>
      <c r="D28" s="22"/>
      <c r="E28" s="5" t="s">
        <v>4</v>
      </c>
      <c r="F28" s="17">
        <f>SUM(F26:F27)</f>
        <v>71828.000400000004</v>
      </c>
    </row>
    <row r="29" spans="2:6" x14ac:dyDescent="0.25">
      <c r="B29" s="5"/>
      <c r="C29" s="5"/>
      <c r="D29" s="22"/>
      <c r="E29" s="5"/>
      <c r="F29" s="17"/>
    </row>
    <row r="30" spans="2:6" x14ac:dyDescent="0.25">
      <c r="B30" s="1" t="s">
        <v>24</v>
      </c>
      <c r="C30" s="1"/>
      <c r="D30" s="25"/>
      <c r="E30" s="25"/>
      <c r="F30" s="25"/>
    </row>
    <row r="31" spans="2:6" ht="28.5" customHeight="1" x14ac:dyDescent="0.25">
      <c r="B31" s="81" t="s">
        <v>28</v>
      </c>
      <c r="C31" s="81"/>
      <c r="D31" s="81"/>
      <c r="E31" s="81"/>
      <c r="F31" s="81"/>
    </row>
    <row r="32" spans="2:6" ht="17.25" customHeight="1" x14ac:dyDescent="0.25">
      <c r="B32" s="81" t="s">
        <v>29</v>
      </c>
      <c r="C32" s="81"/>
      <c r="D32" s="81"/>
      <c r="E32" s="81"/>
      <c r="F32" s="81"/>
    </row>
    <row r="33" spans="2:15" ht="15" customHeight="1" x14ac:dyDescent="0.25">
      <c r="B33" s="81" t="s">
        <v>30</v>
      </c>
      <c r="C33" s="81"/>
      <c r="D33" s="81"/>
      <c r="E33" s="81"/>
      <c r="F33" s="81"/>
    </row>
    <row r="34" spans="2:15" ht="18" customHeight="1" x14ac:dyDescent="0.25">
      <c r="B34" s="81" t="s">
        <v>31</v>
      </c>
      <c r="C34" s="81"/>
      <c r="D34" s="81"/>
      <c r="E34" s="81"/>
      <c r="F34" s="81"/>
    </row>
    <row r="35" spans="2:15" ht="96.75" customHeight="1" x14ac:dyDescent="0.25">
      <c r="B35" s="81" t="s">
        <v>32</v>
      </c>
      <c r="C35" s="81"/>
      <c r="D35" s="81"/>
      <c r="E35" s="81"/>
      <c r="F35" s="81"/>
    </row>
    <row r="36" spans="2:15" x14ac:dyDescent="0.25">
      <c r="B36" s="25"/>
      <c r="C36" s="25"/>
      <c r="D36" s="25"/>
      <c r="E36" s="25"/>
      <c r="F36" s="25"/>
      <c r="H36" s="20"/>
    </row>
    <row r="37" spans="2:15" x14ac:dyDescent="0.25">
      <c r="B37" s="7" t="s">
        <v>33</v>
      </c>
      <c r="C37" s="7"/>
      <c r="D37" s="79" t="s">
        <v>34</v>
      </c>
      <c r="E37" s="79"/>
      <c r="F37" s="79"/>
    </row>
    <row r="38" spans="2:15" x14ac:dyDescent="0.25">
      <c r="B38" s="10"/>
      <c r="C38" s="10"/>
      <c r="D38" s="26"/>
      <c r="E38" s="26"/>
      <c r="F38" s="26"/>
    </row>
    <row r="39" spans="2:15" x14ac:dyDescent="0.25">
      <c r="B39" s="10"/>
      <c r="C39" s="10"/>
      <c r="D39" s="26"/>
      <c r="E39" s="26"/>
      <c r="F39" s="26"/>
    </row>
    <row r="40" spans="2:15" x14ac:dyDescent="0.25">
      <c r="B40" s="18" t="s">
        <v>35</v>
      </c>
      <c r="C40" s="18"/>
      <c r="D40" s="26"/>
      <c r="E40" s="26"/>
      <c r="F40" s="26"/>
    </row>
    <row r="41" spans="2:15" x14ac:dyDescent="0.25">
      <c r="B41" s="29" t="s">
        <v>44</v>
      </c>
      <c r="C41" s="29"/>
      <c r="D41" s="80" t="s">
        <v>25</v>
      </c>
      <c r="E41" s="80"/>
      <c r="F41" s="80"/>
    </row>
    <row r="42" spans="2:15" x14ac:dyDescent="0.25">
      <c r="B42" s="19"/>
      <c r="C42" s="19"/>
      <c r="D42" s="26"/>
      <c r="E42" s="26"/>
      <c r="F42" s="26"/>
    </row>
    <row r="43" spans="2:15" x14ac:dyDescent="0.25">
      <c r="B43" s="77" t="s">
        <v>26</v>
      </c>
      <c r="C43" s="77"/>
      <c r="D43" s="78"/>
      <c r="E43" s="78"/>
      <c r="F43" s="78"/>
      <c r="G43" s="24"/>
      <c r="H43" s="24"/>
      <c r="I43" s="24"/>
      <c r="J43" s="24"/>
      <c r="K43" s="24"/>
      <c r="L43" s="24"/>
      <c r="M43" s="24"/>
      <c r="N43" s="24"/>
      <c r="O43" s="24"/>
    </row>
    <row r="44" spans="2:15" x14ac:dyDescent="0.25">
      <c r="B44" s="78"/>
      <c r="C44" s="78"/>
      <c r="D44" s="78"/>
      <c r="E44" s="78"/>
      <c r="F44" s="78"/>
      <c r="G44" s="24"/>
      <c r="H44" s="24"/>
      <c r="I44" s="24"/>
      <c r="J44" s="24"/>
      <c r="K44" s="24"/>
      <c r="L44" s="24"/>
      <c r="M44" s="24"/>
      <c r="N44" s="24"/>
      <c r="O44" s="24"/>
    </row>
    <row r="45" spans="2:15" x14ac:dyDescent="0.25">
      <c r="B45" s="78"/>
      <c r="C45" s="78"/>
      <c r="D45" s="78"/>
      <c r="E45" s="78"/>
      <c r="F45" s="78"/>
      <c r="G45" s="24"/>
      <c r="H45" s="24"/>
      <c r="I45" s="24"/>
      <c r="J45" s="24"/>
      <c r="K45" s="24"/>
      <c r="L45" s="24"/>
      <c r="M45" s="24"/>
      <c r="N45" s="24"/>
      <c r="O45" s="24"/>
    </row>
    <row r="46" spans="2:15" x14ac:dyDescent="0.25">
      <c r="B46" s="78"/>
      <c r="C46" s="78"/>
      <c r="D46" s="78"/>
      <c r="E46" s="78"/>
      <c r="F46" s="78"/>
      <c r="G46" s="24"/>
      <c r="H46" s="24"/>
      <c r="I46" s="24"/>
      <c r="J46" s="24"/>
      <c r="K46" s="24"/>
      <c r="L46" s="24"/>
      <c r="M46" s="24"/>
      <c r="N46" s="24"/>
      <c r="O46" s="24"/>
    </row>
    <row r="47" spans="2:15" x14ac:dyDescent="0.25">
      <c r="B47" s="24"/>
      <c r="C47" s="24"/>
      <c r="D47" s="24"/>
      <c r="E47" s="24"/>
      <c r="F47" s="24"/>
      <c r="G47" s="24"/>
      <c r="H47" s="24"/>
      <c r="I47" s="24"/>
      <c r="J47" s="24"/>
      <c r="K47" s="24"/>
      <c r="L47" s="24"/>
      <c r="M47" s="24"/>
      <c r="N47" s="24"/>
      <c r="O47" s="24"/>
    </row>
    <row r="48" spans="2:15" x14ac:dyDescent="0.25">
      <c r="B48" s="24"/>
      <c r="C48" s="24"/>
      <c r="D48" s="24"/>
      <c r="E48" s="24"/>
      <c r="F48" s="24"/>
      <c r="G48" s="24"/>
      <c r="H48" s="24"/>
      <c r="I48" s="24"/>
      <c r="J48" s="24"/>
      <c r="K48" s="24"/>
      <c r="L48" s="24"/>
      <c r="M48" s="24"/>
      <c r="N48" s="24"/>
      <c r="O48" s="24"/>
    </row>
    <row r="49" spans="2:15" x14ac:dyDescent="0.25">
      <c r="B49" s="24"/>
      <c r="C49" s="24"/>
      <c r="D49" s="24"/>
      <c r="E49" s="24"/>
      <c r="F49" s="24"/>
      <c r="G49" s="24"/>
      <c r="H49" s="24"/>
      <c r="I49" s="24"/>
      <c r="J49" s="24"/>
      <c r="K49" s="24"/>
      <c r="L49" s="24"/>
      <c r="M49" s="24"/>
      <c r="N49" s="24"/>
      <c r="O49" s="24"/>
    </row>
    <row r="50" spans="2:15" x14ac:dyDescent="0.25">
      <c r="B50" s="24"/>
      <c r="C50" s="24"/>
      <c r="D50" s="24"/>
      <c r="E50" s="24"/>
      <c r="F50" s="24"/>
      <c r="G50" s="24"/>
      <c r="H50" s="24"/>
      <c r="I50" s="24"/>
      <c r="J50" s="24"/>
      <c r="K50" s="24"/>
      <c r="L50" s="24"/>
      <c r="M50" s="24"/>
      <c r="N50" s="24"/>
      <c r="O50" s="24"/>
    </row>
  </sheetData>
  <mergeCells count="12">
    <mergeCell ref="B6:F6"/>
    <mergeCell ref="B9:F9"/>
    <mergeCell ref="B10:F10"/>
    <mergeCell ref="B13:F13"/>
    <mergeCell ref="B35:F35"/>
    <mergeCell ref="B43:F46"/>
    <mergeCell ref="D37:F37"/>
    <mergeCell ref="D41:F41"/>
    <mergeCell ref="B31:F31"/>
    <mergeCell ref="B32:F32"/>
    <mergeCell ref="B33:F33"/>
    <mergeCell ref="B34:F34"/>
  </mergeCells>
  <pageMargins left="0.7" right="0.7" top="0.75" bottom="0.75" header="0.3" footer="0.3"/>
  <pageSetup paperSize="9" scale="83"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2026-03-10T16:27:54Z</cp:lastPrinted>
  <dcterms:created xsi:type="dcterms:W3CDTF">2020-12-14T19:54:01Z</dcterms:created>
  <dcterms:modified xsi:type="dcterms:W3CDTF">2026-03-10T17:02:54Z</dcterms:modified>
</cp:coreProperties>
</file>