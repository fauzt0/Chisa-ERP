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0CE933A-77C1-4114-AF0B-05A1E583A4C4}"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1" l="1"/>
  <c r="F28" i="1"/>
  <c r="F30" i="1"/>
  <c r="F26" i="1" l="1"/>
  <c r="F16" i="3" l="1"/>
  <c r="F20" i="3" l="1"/>
  <c r="F17" i="3"/>
  <c r="F21" i="3" l="1"/>
  <c r="F19" i="3"/>
  <c r="F18" i="3"/>
  <c r="F26" i="3" l="1"/>
  <c r="F33" i="1"/>
  <c r="F34" i="1" s="1"/>
  <c r="F27" i="3" l="1"/>
  <c r="F28" i="3" s="1"/>
</calcChain>
</file>

<file path=xl/sharedStrings.xml><?xml version="1.0" encoding="utf-8"?>
<sst xmlns="http://schemas.openxmlformats.org/spreadsheetml/2006/main" count="85" uniqueCount="70">
  <si>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</si>
  <si>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</si>
  <si>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</si>
  <si>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</si>
  <si>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IMPORTE:</t>
  </si>
  <si>
    <t>16% I.V.A.</t>
  </si>
  <si>
    <t>T O T A L</t>
  </si>
  <si>
    <t>FORMA DE PAGO</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</si>
  <si>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</si>
  <si>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</si>
  <si>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</si>
  <si>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</si>
  <si>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</si>
  <si>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</si>
  <si>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</si>
  <si>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</si>
  <si>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</si>
  <si>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</si>
  <si>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</si>
  <si>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</si>
  <si>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</si>
  <si>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</si>
  <si>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</si>
  <si>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</si>
  <si>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</si>
  <si>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</si>
  <si>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</si>
  <si>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</si>
  <si>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</si>
  <si>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</si>
  <si>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</si>
  <si>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</si>
  <si>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</si>
  <si>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</si>
  <si>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</si>
  <si>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</si>
  <si>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</si>
  <si>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</si>
  <si>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</si>
  <si>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</si>
  <si>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</si>
  <si>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</si>
  <si>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</si>
  <si>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</si>
  <si>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</si>
  <si>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</si>
  <si>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</si>
  <si>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</si>
  <si>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</si>
  <si>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</si>
  <si>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INICIAMOS LOS TRABAJOS PREVIA ENTREGA  DE PAGO TOTAL ANTICIPADO  A LOS</t>
    </r>
    <r>
      <rPr>
        <b/>
        <sz val="9"/>
        <color theme="1"/>
        <rFont val="Times New Roman"/>
        <family val="1"/>
      </rPr>
      <t xml:space="preserve"> 15 DIAS HABILES PARA OBRAS FORANEAS</t>
    </r>
    <r>
      <rPr>
        <sz val="9"/>
        <color theme="1"/>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</si>
  <si>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N O T A S:</t>
  </si>
  <si>
    <r>
      <t>EN CASO DE SER ACEPTADO EL PRESENTE PRESUPUESTO REQUERIMOS</t>
    </r>
    <r>
      <rPr>
        <b/>
        <sz val="9"/>
        <color theme="1"/>
        <rFont val="Times New Roman"/>
        <family val="1"/>
      </rPr>
      <t xml:space="preserve"> PAGO TOTAL ANTICIPADO</t>
    </r>
    <r>
      <rPr>
        <sz val="9"/>
        <color theme="1"/>
        <rFont val="Times New Roman"/>
        <family val="1"/>
      </rPr>
      <t>, EL CUAL SERA APLICADO A LA FABRICACIÓN, Y GASTOS DE ENVIÓ DE MATERIALES AL LUGAR DE LOS TRABAJOS: AL OTORGAR EL PAGO PARA LA EJECUCIÓN DE LOS TRABAJOS, SE CONSIDERA COMO ACEPTADO EL PRESUPUESTO EN TODOS SUS PUNTOS Y EL MISMO FUNGIRÁ COMO CONTRATO.</t>
    </r>
  </si>
  <si>
    <t xml:space="preserve">                 ATENTAMENTE</t>
  </si>
  <si>
    <r>
      <t xml:space="preserve">NOTA: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</si>
  <si>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  </t>
  </si>
  <si>
    <t>OBRA: CENTRO MEDICO NACIONAL 20 DE NOVIEMBRE, ISSSTE.</t>
  </si>
  <si>
    <t xml:space="preserve">                  ____________________________________                                                                   _______________________________________</t>
  </si>
  <si>
    <t>CIUDAD DE MEXICO A 12 DE MAYO DEL 2026</t>
  </si>
  <si>
    <t>PRES. REF. 16521/2026MS</t>
  </si>
  <si>
    <t>ML</t>
  </si>
  <si>
    <r>
      <t xml:space="preserve">FORMA DE PAGO Y CONSIDERACIONES GENERALES CORRESPONDIENTES AL PRESUPUESTO </t>
    </r>
    <r>
      <rPr>
        <b/>
        <sz val="9"/>
        <color theme="1"/>
        <rFont val="Times New Roman"/>
        <family val="1"/>
      </rPr>
      <t>REF. 16521/2026MS.</t>
    </r>
  </si>
  <si>
    <t xml:space="preserve">                       ARQ. IGNACIO TORRES                                                                                              CHISA RECUBRIMIENTOS, S.A. DE C.V</t>
  </si>
  <si>
    <r>
      <t xml:space="preserve">1.-SUMINISTRO Y APLICACIÓN DE EPOXIGLASS (PINTURA EPOXICA) REF. S.M.A. EN MUROS , INCLUYE: </t>
    </r>
    <r>
      <rPr>
        <sz val="8"/>
        <color theme="1"/>
        <rFont val="Times New Roman"/>
        <family val="1"/>
      </rPr>
      <t>LIMPIEZA DE LA SUPERFICIE,  APLICACION DE EPOXI-SELLADOR 4648 A MANO CON RODILLO DE FELPA Y BROCHA PARA ADHERENCIA AL CONCRETO, RESANE DE GRIETAS, HUECOS JUNTAS .APLICACION DE EPOXIGLASS PROTECCIÓN DE SUPERFICIES ADYACENTES  CON PAPEL Y MASKING TAPE, LIMPIEZA Y  RETIRO DE SOBRANTES PROPIOS HASTA EL LUGAR INDICADO DENTRO DE  OBRA, FLETE, Y MANO DE OBRA ESPECIALIZADA Y  DEMÁS DERIVADOS DEL USO DE HERRAMIENTA.</t>
    </r>
  </si>
  <si>
    <r>
      <t xml:space="preserve">2.-SUMINISTRO Y APLICACIÓN DE EPOXIGLASS (PINTURA EPOXICA) REF. S.M.A. SOBRE SUPERFICIE DE PISO , INCLUYE: </t>
    </r>
    <r>
      <rPr>
        <sz val="8"/>
        <color theme="1"/>
        <rFont val="Times New Roman"/>
        <family val="1"/>
      </rPr>
      <t>LIMPIEZA DE LA SUPERFICIE,  APLICACION DE EPOXI-SELLADOR 4648 A MANO CON RODILLO DE FELPA Y BROCHA PARA ADHERENCIA AL CONCRETO, RESANE DE GRIETAS, HUECOS JUNTAS .APLICACION DE EPOXIGLASS PROTECCIÓN DE SUPERFICIES ADYACENTES  CON PAPEL Y MASKING TAPE, LIMPIEZA Y  RETIRO DE SOBRANTES PROPIOS HASTA EL LUGAR INDICADO DENTRO DE  OBRA, FLETE, Y MANO DE OBRA ESPECIALIZADA Y  DEMÁS DERIVADOS DEL USO DE HERRAMIENTA.</t>
    </r>
  </si>
  <si>
    <r>
      <t>3.-</t>
    </r>
    <r>
      <rPr>
        <b/>
        <u/>
        <sz val="9"/>
        <color theme="1"/>
        <rFont val="Times New Roman"/>
        <family val="1"/>
      </rPr>
      <t xml:space="preserve"> SUMINISTRO Y APLICACIÓN DE FORJADO DE CURVA SANITARIA</t>
    </r>
    <r>
      <rPr>
        <b/>
        <sz val="9"/>
        <color theme="1"/>
        <rFont val="Times New Roman"/>
        <family val="1"/>
      </rPr>
      <t xml:space="preserve"> </t>
    </r>
    <r>
      <rPr>
        <sz val="9"/>
        <color theme="1"/>
        <rFont val="Times New Roman"/>
        <family val="1"/>
      </rPr>
      <t xml:space="preserve">CON MORTER GLASS EPOXICO, A MANO CON LLANA METALICA Y PROTECCION DE SUPERFICIE ADYACENTES  CON PAPEL Y MASKING TAPE, LIMPIEZA Y RETIRO DE SOBRANTES PROPIOS HASTA EL LUGAR INDICADO DENTRO DE OBRA, FLETE Y MANO DE OBRA ESPECIALIZADA, Y DEMÁS DERIVADOS DEL USO DE HERRAMIENTA. </t>
    </r>
  </si>
  <si>
    <t xml:space="preserve">                       AT´N: ARQ. JAVIER VILLAGRAN</t>
  </si>
  <si>
    <t>UNIVERSIDAD AUTONOMA METROPOLITANA</t>
  </si>
  <si>
    <t>OBRA: OFICINAS GENERALES DE ESPACIOS FISICOS, UAM</t>
  </si>
  <si>
    <t>RFC:   HSI-231207-LUA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</si>
</sst>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theme="1"/>
      <name val="Times New Roman"/>
      <family val="1"/>
    </font>
    <font>
      <sz val="8"/>
      <color theme="1"/>
      <name val="Times New Roman"/>
      <family val="1"/>
    </font>
    <font>
      <b/>
      <u/>
      <sz val="8"/>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44" fontId="6" fillId="0" borderId="0" applyFont="0" applyFill="0" applyBorder="0" applyAlignment="0" applyProtection="0"/>
  </cellStyleXfs>
  <cellXfs count="6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5" fillId="0" borderId="0" xfId="0" applyFont="1" applyAlignment="1">
      <alignment horizontal="justify" vertical="center"/>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44" fontId="10" fillId="0" borderId="0" xfId="1" applyFont="1" applyAlignment="1">
      <alignment horizontal="right" wrapText="1"/>
    </xf>
    <xf numFmtId="4" fontId="0" fillId="0" borderId="0" xfId="0" applyNumberFormat="1" applyAlignment="1">
      <alignment horizontal="center" wrapText="1"/>
    </xf>
    <xf numFmtId="44" fontId="6" fillId="0" borderId="0" xfId="1" applyFont="1" applyAlignment="1">
      <alignment horizontal="right" vertical="center" wrapText="1"/>
    </xf>
    <xf numFmtId="0" fontId="0" fillId="0" borderId="0" xfId="0" applyAlignment="1">
      <alignment horizontal="justify" vertical="center" wrapText="1"/>
    </xf>
    <xf numFmtId="0" fontId="4" fillId="0" borderId="0" xfId="0" applyFont="1" applyAlignment="1">
      <alignment horizontal="justify" vertical="center"/>
    </xf>
    <xf numFmtId="0" fontId="2" fillId="0" borderId="0" xfId="0" applyFont="1" applyAlignment="1">
      <alignment horizontal="center" vertical="center"/>
    </xf>
    <xf numFmtId="0" fontId="11" fillId="0" borderId="0" xfId="0" applyFont="1"/>
    <xf numFmtId="0" fontId="3" fillId="0" borderId="0" xfId="0" applyFont="1"/>
    <xf numFmtId="44" fontId="6" fillId="0" borderId="0" xfId="1" applyFont="1" applyAlignment="1">
      <alignment horizontal="center" vertical="center" wrapText="1"/>
    </xf>
    <xf numFmtId="44" fontId="6" fillId="0" borderId="0" xfId="1" applyFont="1" applyAlignment="1">
      <alignment wrapText="1"/>
    </xf>
    <xf numFmtId="44" fontId="6" fillId="0" borderId="0" xfId="1" applyFont="1" applyAlignment="1">
      <alignment horizontal="right" wrapText="1"/>
    </xf>
    <xf numFmtId="0" fontId="1" fillId="0" borderId="0" xfId="0" applyFont="1" applyAlignment="1">
      <alignment horizontal="left" vertical="top" indent="8"/>
    </xf>
    <xf numFmtId="0" fontId="12" fillId="0" borderId="0" xfId="0" applyFont="1" applyAlignment="1">
      <alignment horizontal="justify" vertical="center"/>
    </xf>
    <xf numFmtId="0" fontId="2" fillId="0" borderId="0" xfId="0" applyFont="1" applyAlignment="1">
      <alignment horizontal="justify" vertical="center" wrapText="1"/>
    </xf>
    <xf numFmtId="0" fontId="0" fillId="0" borderId="0" xfId="0" applyAlignment="1">
      <alignment vertical="center" wrapText="1"/>
    </xf>
    <xf numFmtId="0" fontId="1" fillId="0" borderId="0" xfId="0" applyFont="1" applyAlignment="1">
      <alignment horizontal="left"/>
    </xf>
    <xf numFmtId="0" fontId="1" fillId="0" borderId="0" xfId="0" applyFont="1" applyAlignment="1">
      <alignment horizontal="justify" vertical="center" wrapText="1"/>
    </xf>
    <xf numFmtId="0" fontId="2" fillId="0" borderId="0" xfId="0" applyFont="1" applyAlignment="1">
      <alignment horizontal="center" vertical="center"/>
    </xf>
    <xf numFmtId="0" fontId="1" fillId="0" borderId="0" xfId="0" applyFont="1" applyAlignment="1">
      <alignment horizontal="justify" vertical="top" wrapText="1"/>
    </xf>
    <xf numFmtId="0" fontId="2" fillId="0" borderId="0" xfId="0" applyFont="1" applyAlignment="1">
      <alignment horizontal="justify" vertical="top" wrapText="1"/>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2" fillId="0" borderId="0" xfId="0" applyFont="1" applyAlignment="1">
      <alignment horizontal="justify" vertical="center" wrapText="1"/>
    </xf>
    <xf numFmtId="0" fontId="0" fillId="0" borderId="0" xfId="0" applyAlignment="1">
      <alignment horizontal="justify"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0" fillId="0" borderId="0" xfId="0" applyAlignment="1"/>
  </cellXfs>
  <cellStyles count="3">
    <cellStyle name="Moneda" xfId="1" builtinId="4"/>
    <cellStyle name="Moneda 2 2 5" xfId="2" xr:uid="{AB5354D7-293B-4847-A60A-AC3C6EC6DC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I69"/>
  <sheetViews>
    <sheetView tabSelected="1" topLeftCell="A31" zoomScaleNormal="100" workbookViewId="0">
      <selection activeCell="B7" sqref="B7:F34"/>
    </sheetView>
  </sheetViews>
  <sheetFormatPr baseColWidth="10" defaultRowHeight="15" x14ac:dyDescent="0.25"/>
  <cols>
    <col min="1" max="1" width="5.28515625" customWidth="1"/>
    <col min="2" max="2" width="55.85546875" customWidth="1"/>
    <col min="3" max="4" width="12.28515625" customWidth="1"/>
    <col min="5" max="5" width="10.7109375" customWidth="1"/>
    <col min="6" max="6" width="15.140625" customWidth="1"/>
    <col min="8" max="8" width="12.28515625" bestFit="1" customWidth="1"/>
  </cols>
  <sheetData>
    <row r="7" spans="2:9" x14ac:dyDescent="0.25">
      <c r="B7" s="58" t="s">
        <v>58</v>
      </c>
      <c r="C7" s="58"/>
      <c r="D7" s="58"/>
      <c r="E7" s="58"/>
      <c r="F7" s="58"/>
      <c r="G7" s="7"/>
    </row>
    <row r="8" spans="2:9" x14ac:dyDescent="0.25">
      <c r="B8" s="1"/>
      <c r="C8" s="1"/>
    </row>
    <row r="9" spans="2:9" x14ac:dyDescent="0.25">
      <c r="B9" s="43"/>
      <c r="C9" s="42"/>
      <c r="D9" s="42"/>
    </row>
    <row r="10" spans="2:9" x14ac:dyDescent="0.25">
      <c r="B10" s="43"/>
      <c r="C10" s="42"/>
      <c r="D10" s="42"/>
    </row>
    <row r="11" spans="2:9" x14ac:dyDescent="0.25">
      <c r="B11" s="1" t="s">
        <v>67</v>
      </c>
      <c r="C11" s="42"/>
      <c r="D11" s="42"/>
    </row>
    <row r="12" spans="2:9" x14ac:dyDescent="0.25">
      <c r="B12" s="1" t="s">
        <v>0</v>
      </c>
      <c r="C12" s="1"/>
    </row>
    <row r="13" spans="2:9" x14ac:dyDescent="0.25">
      <c r="B13" s="1"/>
      <c r="C13" s="1"/>
    </row>
    <row r="14" spans="2:9" x14ac:dyDescent="0.25">
      <c r="B14" s="1" t="s">
        <v>1</v>
      </c>
      <c r="C14" s="1"/>
    </row>
    <row r="15" spans="2:9" x14ac:dyDescent="0.25">
      <c r="B15" s="57" t="s">
        <v>66</v>
      </c>
      <c r="C15" s="57"/>
      <c r="D15" s="57"/>
      <c r="E15" s="57"/>
      <c r="F15" s="57"/>
      <c r="G15" s="1"/>
      <c r="H15" s="1"/>
      <c r="I15" s="1"/>
    </row>
    <row r="16" spans="2:9" x14ac:dyDescent="0.25">
      <c r="B16" s="57"/>
      <c r="C16" s="67"/>
      <c r="D16" s="67"/>
      <c r="E16" s="67"/>
      <c r="F16" s="67"/>
    </row>
    <row r="17" spans="2:9" x14ac:dyDescent="0.25">
      <c r="B17" s="56" t="s">
        <v>69</v>
      </c>
      <c r="C17" s="56"/>
      <c r="D17" s="56"/>
      <c r="E17" s="56"/>
      <c r="F17" s="56"/>
    </row>
    <row r="18" spans="2:9" x14ac:dyDescent="0.25">
      <c r="B18" s="56" t="s">
        <v>68</v>
      </c>
      <c r="C18" s="56"/>
      <c r="D18" s="56"/>
      <c r="E18" s="56"/>
      <c r="F18" s="56"/>
    </row>
    <row r="19" spans="2:9" x14ac:dyDescent="0.25">
      <c r="B19" s="11" t="s">
        <v>59</v>
      </c>
      <c r="C19" s="11"/>
      <c r="D19" s="10"/>
      <c r="E19" s="10"/>
      <c r="F19" s="10"/>
    </row>
    <row r="20" spans="2:9" x14ac:dyDescent="0.25">
      <c r="B20" s="11"/>
      <c r="C20" s="11"/>
      <c r="D20" s="10"/>
      <c r="E20" s="10"/>
      <c r="F20" s="10"/>
    </row>
    <row r="21" spans="2:9" x14ac:dyDescent="0.25">
      <c r="B21" s="12" t="s">
        <v>2</v>
      </c>
      <c r="C21" s="12"/>
      <c r="D21" s="10"/>
      <c r="E21" s="10"/>
      <c r="F21" s="10"/>
    </row>
    <row r="22" spans="2:9" ht="30" customHeight="1" x14ac:dyDescent="0.25">
      <c r="B22" s="54" t="s">
        <v>3</v>
      </c>
      <c r="C22" s="54"/>
      <c r="D22" s="54"/>
      <c r="E22" s="54"/>
      <c r="F22" s="54"/>
      <c r="G22" s="4"/>
      <c r="H22" s="4"/>
      <c r="I22" s="4"/>
    </row>
    <row r="23" spans="2:9" ht="30" customHeight="1" x14ac:dyDescent="0.25">
      <c r="B23" s="27"/>
      <c r="C23" s="27"/>
      <c r="D23" s="27"/>
      <c r="E23" s="27"/>
      <c r="F23" s="27"/>
      <c r="G23" s="4"/>
      <c r="H23" s="4"/>
      <c r="I23" s="4"/>
    </row>
    <row r="24" spans="2:9" x14ac:dyDescent="0.25">
      <c r="B24" s="41" t="s">
        <v>21</v>
      </c>
      <c r="C24" s="41" t="s">
        <v>37</v>
      </c>
      <c r="D24" s="41" t="s">
        <v>19</v>
      </c>
      <c r="E24" s="41" t="s">
        <v>28</v>
      </c>
      <c r="F24" s="41" t="s">
        <v>20</v>
      </c>
      <c r="G24" s="3"/>
      <c r="H24" s="3"/>
      <c r="I24" s="3"/>
    </row>
    <row r="25" spans="2:9" x14ac:dyDescent="0.25">
      <c r="B25" s="11"/>
      <c r="C25" s="41"/>
      <c r="D25" s="41"/>
      <c r="E25" s="41"/>
      <c r="F25" s="41"/>
      <c r="G25" s="3"/>
      <c r="H25" s="3"/>
      <c r="I25" s="3"/>
    </row>
    <row r="26" spans="2:9" ht="128.25" customHeight="1" x14ac:dyDescent="0.25">
      <c r="B26" s="48" t="s">
        <v>63</v>
      </c>
      <c r="C26" s="22" t="s">
        <v>22</v>
      </c>
      <c r="D26" s="37">
        <v>121.57</v>
      </c>
      <c r="E26" s="46">
        <v>498.8</v>
      </c>
      <c r="F26" s="46">
        <f>E26*D26</f>
        <v>60639.115999999995</v>
      </c>
      <c r="G26" s="13"/>
    </row>
    <row r="27" spans="2:9" ht="31.5" customHeight="1" x14ac:dyDescent="0.25">
      <c r="B27" s="48"/>
      <c r="C27" s="22"/>
      <c r="D27" s="37"/>
      <c r="E27" s="46"/>
      <c r="F27" s="46"/>
      <c r="G27" s="13"/>
    </row>
    <row r="28" spans="2:9" ht="105" customHeight="1" x14ac:dyDescent="0.25">
      <c r="B28" s="48" t="s">
        <v>64</v>
      </c>
      <c r="C28" s="22" t="s">
        <v>22</v>
      </c>
      <c r="D28" s="37">
        <v>39.880000000000003</v>
      </c>
      <c r="E28" s="46">
        <v>498.8</v>
      </c>
      <c r="F28" s="46">
        <f>E28*D28</f>
        <v>19892.144</v>
      </c>
      <c r="G28" s="13"/>
    </row>
    <row r="29" spans="2:9" ht="20.25" customHeight="1" x14ac:dyDescent="0.25">
      <c r="B29" s="40"/>
      <c r="C29" s="22"/>
      <c r="D29" s="37"/>
      <c r="E29" s="46"/>
      <c r="F29" s="46"/>
      <c r="G29" s="13"/>
    </row>
    <row r="30" spans="2:9" ht="93.75" customHeight="1" x14ac:dyDescent="0.25">
      <c r="B30" s="11" t="s">
        <v>65</v>
      </c>
      <c r="C30" s="22" t="s">
        <v>60</v>
      </c>
      <c r="D30" s="37">
        <v>53.97</v>
      </c>
      <c r="E30" s="46">
        <v>240.96</v>
      </c>
      <c r="F30" s="46">
        <f>E30*D30</f>
        <v>13004.611199999999</v>
      </c>
      <c r="G30" s="13"/>
    </row>
    <row r="31" spans="2:9" ht="20.25" customHeight="1" x14ac:dyDescent="0.25">
      <c r="B31" s="40"/>
      <c r="C31" s="22"/>
      <c r="D31" s="37" t="s">
        <v>55</v>
      </c>
      <c r="E31" s="45"/>
      <c r="F31" s="36"/>
      <c r="G31" s="6"/>
      <c r="H31" s="21"/>
    </row>
    <row r="32" spans="2:9" ht="19.5" customHeight="1" x14ac:dyDescent="0.25">
      <c r="B32" s="5"/>
      <c r="C32" s="5"/>
      <c r="D32" s="10"/>
      <c r="E32" s="39" t="s">
        <v>4</v>
      </c>
      <c r="F32" s="44">
        <f>F30+F28+F26</f>
        <v>93535.871199999994</v>
      </c>
      <c r="G32" s="21"/>
      <c r="H32" s="21"/>
    </row>
    <row r="33" spans="2:8" ht="19.5" customHeight="1" x14ac:dyDescent="0.25">
      <c r="B33" s="5"/>
      <c r="C33" s="5"/>
      <c r="D33" s="5"/>
      <c r="E33" s="39" t="s">
        <v>5</v>
      </c>
      <c r="F33" s="44">
        <f>F32*16%</f>
        <v>14965.739391999999</v>
      </c>
      <c r="G33" s="6"/>
      <c r="H33" s="21"/>
    </row>
    <row r="34" spans="2:8" ht="19.5" customHeight="1" x14ac:dyDescent="0.25">
      <c r="B34" s="5"/>
      <c r="C34" s="5"/>
      <c r="D34" s="14"/>
      <c r="E34" s="39" t="s">
        <v>6</v>
      </c>
      <c r="F34" s="44">
        <f>SUM(F32:F33)</f>
        <v>108501.610592</v>
      </c>
      <c r="G34" s="6"/>
      <c r="H34" s="21"/>
    </row>
    <row r="35" spans="2:8" x14ac:dyDescent="0.25">
      <c r="B35" s="5"/>
      <c r="C35" s="5"/>
      <c r="D35" s="14"/>
      <c r="E35" s="39"/>
      <c r="F35" s="38"/>
      <c r="G35" s="6"/>
      <c r="H35" s="21"/>
    </row>
    <row r="36" spans="2:8" x14ac:dyDescent="0.25">
      <c r="B36" s="5"/>
      <c r="C36" s="5"/>
      <c r="D36" s="14"/>
      <c r="E36" s="39"/>
      <c r="F36" s="38"/>
      <c r="G36" s="6"/>
      <c r="H36" s="21"/>
    </row>
    <row r="37" spans="2:8" x14ac:dyDescent="0.25">
      <c r="B37" s="5"/>
      <c r="C37" s="5"/>
      <c r="D37" s="14"/>
      <c r="E37" s="39"/>
      <c r="F37" s="38"/>
      <c r="G37" s="6"/>
      <c r="H37" s="21"/>
    </row>
    <row r="38" spans="2:8" x14ac:dyDescent="0.25">
      <c r="B38" s="5"/>
      <c r="C38" s="5"/>
      <c r="D38" s="14"/>
      <c r="E38" s="39"/>
      <c r="F38" s="38"/>
      <c r="G38" s="6"/>
      <c r="H38" s="21"/>
    </row>
    <row r="39" spans="2:8" ht="66" customHeight="1" x14ac:dyDescent="0.25">
      <c r="B39" s="5"/>
      <c r="C39" s="5"/>
      <c r="D39" s="14"/>
      <c r="E39" s="39"/>
      <c r="F39" s="38"/>
      <c r="G39" s="6"/>
      <c r="H39" s="21"/>
    </row>
    <row r="40" spans="2:8" ht="58.5" customHeight="1" x14ac:dyDescent="0.25">
      <c r="B40" s="5"/>
      <c r="C40" s="5"/>
      <c r="D40" s="14"/>
      <c r="E40" s="39"/>
      <c r="F40" s="38"/>
      <c r="G40" s="6"/>
      <c r="H40" s="21"/>
    </row>
    <row r="41" spans="2:8" ht="66.75" customHeight="1" x14ac:dyDescent="0.25">
      <c r="B41" s="60" t="s">
        <v>54</v>
      </c>
      <c r="C41" s="61"/>
      <c r="D41" s="61"/>
      <c r="E41" s="61"/>
      <c r="F41" s="61"/>
      <c r="G41" s="50"/>
    </row>
    <row r="42" spans="2:8" ht="21.75" customHeight="1" x14ac:dyDescent="0.25">
      <c r="B42" s="49"/>
      <c r="C42" s="39"/>
      <c r="D42" s="39"/>
      <c r="E42" s="39"/>
      <c r="F42" s="39"/>
      <c r="G42" s="50"/>
    </row>
    <row r="43" spans="2:8" x14ac:dyDescent="0.25">
      <c r="B43" s="59" t="s">
        <v>61</v>
      </c>
      <c r="C43" s="59"/>
      <c r="D43" s="59"/>
      <c r="E43" s="59"/>
      <c r="F43" s="59"/>
    </row>
    <row r="44" spans="2:8" x14ac:dyDescent="0.25">
      <c r="B44" s="56" t="s">
        <v>56</v>
      </c>
      <c r="C44" s="56"/>
      <c r="D44" s="56"/>
      <c r="E44" s="56"/>
      <c r="F44" s="56"/>
    </row>
    <row r="45" spans="2:8" x14ac:dyDescent="0.25">
      <c r="B45" s="1"/>
      <c r="C45" s="28"/>
      <c r="D45" s="28"/>
      <c r="E45" s="28"/>
      <c r="F45" s="28"/>
    </row>
    <row r="46" spans="2:8" ht="34.5" customHeight="1" x14ac:dyDescent="0.25">
      <c r="B46" s="53" t="s">
        <v>7</v>
      </c>
      <c r="C46" s="53"/>
      <c r="D46" s="53"/>
      <c r="E46" s="53"/>
      <c r="F46" s="53"/>
      <c r="G46" s="6"/>
    </row>
    <row r="47" spans="2:8" ht="51" customHeight="1" x14ac:dyDescent="0.25">
      <c r="B47" s="52" t="s">
        <v>52</v>
      </c>
      <c r="C47" s="52"/>
      <c r="D47" s="52"/>
      <c r="E47" s="52"/>
      <c r="F47" s="52"/>
    </row>
    <row r="48" spans="2:8" ht="33" customHeight="1" x14ac:dyDescent="0.25">
      <c r="B48" s="56" t="s">
        <v>51</v>
      </c>
      <c r="C48" s="56"/>
      <c r="D48" s="56"/>
      <c r="E48" s="56"/>
      <c r="F48" s="56"/>
    </row>
    <row r="49" spans="2:6" ht="36" customHeight="1" x14ac:dyDescent="0.25">
      <c r="B49" s="52" t="s">
        <v>8</v>
      </c>
      <c r="C49" s="52"/>
      <c r="D49" s="52"/>
      <c r="E49" s="52"/>
      <c r="F49" s="52"/>
    </row>
    <row r="50" spans="2:6" ht="50.25" customHeight="1" x14ac:dyDescent="0.25">
      <c r="B50" s="54" t="s">
        <v>9</v>
      </c>
      <c r="C50" s="54"/>
      <c r="D50" s="54"/>
      <c r="E50" s="54"/>
      <c r="F50" s="54"/>
    </row>
    <row r="51" spans="2:6" ht="50.25" customHeight="1" x14ac:dyDescent="0.25">
      <c r="B51" s="55" t="s">
        <v>10</v>
      </c>
      <c r="C51" s="55"/>
      <c r="D51" s="55"/>
      <c r="E51" s="55"/>
      <c r="F51" s="55"/>
    </row>
    <row r="52" spans="2:6" ht="33.75" customHeight="1" x14ac:dyDescent="0.25">
      <c r="B52" s="54" t="s">
        <v>11</v>
      </c>
      <c r="C52" s="54"/>
      <c r="D52" s="54"/>
      <c r="E52" s="54"/>
      <c r="F52" s="54"/>
    </row>
    <row r="53" spans="2:6" ht="75.75" customHeight="1" x14ac:dyDescent="0.25">
      <c r="B53" s="52" t="s">
        <v>12</v>
      </c>
      <c r="C53" s="52"/>
      <c r="D53" s="52"/>
      <c r="E53" s="52"/>
      <c r="F53" s="52"/>
    </row>
    <row r="54" spans="2:6" ht="27" customHeight="1" x14ac:dyDescent="0.25">
      <c r="B54" s="52" t="s">
        <v>13</v>
      </c>
      <c r="C54" s="52"/>
      <c r="D54" s="52"/>
      <c r="E54" s="52"/>
      <c r="F54" s="52"/>
    </row>
    <row r="55" spans="2:6" ht="51.75" customHeight="1" x14ac:dyDescent="0.25">
      <c r="B55" s="52" t="s">
        <v>50</v>
      </c>
      <c r="C55" s="52"/>
      <c r="D55" s="52"/>
      <c r="E55" s="52"/>
      <c r="F55" s="52"/>
    </row>
    <row r="56" spans="2:6" ht="32.25" customHeight="1" x14ac:dyDescent="0.25">
      <c r="B56" s="52" t="s">
        <v>14</v>
      </c>
      <c r="C56" s="52"/>
      <c r="D56" s="52"/>
      <c r="E56" s="52"/>
      <c r="F56" s="52"/>
    </row>
    <row r="57" spans="2:6" ht="59.25" customHeight="1" x14ac:dyDescent="0.25">
      <c r="B57" s="54" t="s">
        <v>15</v>
      </c>
      <c r="C57" s="54"/>
      <c r="D57" s="54"/>
      <c r="E57" s="54"/>
      <c r="F57" s="54"/>
    </row>
    <row r="58" spans="2:6" x14ac:dyDescent="0.25">
      <c r="B58" s="52" t="s">
        <v>16</v>
      </c>
      <c r="C58" s="52"/>
      <c r="D58" s="52"/>
      <c r="E58" s="52"/>
      <c r="F58" s="52"/>
    </row>
    <row r="59" spans="2:6" x14ac:dyDescent="0.25">
      <c r="B59" s="5"/>
      <c r="C59" s="5"/>
      <c r="D59" s="5"/>
      <c r="E59" s="5"/>
      <c r="F59" s="5"/>
    </row>
    <row r="60" spans="2:6" x14ac:dyDescent="0.25">
      <c r="B60" s="5"/>
      <c r="C60" s="5"/>
      <c r="D60" s="5"/>
      <c r="E60" s="5"/>
      <c r="F60" s="5"/>
    </row>
    <row r="61" spans="2:6" x14ac:dyDescent="0.25">
      <c r="B61" s="12" t="s">
        <v>17</v>
      </c>
      <c r="C61" s="12"/>
      <c r="D61" s="10"/>
      <c r="E61" s="10"/>
      <c r="F61" s="10"/>
    </row>
    <row r="62" spans="2:6" x14ac:dyDescent="0.25">
      <c r="B62" s="12" t="s">
        <v>18</v>
      </c>
      <c r="C62" s="12"/>
      <c r="D62" s="10"/>
      <c r="E62" s="10"/>
      <c r="F62" s="10"/>
    </row>
    <row r="63" spans="2:6" x14ac:dyDescent="0.25">
      <c r="B63" s="47" t="s">
        <v>23</v>
      </c>
      <c r="C63" s="8"/>
      <c r="D63" s="51" t="s">
        <v>53</v>
      </c>
      <c r="E63" s="51"/>
      <c r="F63" s="51"/>
    </row>
    <row r="64" spans="2:6" x14ac:dyDescent="0.25">
      <c r="B64" s="15"/>
      <c r="C64" s="15"/>
      <c r="D64" s="10"/>
      <c r="E64" s="10"/>
      <c r="F64" s="10"/>
    </row>
    <row r="65" spans="2:6" x14ac:dyDescent="0.25">
      <c r="B65" s="12"/>
      <c r="C65" s="12"/>
      <c r="D65" s="10"/>
      <c r="E65" s="10"/>
      <c r="F65" s="10"/>
    </row>
    <row r="66" spans="2:6" x14ac:dyDescent="0.25">
      <c r="B66" s="23" t="s">
        <v>57</v>
      </c>
      <c r="C66" s="23"/>
      <c r="D66" s="10"/>
      <c r="E66" s="10"/>
      <c r="F66" s="10"/>
    </row>
    <row r="67" spans="2:6" x14ac:dyDescent="0.25">
      <c r="B67" s="24" t="s">
        <v>62</v>
      </c>
      <c r="C67" s="24"/>
      <c r="D67" s="31"/>
      <c r="E67" s="31"/>
      <c r="F67" s="31"/>
    </row>
    <row r="68" spans="2:6" x14ac:dyDescent="0.25">
      <c r="B68" s="24"/>
      <c r="C68" s="24"/>
      <c r="D68" s="10"/>
      <c r="E68" s="10"/>
      <c r="F68" s="10"/>
    </row>
    <row r="69" spans="2:6" x14ac:dyDescent="0.25">
      <c r="B69" s="22"/>
      <c r="C69" s="22"/>
      <c r="D69" s="10"/>
      <c r="E69" s="10"/>
      <c r="F69" s="10"/>
    </row>
  </sheetData>
  <mergeCells count="23">
    <mergeCell ref="B44:F44"/>
    <mergeCell ref="B22:F22"/>
    <mergeCell ref="B15:F15"/>
    <mergeCell ref="B7:F7"/>
    <mergeCell ref="B17:F17"/>
    <mergeCell ref="B43:F43"/>
    <mergeCell ref="B18:F18"/>
    <mergeCell ref="B41:F41"/>
    <mergeCell ref="B16:F16"/>
    <mergeCell ref="D63:F63"/>
    <mergeCell ref="B58:F58"/>
    <mergeCell ref="B46:F46"/>
    <mergeCell ref="B47:F47"/>
    <mergeCell ref="B49:F49"/>
    <mergeCell ref="B50:F50"/>
    <mergeCell ref="B53:F53"/>
    <mergeCell ref="B54:F54"/>
    <mergeCell ref="B55:F55"/>
    <mergeCell ref="B57:F57"/>
    <mergeCell ref="B51:F51"/>
    <mergeCell ref="B52:F52"/>
    <mergeCell ref="B48:F48"/>
    <mergeCell ref="B56:F56"/>
  </mergeCells>
  <pageMargins left="0.25" right="0.25" top="0.75" bottom="0.75" header="0.3" footer="0.3"/>
  <pageSetup paperSize="9" scale="83" orientation="portrait" horizontalDpi="4294967293" r:id="rId1"/>
  <headerFooter>
    <oddHeader>&amp;R&amp;G</oddHeader>
    <oddFooter>&amp;C&amp;G</oddFooter>
  </headerFooter>
  <ignoredErrors>
    <ignoredError sqref="F33"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6"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30"/>
      <c r="C4" s="30"/>
      <c r="D4" s="30"/>
      <c r="E4" s="30"/>
      <c r="F4" s="30"/>
    </row>
    <row r="5" spans="2:6" x14ac:dyDescent="0.25">
      <c r="B5" s="30"/>
      <c r="C5" s="30"/>
      <c r="D5" s="30"/>
      <c r="E5" s="30"/>
      <c r="F5" s="30"/>
    </row>
    <row r="6" spans="2:6" x14ac:dyDescent="0.25">
      <c r="B6" s="58" t="s">
        <v>47</v>
      </c>
      <c r="C6" s="58"/>
      <c r="D6" s="58"/>
      <c r="E6" s="58"/>
      <c r="F6" s="58"/>
    </row>
    <row r="7" spans="2:6" x14ac:dyDescent="0.25">
      <c r="B7" s="1"/>
      <c r="C7" s="1"/>
      <c r="D7" s="30"/>
      <c r="E7" s="30"/>
      <c r="F7" s="30"/>
    </row>
    <row r="8" spans="2:6" x14ac:dyDescent="0.25">
      <c r="B8" s="1" t="s">
        <v>0</v>
      </c>
      <c r="C8" s="1"/>
      <c r="D8" s="30"/>
      <c r="E8" s="30"/>
      <c r="F8" s="30"/>
    </row>
    <row r="9" spans="2:6" x14ac:dyDescent="0.25">
      <c r="B9" s="57" t="s">
        <v>46</v>
      </c>
      <c r="C9" s="57"/>
      <c r="D9" s="57"/>
      <c r="E9" s="57"/>
      <c r="F9" s="57"/>
    </row>
    <row r="10" spans="2:6" x14ac:dyDescent="0.25">
      <c r="B10" s="56" t="s">
        <v>44</v>
      </c>
      <c r="C10" s="56"/>
      <c r="D10" s="56"/>
      <c r="E10" s="56"/>
      <c r="F10" s="56"/>
    </row>
    <row r="11" spans="2:6" ht="12.75" customHeight="1" x14ac:dyDescent="0.25">
      <c r="B11" s="11" t="s">
        <v>48</v>
      </c>
      <c r="C11" s="11"/>
      <c r="D11" s="31"/>
      <c r="E11" s="31"/>
      <c r="F11" s="31"/>
    </row>
    <row r="12" spans="2:6" ht="13.5" customHeight="1" x14ac:dyDescent="0.25">
      <c r="B12" s="12" t="s">
        <v>2</v>
      </c>
      <c r="C12" s="12"/>
      <c r="D12" s="31"/>
      <c r="E12" s="31"/>
      <c r="F12" s="31"/>
    </row>
    <row r="13" spans="2:6" ht="21.75" customHeight="1" x14ac:dyDescent="0.25">
      <c r="B13" s="66" t="s">
        <v>24</v>
      </c>
      <c r="C13" s="66"/>
      <c r="D13" s="66"/>
      <c r="E13" s="66"/>
      <c r="F13" s="66"/>
    </row>
    <row r="14" spans="2:6" x14ac:dyDescent="0.25">
      <c r="B14" s="11" t="s">
        <v>21</v>
      </c>
      <c r="C14" s="11"/>
      <c r="D14" s="28" t="s">
        <v>19</v>
      </c>
      <c r="E14" s="28" t="s">
        <v>28</v>
      </c>
      <c r="F14" s="2" t="s">
        <v>20</v>
      </c>
    </row>
    <row r="15" spans="2:6" x14ac:dyDescent="0.25">
      <c r="B15" s="11"/>
      <c r="C15" s="11"/>
      <c r="D15" s="2"/>
      <c r="E15" s="2"/>
      <c r="F15" s="2"/>
    </row>
    <row r="16" spans="2:6" x14ac:dyDescent="0.25">
      <c r="B16" s="9" t="s">
        <v>49</v>
      </c>
      <c r="C16" s="33" t="s">
        <v>38</v>
      </c>
      <c r="D16" s="35">
        <v>18</v>
      </c>
      <c r="E16" s="32">
        <v>931.85</v>
      </c>
      <c r="F16" s="20">
        <f>D16*E16</f>
        <v>16773.3</v>
      </c>
    </row>
    <row r="17" spans="2:6" x14ac:dyDescent="0.25">
      <c r="B17" s="9" t="s">
        <v>39</v>
      </c>
      <c r="C17" s="33" t="s">
        <v>38</v>
      </c>
      <c r="D17" s="35">
        <v>13</v>
      </c>
      <c r="E17" s="32">
        <v>918.78</v>
      </c>
      <c r="F17" s="20">
        <f>D17*E17</f>
        <v>11944.14</v>
      </c>
    </row>
    <row r="18" spans="2:6" x14ac:dyDescent="0.25">
      <c r="B18" s="9" t="s">
        <v>40</v>
      </c>
      <c r="C18" s="33" t="s">
        <v>38</v>
      </c>
      <c r="D18" s="35">
        <v>3</v>
      </c>
      <c r="E18" s="32">
        <v>701</v>
      </c>
      <c r="F18" s="20">
        <f>D18*E18</f>
        <v>2103</v>
      </c>
    </row>
    <row r="19" spans="2:6" x14ac:dyDescent="0.25">
      <c r="B19" s="9" t="s">
        <v>41</v>
      </c>
      <c r="C19" s="33" t="s">
        <v>38</v>
      </c>
      <c r="D19" s="6">
        <v>3</v>
      </c>
      <c r="E19" s="32">
        <v>794.75</v>
      </c>
      <c r="F19" s="20">
        <f t="shared" ref="F19:F21" si="0">D19*E19</f>
        <v>2384.25</v>
      </c>
    </row>
    <row r="20" spans="2:6" x14ac:dyDescent="0.25">
      <c r="B20" s="9" t="s">
        <v>42</v>
      </c>
      <c r="C20" s="33" t="s">
        <v>38</v>
      </c>
      <c r="D20" s="6">
        <v>5</v>
      </c>
      <c r="E20" s="32">
        <v>4190</v>
      </c>
      <c r="F20" s="20">
        <f t="shared" ref="F20" si="1">D20*E20</f>
        <v>20950</v>
      </c>
    </row>
    <row r="21" spans="2:6" x14ac:dyDescent="0.25">
      <c r="B21" s="9" t="s">
        <v>43</v>
      </c>
      <c r="C21" s="33" t="s">
        <v>38</v>
      </c>
      <c r="D21" s="6">
        <v>2</v>
      </c>
      <c r="E21" s="32">
        <v>3883</v>
      </c>
      <c r="F21" s="20">
        <f t="shared" si="0"/>
        <v>7766</v>
      </c>
    </row>
    <row r="22" spans="2:6" x14ac:dyDescent="0.25">
      <c r="B22" s="16"/>
      <c r="C22" s="33"/>
      <c r="D22" s="18"/>
      <c r="E22" s="20"/>
      <c r="F22" s="20"/>
    </row>
    <row r="23" spans="2:6" x14ac:dyDescent="0.25">
      <c r="B23" s="9"/>
      <c r="C23" s="9"/>
      <c r="D23" s="17"/>
      <c r="E23" s="30"/>
      <c r="F23" s="30"/>
    </row>
    <row r="24" spans="2:6" x14ac:dyDescent="0.25">
      <c r="B24" s="16"/>
      <c r="C24" s="16"/>
      <c r="D24" s="18"/>
      <c r="E24" s="20"/>
      <c r="F24" s="20"/>
    </row>
    <row r="25" spans="2:6" x14ac:dyDescent="0.25">
      <c r="B25" s="5"/>
      <c r="C25" s="5"/>
      <c r="D25" s="18"/>
      <c r="E25" s="19"/>
      <c r="F25" s="20"/>
    </row>
    <row r="26" spans="2:6" x14ac:dyDescent="0.25">
      <c r="B26" s="5"/>
      <c r="C26" s="5"/>
      <c r="D26" s="31"/>
      <c r="E26" s="5" t="s">
        <v>4</v>
      </c>
      <c r="F26" s="21">
        <f>SUM(F16:F25)</f>
        <v>61920.69</v>
      </c>
    </row>
    <row r="27" spans="2:6" x14ac:dyDescent="0.25">
      <c r="B27" s="5"/>
      <c r="C27" s="5"/>
      <c r="D27" s="5"/>
      <c r="E27" s="5" t="s">
        <v>5</v>
      </c>
      <c r="F27" s="21">
        <f>F26*16%</f>
        <v>9907.3104000000003</v>
      </c>
    </row>
    <row r="28" spans="2:6" x14ac:dyDescent="0.25">
      <c r="B28" s="5"/>
      <c r="C28" s="5"/>
      <c r="D28" s="27"/>
      <c r="E28" s="5" t="s">
        <v>6</v>
      </c>
      <c r="F28" s="21">
        <f>SUM(F26:F27)</f>
        <v>71828.000400000004</v>
      </c>
    </row>
    <row r="29" spans="2:6" x14ac:dyDescent="0.25">
      <c r="B29" s="5"/>
      <c r="C29" s="5"/>
      <c r="D29" s="27"/>
      <c r="E29" s="5"/>
      <c r="F29" s="21"/>
    </row>
    <row r="30" spans="2:6" x14ac:dyDescent="0.25">
      <c r="B30" s="1" t="s">
        <v>25</v>
      </c>
      <c r="C30" s="1"/>
      <c r="D30" s="30"/>
      <c r="E30" s="30"/>
      <c r="F30" s="30"/>
    </row>
    <row r="31" spans="2:6" ht="28.5" customHeight="1" x14ac:dyDescent="0.25">
      <c r="B31" s="66" t="s">
        <v>29</v>
      </c>
      <c r="C31" s="66"/>
      <c r="D31" s="66"/>
      <c r="E31" s="66"/>
      <c r="F31" s="66"/>
    </row>
    <row r="32" spans="2:6" ht="17.25" customHeight="1" x14ac:dyDescent="0.25">
      <c r="B32" s="66" t="s">
        <v>30</v>
      </c>
      <c r="C32" s="66"/>
      <c r="D32" s="66"/>
      <c r="E32" s="66"/>
      <c r="F32" s="66"/>
    </row>
    <row r="33" spans="2:15" ht="15" customHeight="1" x14ac:dyDescent="0.25">
      <c r="B33" s="66" t="s">
        <v>31</v>
      </c>
      <c r="C33" s="66"/>
      <c r="D33" s="66"/>
      <c r="E33" s="66"/>
      <c r="F33" s="66"/>
    </row>
    <row r="34" spans="2:15" ht="18" customHeight="1" x14ac:dyDescent="0.25">
      <c r="B34" s="66" t="s">
        <v>32</v>
      </c>
      <c r="C34" s="66"/>
      <c r="D34" s="66"/>
      <c r="E34" s="66"/>
      <c r="F34" s="66"/>
    </row>
    <row r="35" spans="2:15" ht="96.75" customHeight="1" x14ac:dyDescent="0.25">
      <c r="B35" s="66" t="s">
        <v>33</v>
      </c>
      <c r="C35" s="66"/>
      <c r="D35" s="66"/>
      <c r="E35" s="66"/>
      <c r="F35" s="66"/>
    </row>
    <row r="36" spans="2:15" x14ac:dyDescent="0.25">
      <c r="B36" s="30"/>
      <c r="C36" s="30"/>
      <c r="D36" s="30"/>
      <c r="E36" s="30"/>
      <c r="F36" s="30"/>
      <c r="H36" s="25"/>
    </row>
    <row r="37" spans="2:15" x14ac:dyDescent="0.25">
      <c r="B37" s="7" t="s">
        <v>34</v>
      </c>
      <c r="C37" s="7"/>
      <c r="D37" s="64" t="s">
        <v>35</v>
      </c>
      <c r="E37" s="64"/>
      <c r="F37" s="64"/>
    </row>
    <row r="38" spans="2:15" x14ac:dyDescent="0.25">
      <c r="B38" s="12"/>
      <c r="C38" s="12"/>
      <c r="D38" s="31"/>
      <c r="E38" s="31"/>
      <c r="F38" s="31"/>
    </row>
    <row r="39" spans="2:15" x14ac:dyDescent="0.25">
      <c r="B39" s="12"/>
      <c r="C39" s="12"/>
      <c r="D39" s="31"/>
      <c r="E39" s="31"/>
      <c r="F39" s="31"/>
    </row>
    <row r="40" spans="2:15" x14ac:dyDescent="0.25">
      <c r="B40" s="23" t="s">
        <v>36</v>
      </c>
      <c r="C40" s="23"/>
      <c r="D40" s="31"/>
      <c r="E40" s="31"/>
      <c r="F40" s="31"/>
    </row>
    <row r="41" spans="2:15" x14ac:dyDescent="0.25">
      <c r="B41" s="34" t="s">
        <v>45</v>
      </c>
      <c r="C41" s="34"/>
      <c r="D41" s="65" t="s">
        <v>26</v>
      </c>
      <c r="E41" s="65"/>
      <c r="F41" s="65"/>
    </row>
    <row r="42" spans="2:15" x14ac:dyDescent="0.25">
      <c r="B42" s="24"/>
      <c r="C42" s="24"/>
      <c r="D42" s="31"/>
      <c r="E42" s="31"/>
      <c r="F42" s="31"/>
    </row>
    <row r="43" spans="2:15" x14ac:dyDescent="0.25">
      <c r="B43" s="62" t="s">
        <v>27</v>
      </c>
      <c r="C43" s="62"/>
      <c r="D43" s="63"/>
      <c r="E43" s="63"/>
      <c r="F43" s="63"/>
      <c r="G43" s="29"/>
      <c r="H43" s="29"/>
      <c r="I43" s="29"/>
      <c r="J43" s="29"/>
      <c r="K43" s="29"/>
      <c r="L43" s="29"/>
      <c r="M43" s="29"/>
      <c r="N43" s="29"/>
      <c r="O43" s="29"/>
    </row>
    <row r="44" spans="2:15" x14ac:dyDescent="0.25">
      <c r="B44" s="63"/>
      <c r="C44" s="63"/>
      <c r="D44" s="63"/>
      <c r="E44" s="63"/>
      <c r="F44" s="63"/>
      <c r="G44" s="29"/>
      <c r="H44" s="29"/>
      <c r="I44" s="29"/>
      <c r="J44" s="29"/>
      <c r="K44" s="29"/>
      <c r="L44" s="29"/>
      <c r="M44" s="29"/>
      <c r="N44" s="29"/>
      <c r="O44" s="29"/>
    </row>
    <row r="45" spans="2:15" x14ac:dyDescent="0.25">
      <c r="B45" s="63"/>
      <c r="C45" s="63"/>
      <c r="D45" s="63"/>
      <c r="E45" s="63"/>
      <c r="F45" s="63"/>
      <c r="G45" s="29"/>
      <c r="H45" s="29"/>
      <c r="I45" s="29"/>
      <c r="J45" s="29"/>
      <c r="K45" s="29"/>
      <c r="L45" s="29"/>
      <c r="M45" s="29"/>
      <c r="N45" s="29"/>
      <c r="O45" s="29"/>
    </row>
    <row r="46" spans="2:15" x14ac:dyDescent="0.25">
      <c r="B46" s="63"/>
      <c r="C46" s="63"/>
      <c r="D46" s="63"/>
      <c r="E46" s="63"/>
      <c r="F46" s="63"/>
      <c r="G46" s="29"/>
      <c r="H46" s="29"/>
      <c r="I46" s="29"/>
      <c r="J46" s="29"/>
      <c r="K46" s="29"/>
      <c r="L46" s="29"/>
      <c r="M46" s="29"/>
      <c r="N46" s="29"/>
      <c r="O46" s="29"/>
    </row>
    <row r="47" spans="2:15" x14ac:dyDescent="0.25">
      <c r="B47" s="29"/>
      <c r="C47" s="29"/>
      <c r="D47" s="29"/>
      <c r="E47" s="29"/>
      <c r="F47" s="29"/>
      <c r="G47" s="29"/>
      <c r="H47" s="29"/>
      <c r="I47" s="29"/>
      <c r="J47" s="29"/>
      <c r="K47" s="29"/>
      <c r="L47" s="29"/>
      <c r="M47" s="29"/>
      <c r="N47" s="29"/>
      <c r="O47" s="29"/>
    </row>
    <row r="48" spans="2:15" x14ac:dyDescent="0.25">
      <c r="B48" s="29"/>
      <c r="C48" s="29"/>
      <c r="D48" s="29"/>
      <c r="E48" s="29"/>
      <c r="F48" s="29"/>
      <c r="G48" s="29"/>
      <c r="H48" s="29"/>
      <c r="I48" s="29"/>
      <c r="J48" s="29"/>
      <c r="K48" s="29"/>
      <c r="L48" s="29"/>
      <c r="M48" s="29"/>
      <c r="N48" s="29"/>
      <c r="O48" s="29"/>
    </row>
    <row r="49" spans="2:15" x14ac:dyDescent="0.25">
      <c r="B49" s="29"/>
      <c r="C49" s="29"/>
      <c r="D49" s="29"/>
      <c r="E49" s="29"/>
      <c r="F49" s="29"/>
      <c r="G49" s="29"/>
      <c r="H49" s="29"/>
      <c r="I49" s="29"/>
      <c r="J49" s="29"/>
      <c r="K49" s="29"/>
      <c r="L49" s="29"/>
      <c r="M49" s="29"/>
      <c r="N49" s="29"/>
      <c r="O49" s="29"/>
    </row>
    <row r="50" spans="2:15" x14ac:dyDescent="0.25">
      <c r="B50" s="29"/>
      <c r="C50" s="29"/>
      <c r="D50" s="29"/>
      <c r="E50" s="29"/>
      <c r="F50" s="29"/>
      <c r="G50" s="29"/>
      <c r="H50" s="29"/>
      <c r="I50" s="29"/>
      <c r="J50" s="29"/>
      <c r="K50" s="29"/>
      <c r="L50" s="29"/>
      <c r="M50" s="29"/>
      <c r="N50" s="29"/>
      <c r="O50" s="29"/>
    </row>
  </sheetData>
  <mergeCells count="12">
    <mergeCell ref="B6:F6"/>
    <mergeCell ref="B9:F9"/>
    <mergeCell ref="B10:F10"/>
    <mergeCell ref="B13:F13"/>
    <mergeCell ref="B35:F35"/>
    <mergeCell ref="B43:F46"/>
    <mergeCell ref="D37:F37"/>
    <mergeCell ref="D41:F41"/>
    <mergeCell ref="B31:F31"/>
    <mergeCell ref="B32:F32"/>
    <mergeCell ref="B33:F33"/>
    <mergeCell ref="B34:F34"/>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2026-05-12T19:33:56Z</cp:lastPrinted>
  <dcterms:created xsi:type="dcterms:W3CDTF">2020-12-14T19:54:01Z</dcterms:created>
  <dcterms:modified xsi:type="dcterms:W3CDTF">2026-05-12T19:52:29Z</dcterms:modified>
</cp:coreProperties>
</file>