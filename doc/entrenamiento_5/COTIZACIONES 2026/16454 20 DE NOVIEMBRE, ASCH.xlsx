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FC22F82A-998A-429E-9899-693AD530C649}" xr6:coauthVersionLast="47" xr6:coauthVersionMax="47" xr10:uidLastSave="{00000000-0000-0000-0000-000000000000}"/>
  <bookViews>
    <workbookView xWindow="-120" yWindow="-120" windowWidth="20730" windowHeight="11160"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2" i="1" l="1"/>
  <c r="F25" i="1"/>
  <c r="F24" i="1" l="1"/>
  <c r="F33" i="1"/>
  <c r="F37" i="1" l="1"/>
  <c r="F16" i="3"/>
  <c r="F20" i="3" l="1"/>
  <c r="F17" i="3"/>
  <c r="F21" i="3" l="1"/>
  <c r="F19" i="3"/>
  <c r="F18" i="3"/>
  <c r="F26" i="3" l="1"/>
  <c r="F38" i="1"/>
  <c r="F39" i="1" s="1"/>
  <c r="F27" i="3" l="1"/>
  <c r="F28" i="3" s="1"/>
</calcChain>
</file>

<file path=xl/sharedStrings.xml><?xml version="1.0" encoding="utf-8"?>
<sst xmlns="http://schemas.openxmlformats.org/spreadsheetml/2006/main" count="88" uniqueCount="70">
  <si>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</si>
  <si>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</si>
  <si>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</si>
  <si>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</si>
  <si>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IMPORTE:</t>
  </si>
  <si>
    <t>16% I.V.A.</t>
  </si>
  <si>
    <t>T O T A L</t>
  </si>
  <si>
    <t>FORMA DE PAGO</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</si>
  <si>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</si>
  <si>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</si>
  <si>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</si>
  <si>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</si>
  <si>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</si>
  <si>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</si>
  <si>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</si>
  <si>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</si>
  <si>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</si>
  <si>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</si>
  <si>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</si>
  <si>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</si>
  <si>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</si>
  <si>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</si>
  <si>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t>M2</t>
  </si>
  <si>
    <t>ACEPTO</t>
  </si>
  <si>
    <t xml:space="preserve">PRESENTAMOS A SU AMABLE CONSIDERACIÓN EL PRESUPUESTO DE SUMINISTRO DE LOS SIGUIENTES MATERIALES: </t>
  </si>
  <si>
    <t xml:space="preserve">NOTAS: </t>
  </si>
  <si>
    <t xml:space="preserve">  CAROLINA GALVAN</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</si>
  <si>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</si>
  <si>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</si>
  <si>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</si>
  <si>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</si>
  <si>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</si>
  <si>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</si>
  <si>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</si>
  <si>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</si>
  <si>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</si>
  <si>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</si>
  <si>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</si>
  <si>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CUBETA</t>
  </si>
  <si>
    <t>1.- ARENA SILICA MALLA 250-300 (REN 25 M2)</t>
  </si>
  <si>
    <t>2.- SELLADOR INICIAL 4648 (REN 90 M2)</t>
  </si>
  <si>
    <t>3.- PRAIMER GLASS REF. S.M.A. (REN 90 M2)</t>
  </si>
  <si>
    <t>4.- CHISAGLASS REF. S.M.A. (REN 55 M2)</t>
  </si>
  <si>
    <t>3.- VITROGLASS ECOLOGICO (REN 180 M2)</t>
  </si>
  <si>
    <t>OBRA: HOSPITAL JUAREZ CDMX</t>
  </si>
  <si>
    <t xml:space="preserve">               C. GRISELL GALLEGOS</t>
  </si>
  <si>
    <t>C. GRISELL GALLEGOS</t>
  </si>
  <si>
    <t>CIUDAD DE MEXICO A 5 DE DICIEMBRE DEL 2022</t>
  </si>
  <si>
    <t>PRES. REF. 14670-S/2022</t>
  </si>
  <si>
    <t>1.- MORTERO PLASTICO (REN 16 M2)</t>
  </si>
  <si>
    <r>
      <t>INICIAMOS LOS TRABAJOS PREVIA ENTREGA  DE PAGO TOTAL ANTICIPADO  A LOS</t>
    </r>
    <r>
      <rPr>
        <b/>
        <sz val="9"/>
        <color theme="1"/>
        <rFont val="Times New Roman"/>
        <family val="1"/>
      </rPr>
      <t xml:space="preserve"> 15 DIAS HABILES PARA OBRAS FORANEAS</t>
    </r>
    <r>
      <rPr>
        <sz val="9"/>
        <color theme="1"/>
        <rFont val="Times New Roman"/>
        <family val="1"/>
      </rPr>
      <t xml:space="preserve"> Y EN 5 DIAS HABILES EN OBRAS EN LA CDMX, SIEMPRE Y CUANDO EL ACABADO DE LOS MUROS SEA DE MEZCLA FINO Y LIBRE DE DETALLES DE ALBAÑILERIA Y/O TABLAROCA, EN DICHOS TIEMPOS SE CONSIDERA LA FABRICACION DEL MATERIAL Y EL TRASLADO DE MATERIALES A EL LUGAR DE LOS TRABAJOS.</t>
    </r>
  </si>
  <si>
    <t xml:space="preserve">                                                                                    N O T A S:</t>
  </si>
  <si>
    <r>
      <t>EN CASO DE SER ACEPTADO EL PRESENTE PRESUPUESTO REQUERIMOS</t>
    </r>
    <r>
      <rPr>
        <b/>
        <sz val="9"/>
        <color theme="1"/>
        <rFont val="Times New Roman"/>
        <family val="1"/>
      </rPr>
      <t xml:space="preserve"> PAGO TOTAL ANTICIPADO</t>
    </r>
    <r>
      <rPr>
        <sz val="9"/>
        <color theme="1"/>
        <rFont val="Times New Roman"/>
        <family val="1"/>
      </rPr>
      <t>, EL CUAL SERA APLICADO A LA FABRICACIÓN, Y GASTOS DE ENVIÓ DE MATERIALES AL LUGAR DE LOS TRABAJOS: AL OTORGAR EL PAGO PARA LA EJECUCIÓN DE LOS TRABAJOS, SE CONSIDERA COMO ACEPTADO EL PRESUPUESTO EN TODOS SUS PUNTOS Y EL MISMO FUNGIRÁ COMO CONTRATO.</t>
    </r>
  </si>
  <si>
    <t xml:space="preserve">                 ATENTAMENTE</t>
  </si>
  <si>
    <r>
      <t xml:space="preserve">NOTA: </t>
    </r>
    <r>
      <rPr>
        <sz val="9"/>
        <color theme="1"/>
        <rFont val="Times New Roman"/>
        <family val="1"/>
      </rPr>
      <t xml:space="preserve">PARA LA EJECUCIÓN DE LOS VOLUMENES PLASMADOS EN ESTE PRESUPUESTO ES NECESARIO CONTAR CON UN MINIMO DEL </t>
    </r>
    <r>
      <rPr>
        <b/>
        <sz val="9"/>
        <color theme="1"/>
        <rFont val="Times New Roman"/>
        <family val="1"/>
      </rPr>
      <t>70% DEL AREA TOTAL</t>
    </r>
    <r>
      <rPr>
        <sz val="9"/>
        <color theme="1"/>
        <rFont val="Times New Roman"/>
        <family val="1"/>
      </rPr>
      <t xml:space="preserve">, ESTO CON LA FINALIDAD DE NO REALIZAR CARGOS POSTERIORES DE VIATICOS. SI SE DA EL CASO QUE POR CUESTIONES PROPIAS DE LA OBRA EL PERSONAL DE CHISA RECUBIMIENTOS TIENE QUE REGRESAR EN DISTINTAS OCASIONES, SE HARÁN LOS CARGOS CORRESPONDIENTES DE VIATICOS (PASAJES, COMIDAS Y HOSPEDAJES) LAS VECES QUE SEAN NECESARIOS PARA LA EJECUCIÓN DE LOS TRABAJOS. </t>
    </r>
  </si>
  <si>
    <t xml:space="preserve">CONSTRUCTORA: ASCH, S.A DE C.V </t>
  </si>
  <si>
    <t xml:space="preserve">  </t>
  </si>
  <si>
    <t>CIUDAD DE MEXICO A 09 DE MARZO DEL 2026</t>
  </si>
  <si>
    <t xml:space="preserve">                       AT´N: ARQ. IGNACIO TORRES</t>
  </si>
  <si>
    <r>
      <t xml:space="preserve">1.-SUMINISTRO Y APLICACIÓN DE RECUBRIMIENTO ANTIBACTERIAL COLOR GLASS REF– S.M.A. EN MUROS CON SUPERFICIE LISA, INCLUYE: </t>
    </r>
    <r>
      <rPr>
        <sz val="8"/>
        <color theme="1"/>
        <rFont val="Times New Roman"/>
        <family val="1"/>
      </rPr>
      <t>REBABEO O LIJADO DE MURO SEGÚN EL SUSTRATO, APLICACIÓN DE SELLADOR INICIAL ACRILICO 4648 CON RODILLO DE FELPA Y BROCHA, APLICACIÓN DE PRAIMER COLOR INTEGRAL CONSIDERANDO EL COLOR FINAL DEL RECUBRIMIENTO ANTIBACTERIAL, APLICACIÓN DE RECUBRIMIENTO ANTIBACTERIAL COLOR GLASS REF-S.M.A. CON RODILLO DE FELPA Y BROCHA, O CON EQUIPO NEUMATICO POR ASPERCION DE AIRE, APLICACIÓN DE VITROGLASS ECOLOGICO CON RODILLO DE FELPA Y BROCHA, PROTECCION DE SUPERFICIES ADYACENTES  CON PAPEL Y MASKINGTAPE, LIMPIEZA Y  RETIRO DE SOBRANTES PROPIOS HASTA EL LUGAR INDICADO DENTRO DE  OBRA, FLETE, Y MANO DE OBRA ESPECIALIZADA, TODO LO ANTERIOR CONSIDERADO HASTA UNA ALTURA DE  2.70  MTS.   Y  DEMAS DERIVADOS DEL USO DE HERRAMIENTA. NO INCLUYE ANDAMIAJE.</t>
    </r>
  </si>
  <si>
    <t>PISOS</t>
  </si>
  <si>
    <t>MUROS</t>
  </si>
  <si>
    <r>
      <t>2.-SUMINISTRO Y APLICACIÓN DE RECUBRIMIENTO CHISA GLASS REF-S.M.A. EN MUROS CON SUPERFICIE LISA, INCLUYE :</t>
    </r>
    <r>
      <rPr>
        <sz val="8"/>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</si>
  <si>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 xml:space="preserve">3.-SUMINISTRO Y APLICACIÓN DE EPOXIGLASS (PINTURA EPOXICA) REF. S.M.A. SOBRE SUPERFICIE DE PISO , INCLUYE: </t>
    </r>
    <r>
      <rPr>
        <sz val="8"/>
        <color theme="1"/>
        <rFont val="Times New Roman"/>
        <family val="1"/>
      </rPr>
      <t>LIMPIEZA DE LA SUPERFICIE,  APLICACION DE EPOXI-SELLADOR 4648 A MANO CON RODILLO DE FELPA Y BROCHA PARA ADHERENCIA AL CONCRETO, RESANE DE GRIETAS, HUECOS JUNTAS Y FORJADO DE ZOCLO o CURVA SANITARIA DE 20 DE RADIO (EN SU CASO) CON SUPERFICIADOR  Y RESANADOR EPOXICO A BASE DE ARENAS SÍLICAS Y RESINA EPÓXICAS 100% SÓLIDO  SIN  CONTRACCIÓN AL FRAGUADO.APLICACION DE EPOXIGLASS PROTECCIÓN DE SUPERFICIES ADYACENTES  CON PAPEL Y MASKING TAPE, LIMPIEZA Y  RETIRO DE SOBRANTES PROPIOS HASTA EL LUGAR INDICADO DENTRO DE  OBRA, FLETE, Y MANO DE OBRA ESPECIALIZADA Y  DEMÁS DERIVADOS DEL USO DE HERRAMIENTA.</t>
    </r>
  </si>
  <si>
    <r>
      <t>4.-SUMINISTRO Y APLICACIÓN DE PINTURA ANTIBACTERIAL COLOR GLASS  REF.- S.M.A EN PLAFONES , INCLUYE</t>
    </r>
    <r>
      <rPr>
        <sz val="9"/>
        <color theme="1"/>
        <rFont val="Times New Roman"/>
        <family val="1"/>
      </rPr>
      <t>: APLICACIÓN DE SELLADOR ACRÍLICO 4648 A MANO CON RODILLO DE FELPA Y BROCHA,  APLICACIÓN DE PINTURA ANTIBACTERIAL COLOR GLASS  REF.- S.M.A., A MANO CON RODILLO DE FELPA Y BROCHA O CON EQUIPO DE ALTA PRESION DE AIRE,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</si>
  <si>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 xml:space="preserve">FORMA DE PAGO Y CONSIDERACIONES GENERALES CORRESPONDIENTES AL PRESUPUESTO </t>
    </r>
    <r>
      <rPr>
        <b/>
        <sz val="9"/>
        <color theme="1"/>
        <rFont val="Times New Roman"/>
        <family val="1"/>
      </rPr>
      <t>REF. 16454/2026MS.</t>
    </r>
  </si>
  <si>
    <t>PRES. REF. 16454/2026MS</t>
  </si>
  <si>
    <t>OBRA: CENTRO MEDICO NACIONAL 20 DE NOVIEMBRE, ISSSTE.</t>
  </si>
  <si>
    <t xml:space="preserve">                       LIC. GABRIELA REYES                                                                                                    CHISA RECUBRIMIENTOS, S.A. DE C.V</t>
  </si>
  <si>
    <t xml:space="preserve">                  ____________________________________                                                                   _______________________________________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</si>
</sst>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11"/>
      <color theme="1"/>
      <name val="Times New Roman"/>
      <family val="1"/>
    </font>
    <font>
      <sz val="8"/>
      <color theme="1"/>
      <name val="Times New Roman"/>
      <family val="1"/>
    </font>
    <font>
      <b/>
      <u/>
      <sz val="8"/>
      <color theme="1"/>
      <name val="Times New Roman"/>
      <family val="1"/>
    </font>
  </fonts>
  <fills count="2">
    <fill>
      <patternFill patternType="none"/>
    </fill>
    <fill>
      <patternFill patternType="gray125"/>
    </fill>
  </fills>
  <borders count="1">
    <border>
      <left/>
      <right/>
      <top/>
      <bottom/>
      <diagonal/>
    </border>
  </borders>
  <cellStyleXfs count="3">
    <xf numFmtId="0" fontId="0" fillId="0" borderId="0"/>
    <xf numFmtId="44" fontId="6" fillId="0" borderId="0" applyFont="0" applyFill="0" applyBorder="0" applyAlignment="0" applyProtection="0"/>
    <xf numFmtId="44" fontId="6" fillId="0" borderId="0" applyFont="0" applyFill="0" applyBorder="0" applyAlignment="0" applyProtection="0"/>
  </cellStyleXfs>
  <cellXfs count="75">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1"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5" fillId="0" borderId="0" xfId="0" applyFont="1" applyAlignment="1">
      <alignment horizontal="justify" vertical="center"/>
    </xf>
    <xf numFmtId="0" fontId="4" fillId="0" borderId="0" xfId="0" applyFont="1" applyAlignment="1">
      <alignment horizontal="right" vertical="top" wrapText="1"/>
    </xf>
    <xf numFmtId="0" fontId="1" fillId="0" borderId="0" xfId="0" applyFont="1" applyAlignment="1">
      <alignment horizontal="right" wrapText="1"/>
    </xf>
    <xf numFmtId="0" fontId="1" fillId="0" borderId="0" xfId="0" applyFont="1" applyAlignment="1">
      <alignment horizontal="right" vertical="center" wrapText="1"/>
    </xf>
    <xf numFmtId="8"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7"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center" wrapText="1"/>
    </xf>
    <xf numFmtId="44" fontId="10" fillId="0" borderId="0" xfId="1" applyFont="1" applyAlignment="1">
      <alignment horizontal="right" wrapText="1"/>
    </xf>
    <xf numFmtId="4" fontId="0" fillId="0" borderId="0" xfId="0" applyNumberFormat="1" applyAlignment="1">
      <alignment horizontal="center" wrapText="1"/>
    </xf>
    <xf numFmtId="44" fontId="6" fillId="0" borderId="0" xfId="1" applyFont="1" applyAlignment="1">
      <alignment horizontal="right" vertical="center" wrapText="1"/>
    </xf>
    <xf numFmtId="0" fontId="0" fillId="0" borderId="0" xfId="0" applyAlignment="1">
      <alignment horizontal="justify" vertical="center" wrapText="1"/>
    </xf>
    <xf numFmtId="0" fontId="4" fillId="0" borderId="0" xfId="0" applyFont="1" applyAlignment="1">
      <alignment horizontal="justify" vertical="center"/>
    </xf>
    <xf numFmtId="0" fontId="2" fillId="0" borderId="0" xfId="0" applyFont="1" applyAlignment="1">
      <alignment horizontal="center" vertical="center"/>
    </xf>
    <xf numFmtId="0" fontId="3" fillId="0" borderId="0" xfId="0" applyFont="1" applyAlignment="1">
      <alignment vertical="center"/>
    </xf>
    <xf numFmtId="0" fontId="11" fillId="0" borderId="0" xfId="0" applyFont="1"/>
    <xf numFmtId="0" fontId="3" fillId="0" borderId="0" xfId="0" applyFont="1"/>
    <xf numFmtId="44" fontId="6" fillId="0" borderId="0" xfId="1" applyFont="1" applyAlignment="1">
      <alignment horizontal="center" vertical="center" wrapText="1"/>
    </xf>
    <xf numFmtId="44" fontId="6" fillId="0" borderId="0" xfId="1" applyFont="1" applyAlignment="1">
      <alignment wrapText="1"/>
    </xf>
    <xf numFmtId="44" fontId="6" fillId="0" borderId="0" xfId="1" applyFont="1" applyAlignment="1">
      <alignment horizontal="right" wrapText="1"/>
    </xf>
    <xf numFmtId="0" fontId="1" fillId="0" borderId="0" xfId="0" applyFont="1" applyAlignment="1">
      <alignment horizontal="left" vertical="top" indent="8"/>
    </xf>
    <xf numFmtId="0" fontId="11" fillId="0" borderId="0" xfId="0" applyFont="1" applyAlignment="1">
      <alignment horizontal="center"/>
    </xf>
    <xf numFmtId="0" fontId="11" fillId="0" borderId="0" xfId="0" applyFont="1" applyAlignment="1">
      <alignment horizontal="center" wrapText="1"/>
    </xf>
    <xf numFmtId="44" fontId="11" fillId="0" borderId="0" xfId="0" applyNumberFormat="1" applyFont="1" applyAlignment="1">
      <alignment horizontal="center" wrapText="1"/>
    </xf>
    <xf numFmtId="44" fontId="11" fillId="0" borderId="0" xfId="2" applyFont="1" applyAlignment="1">
      <alignment horizontal="center" wrapText="1"/>
    </xf>
    <xf numFmtId="0" fontId="12" fillId="0" borderId="0" xfId="0" applyFont="1" applyAlignment="1">
      <alignment horizontal="justify" vertical="center"/>
    </xf>
    <xf numFmtId="0" fontId="2" fillId="0" borderId="0" xfId="0" applyFont="1" applyAlignment="1">
      <alignment horizontal="justify" vertical="center" wrapText="1"/>
    </xf>
    <xf numFmtId="0" fontId="4" fillId="0" borderId="0" xfId="0" applyFont="1" applyAlignment="1">
      <alignment horizontal="center" vertical="center"/>
    </xf>
    <xf numFmtId="4" fontId="11" fillId="0" borderId="0" xfId="0" applyNumberFormat="1" applyFont="1" applyAlignment="1">
      <alignment horizontal="center" wrapText="1"/>
    </xf>
    <xf numFmtId="44" fontId="11" fillId="0" borderId="0" xfId="1" applyFont="1" applyAlignment="1">
      <alignment horizontal="right" wrapText="1"/>
    </xf>
    <xf numFmtId="0" fontId="1" fillId="0" borderId="0" xfId="0" applyFont="1" applyAlignment="1">
      <alignment horizontal="left"/>
    </xf>
    <xf numFmtId="0" fontId="1" fillId="0" borderId="0" xfId="0" applyFont="1" applyAlignment="1">
      <alignment horizontal="justify" vertical="center" wrapText="1"/>
    </xf>
    <xf numFmtId="0" fontId="2" fillId="0" borderId="0" xfId="0" applyFont="1" applyAlignment="1">
      <alignment horizontal="center" vertical="center"/>
    </xf>
    <xf numFmtId="0" fontId="1" fillId="0" borderId="0" xfId="0" applyFont="1" applyAlignment="1">
      <alignment horizontal="justify" vertical="top" wrapText="1"/>
    </xf>
    <xf numFmtId="0" fontId="2" fillId="0" borderId="0" xfId="0" applyFont="1" applyAlignment="1">
      <alignment horizontal="justify" vertical="top" wrapText="1"/>
    </xf>
    <xf numFmtId="0" fontId="2" fillId="0" borderId="0" xfId="0" applyFont="1" applyAlignment="1">
      <alignment horizontal="left" vertical="center"/>
    </xf>
    <xf numFmtId="0" fontId="2" fillId="0" borderId="0" xfId="0" applyFont="1" applyAlignment="1">
      <alignment horizontal="right" vertical="center"/>
    </xf>
    <xf numFmtId="0" fontId="1" fillId="0" borderId="0" xfId="0" applyFont="1" applyAlignment="1">
      <alignment horizontal="right" vertical="center"/>
    </xf>
    <xf numFmtId="0" fontId="1" fillId="0" borderId="0" xfId="0" applyFont="1" applyAlignment="1">
      <alignment horizontal="left" vertical="center"/>
    </xf>
    <xf numFmtId="0" fontId="2" fillId="0" borderId="0" xfId="0" applyFont="1" applyAlignment="1">
      <alignment horizontal="justify" vertical="center" wrapText="1"/>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xf numFmtId="0" fontId="1" fillId="0" borderId="0" xfId="0" applyFont="1" applyAlignment="1">
      <alignment horizontal="left" vertical="top"/>
    </xf>
    <xf numFmtId="0" fontId="1" fillId="0" borderId="0" xfId="0" applyFont="1" applyAlignment="1">
      <alignment horizontal="justify" vertical="justify" wrapText="1"/>
    </xf>
    <xf numFmtId="0" fontId="0" fillId="0" borderId="0" xfId="0" applyAlignment="1">
      <alignment vertical="center" wrapText="1"/>
    </xf>
    <xf numFmtId="0" fontId="0" fillId="0" borderId="0" xfId="0" applyAlignment="1">
      <alignment horizontal="justify" vertical="center" wrapText="1"/>
    </xf>
  </cellXfs>
  <cellStyles count="3">
    <cellStyle name="Moneda" xfId="1" builtinId="4"/>
    <cellStyle name="Moneda 2 2 5" xfId="2" xr:uid="{AB5354D7-293B-4847-A60A-AC3C6EC6DC8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628650</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5:I75"/>
  <sheetViews>
    <sheetView tabSelected="1" topLeftCell="A63" zoomScale="90" zoomScaleNormal="90" workbookViewId="0">
      <selection activeCell="B73" sqref="B73"/>
    </sheetView>
  </sheetViews>
  <sheetFormatPr baseColWidth="10" defaultRowHeight="15" x14ac:dyDescent="0.25"/>
  <cols>
    <col min="1" max="1" width="5.28515625" customWidth="1"/>
    <col min="2" max="2" width="55.85546875" customWidth="1"/>
    <col min="3" max="4" width="12.28515625" customWidth="1"/>
    <col min="5" max="5" width="10.7109375" customWidth="1"/>
    <col min="6" max="6" width="15.140625" customWidth="1"/>
    <col min="8" max="8" width="12.28515625" bestFit="1" customWidth="1"/>
  </cols>
  <sheetData>
    <row r="5" spans="2:9" x14ac:dyDescent="0.25">
      <c r="B5" s="65" t="s">
        <v>57</v>
      </c>
      <c r="C5" s="65"/>
      <c r="D5" s="65"/>
      <c r="E5" s="65"/>
      <c r="F5" s="65"/>
      <c r="G5" s="7"/>
    </row>
    <row r="6" spans="2:9" x14ac:dyDescent="0.25">
      <c r="B6" s="1"/>
      <c r="C6" s="1"/>
    </row>
    <row r="7" spans="2:9" x14ac:dyDescent="0.25">
      <c r="B7" s="44"/>
      <c r="C7" s="43"/>
      <c r="D7" s="43"/>
    </row>
    <row r="8" spans="2:9" x14ac:dyDescent="0.25">
      <c r="B8" s="44"/>
      <c r="C8" s="43"/>
      <c r="D8" s="43"/>
    </row>
    <row r="9" spans="2:9" x14ac:dyDescent="0.25">
      <c r="B9" s="42" t="s">
        <v>55</v>
      </c>
      <c r="C9" s="43"/>
      <c r="D9" s="43"/>
    </row>
    <row r="10" spans="2:9" x14ac:dyDescent="0.25">
      <c r="B10" s="1" t="s">
        <v>0</v>
      </c>
      <c r="C10" s="1"/>
    </row>
    <row r="11" spans="2:9" x14ac:dyDescent="0.25">
      <c r="B11" s="1" t="s">
        <v>1</v>
      </c>
      <c r="C11" s="1"/>
    </row>
    <row r="12" spans="2:9" x14ac:dyDescent="0.25">
      <c r="B12" s="64" t="s">
        <v>58</v>
      </c>
      <c r="C12" s="64"/>
      <c r="D12" s="64"/>
      <c r="E12" s="64"/>
      <c r="F12" s="64"/>
      <c r="G12" s="1"/>
      <c r="H12" s="1"/>
      <c r="I12" s="1"/>
    </row>
    <row r="13" spans="2:9" x14ac:dyDescent="0.25">
      <c r="B13" s="2"/>
      <c r="C13" s="2"/>
    </row>
    <row r="14" spans="2:9" x14ac:dyDescent="0.25">
      <c r="B14" s="63"/>
      <c r="C14" s="63"/>
      <c r="D14" s="63"/>
      <c r="E14" s="63"/>
      <c r="F14" s="63"/>
    </row>
    <row r="15" spans="2:9" x14ac:dyDescent="0.25">
      <c r="B15" s="63" t="s">
        <v>67</v>
      </c>
      <c r="C15" s="63"/>
      <c r="D15" s="63"/>
      <c r="E15" s="63"/>
      <c r="F15" s="63"/>
    </row>
    <row r="16" spans="2:9" x14ac:dyDescent="0.25">
      <c r="B16" s="11" t="s">
        <v>66</v>
      </c>
      <c r="C16" s="11"/>
      <c r="D16" s="10"/>
      <c r="E16" s="10"/>
      <c r="F16" s="10"/>
    </row>
    <row r="17" spans="2:9" x14ac:dyDescent="0.25">
      <c r="B17" s="11"/>
      <c r="C17" s="11"/>
      <c r="D17" s="10"/>
      <c r="E17" s="10"/>
      <c r="F17" s="10"/>
    </row>
    <row r="18" spans="2:9" x14ac:dyDescent="0.25">
      <c r="B18" s="12" t="s">
        <v>2</v>
      </c>
      <c r="C18" s="12"/>
      <c r="D18" s="10"/>
      <c r="E18" s="10"/>
      <c r="F18" s="10"/>
    </row>
    <row r="19" spans="2:9" ht="30" customHeight="1" x14ac:dyDescent="0.25">
      <c r="B19" s="61" t="s">
        <v>3</v>
      </c>
      <c r="C19" s="61"/>
      <c r="D19" s="61"/>
      <c r="E19" s="61"/>
      <c r="F19" s="61"/>
      <c r="G19" s="4"/>
      <c r="H19" s="4"/>
      <c r="I19" s="4"/>
    </row>
    <row r="20" spans="2:9" ht="30" customHeight="1" x14ac:dyDescent="0.25">
      <c r="B20" s="27"/>
      <c r="C20" s="27"/>
      <c r="D20" s="27"/>
      <c r="E20" s="27"/>
      <c r="F20" s="27"/>
      <c r="G20" s="4"/>
      <c r="H20" s="4"/>
      <c r="I20" s="4"/>
    </row>
    <row r="21" spans="2:9" x14ac:dyDescent="0.25">
      <c r="B21" s="41" t="s">
        <v>21</v>
      </c>
      <c r="C21" s="41" t="s">
        <v>37</v>
      </c>
      <c r="D21" s="41" t="s">
        <v>19</v>
      </c>
      <c r="E21" s="41" t="s">
        <v>28</v>
      </c>
      <c r="F21" s="41" t="s">
        <v>20</v>
      </c>
      <c r="G21" s="3"/>
      <c r="H21" s="3"/>
      <c r="I21" s="3"/>
    </row>
    <row r="22" spans="2:9" x14ac:dyDescent="0.25">
      <c r="B22" s="11"/>
      <c r="C22" s="41"/>
      <c r="D22" s="41"/>
      <c r="E22" s="41"/>
      <c r="F22" s="41"/>
      <c r="G22" s="3"/>
      <c r="H22" s="3"/>
      <c r="I22" s="3"/>
    </row>
    <row r="23" spans="2:9" ht="36" customHeight="1" x14ac:dyDescent="0.25">
      <c r="B23" s="41" t="s">
        <v>61</v>
      </c>
      <c r="C23" s="41"/>
      <c r="D23" s="41"/>
      <c r="E23" s="41"/>
      <c r="F23" s="41"/>
      <c r="G23" s="3"/>
      <c r="H23" s="3"/>
      <c r="I23" s="3"/>
    </row>
    <row r="24" spans="2:9" ht="187.5" customHeight="1" x14ac:dyDescent="0.25">
      <c r="B24" s="53" t="s">
        <v>59</v>
      </c>
      <c r="C24" s="49" t="s">
        <v>22</v>
      </c>
      <c r="D24" s="50">
        <v>193</v>
      </c>
      <c r="E24" s="51">
        <v>219.9</v>
      </c>
      <c r="F24" s="52">
        <f>D24*E24</f>
        <v>42440.700000000004</v>
      </c>
      <c r="G24" s="13"/>
    </row>
    <row r="25" spans="2:9" ht="177.75" customHeight="1" x14ac:dyDescent="0.25">
      <c r="B25" s="53" t="s">
        <v>62</v>
      </c>
      <c r="C25" s="50" t="s">
        <v>22</v>
      </c>
      <c r="D25" s="56">
        <v>403</v>
      </c>
      <c r="E25" s="57">
        <v>189.9</v>
      </c>
      <c r="F25" s="57">
        <f>D25*E25</f>
        <v>76529.7</v>
      </c>
      <c r="G25" s="13"/>
    </row>
    <row r="26" spans="2:9" ht="48" customHeight="1" x14ac:dyDescent="0.25">
      <c r="B26" s="53"/>
      <c r="C26" s="50"/>
      <c r="D26" s="56"/>
      <c r="E26" s="57"/>
      <c r="F26" s="57"/>
      <c r="G26" s="13"/>
    </row>
    <row r="27" spans="2:9" ht="48" customHeight="1" x14ac:dyDescent="0.25">
      <c r="B27" s="53"/>
      <c r="C27" s="50"/>
      <c r="D27" s="56"/>
      <c r="E27" s="57"/>
      <c r="F27" s="57"/>
      <c r="G27" s="13"/>
    </row>
    <row r="28" spans="2:9" ht="42.75" customHeight="1" x14ac:dyDescent="0.25">
      <c r="B28" s="53"/>
      <c r="C28" s="50"/>
      <c r="D28" s="56"/>
      <c r="E28" s="57"/>
      <c r="F28" s="57"/>
      <c r="G28" s="13"/>
    </row>
    <row r="29" spans="2:9" ht="42.75" customHeight="1" x14ac:dyDescent="0.25">
      <c r="B29" s="53"/>
      <c r="C29" s="50"/>
      <c r="D29" s="56"/>
      <c r="E29" s="57"/>
      <c r="F29" s="57"/>
      <c r="G29" s="13"/>
    </row>
    <row r="30" spans="2:9" ht="42.75" customHeight="1" x14ac:dyDescent="0.25">
      <c r="B30" s="53"/>
      <c r="C30" s="50"/>
      <c r="D30" s="56"/>
      <c r="E30" s="57"/>
      <c r="F30" s="57"/>
      <c r="G30" s="13"/>
    </row>
    <row r="31" spans="2:9" ht="48" customHeight="1" x14ac:dyDescent="0.25">
      <c r="B31" s="55" t="s">
        <v>60</v>
      </c>
      <c r="C31" s="50"/>
      <c r="D31" s="56"/>
      <c r="E31" s="57"/>
      <c r="F31" s="57"/>
      <c r="G31" s="13"/>
    </row>
    <row r="32" spans="2:9" ht="156" customHeight="1" x14ac:dyDescent="0.25">
      <c r="B32" s="53" t="s">
        <v>63</v>
      </c>
      <c r="C32" s="22" t="s">
        <v>22</v>
      </c>
      <c r="D32" s="37">
        <v>55.47</v>
      </c>
      <c r="E32" s="47">
        <v>498.8</v>
      </c>
      <c r="F32" s="47">
        <f>E32*D32</f>
        <v>27668.436000000002</v>
      </c>
      <c r="G32" s="13"/>
    </row>
    <row r="33" spans="2:8" ht="153.75" customHeight="1" x14ac:dyDescent="0.25">
      <c r="B33" s="40" t="s">
        <v>64</v>
      </c>
      <c r="C33" s="22" t="s">
        <v>22</v>
      </c>
      <c r="D33" s="37">
        <v>368.13</v>
      </c>
      <c r="E33" s="47">
        <v>219.9</v>
      </c>
      <c r="F33" s="47">
        <f>E33*D33</f>
        <v>80951.786999999997</v>
      </c>
      <c r="G33" s="13"/>
    </row>
    <row r="34" spans="2:8" ht="20.25" customHeight="1" x14ac:dyDescent="0.25">
      <c r="B34" s="40"/>
      <c r="C34" s="22"/>
      <c r="D34" s="37"/>
      <c r="E34" s="47"/>
      <c r="F34" s="47"/>
      <c r="G34" s="13"/>
    </row>
    <row r="35" spans="2:8" ht="20.25" customHeight="1" x14ac:dyDescent="0.25">
      <c r="B35" s="40"/>
      <c r="C35" s="22"/>
      <c r="D35" s="37"/>
      <c r="E35" s="47"/>
      <c r="F35" s="47"/>
      <c r="G35" s="13"/>
    </row>
    <row r="36" spans="2:8" ht="20.25" customHeight="1" x14ac:dyDescent="0.25">
      <c r="B36" s="40"/>
      <c r="C36" s="22"/>
      <c r="D36" s="37" t="s">
        <v>56</v>
      </c>
      <c r="E36" s="46"/>
      <c r="F36" s="36"/>
      <c r="G36" s="6"/>
      <c r="H36" s="21"/>
    </row>
    <row r="37" spans="2:8" x14ac:dyDescent="0.25">
      <c r="B37" s="5"/>
      <c r="C37" s="5"/>
      <c r="D37" s="10"/>
      <c r="E37" s="39" t="s">
        <v>4</v>
      </c>
      <c r="F37" s="45">
        <f>SUM(F24:F34)</f>
        <v>227590.62300000002</v>
      </c>
      <c r="G37" s="21"/>
      <c r="H37" s="21"/>
    </row>
    <row r="38" spans="2:8" x14ac:dyDescent="0.25">
      <c r="B38" s="5"/>
      <c r="C38" s="5"/>
      <c r="D38" s="5"/>
      <c r="E38" s="39" t="s">
        <v>5</v>
      </c>
      <c r="F38" s="45">
        <f>F37*16%</f>
        <v>36414.499680000001</v>
      </c>
      <c r="G38" s="6"/>
      <c r="H38" s="21"/>
    </row>
    <row r="39" spans="2:8" x14ac:dyDescent="0.25">
      <c r="B39" s="5"/>
      <c r="C39" s="5"/>
      <c r="D39" s="14"/>
      <c r="E39" s="39" t="s">
        <v>6</v>
      </c>
      <c r="F39" s="45">
        <f>SUM(F37:F38)</f>
        <v>264005.12268000003</v>
      </c>
      <c r="G39" s="6"/>
      <c r="H39" s="21"/>
    </row>
    <row r="40" spans="2:8" x14ac:dyDescent="0.25">
      <c r="B40" s="5"/>
      <c r="C40" s="5"/>
      <c r="D40" s="14"/>
      <c r="E40" s="39"/>
      <c r="F40" s="38"/>
      <c r="G40" s="6"/>
      <c r="H40" s="21"/>
    </row>
    <row r="41" spans="2:8" x14ac:dyDescent="0.25">
      <c r="B41" s="5"/>
      <c r="C41" s="5"/>
      <c r="D41" s="14"/>
      <c r="E41" s="39"/>
      <c r="F41" s="38"/>
      <c r="G41" s="6"/>
      <c r="H41" s="21"/>
    </row>
    <row r="42" spans="2:8" ht="79.5" customHeight="1" x14ac:dyDescent="0.25">
      <c r="B42" s="5"/>
      <c r="C42" s="5"/>
      <c r="D42" s="14"/>
      <c r="E42" s="39"/>
      <c r="F42" s="38"/>
      <c r="G42" s="6"/>
      <c r="H42" s="21"/>
    </row>
    <row r="43" spans="2:8" ht="66.75" customHeight="1" x14ac:dyDescent="0.25">
      <c r="B43" s="67" t="s">
        <v>54</v>
      </c>
      <c r="C43" s="74"/>
      <c r="D43" s="74"/>
      <c r="E43" s="74"/>
      <c r="F43" s="74"/>
      <c r="G43" s="73"/>
    </row>
    <row r="44" spans="2:8" ht="66.75" customHeight="1" x14ac:dyDescent="0.25">
      <c r="B44" s="54"/>
      <c r="C44" s="39"/>
      <c r="D44" s="39"/>
      <c r="E44" s="39"/>
      <c r="F44" s="39"/>
      <c r="G44" s="73"/>
    </row>
    <row r="45" spans="2:8" ht="66.75" customHeight="1" x14ac:dyDescent="0.25">
      <c r="B45" s="54"/>
      <c r="C45" s="39"/>
      <c r="D45" s="39"/>
      <c r="E45" s="39"/>
      <c r="F45" s="39"/>
      <c r="G45" s="73"/>
    </row>
    <row r="46" spans="2:8" ht="41.25" customHeight="1" x14ac:dyDescent="0.25">
      <c r="B46" s="54"/>
      <c r="C46" s="39"/>
      <c r="D46" s="39"/>
      <c r="E46" s="39"/>
      <c r="F46" s="39"/>
      <c r="G46" s="73"/>
    </row>
    <row r="47" spans="2:8" ht="41.25" customHeight="1" x14ac:dyDescent="0.25">
      <c r="B47" s="54"/>
      <c r="C47" s="39"/>
      <c r="D47" s="39"/>
      <c r="E47" s="39"/>
      <c r="F47" s="39"/>
      <c r="G47" s="73"/>
    </row>
    <row r="48" spans="2:8" x14ac:dyDescent="0.25">
      <c r="B48" s="5"/>
      <c r="C48" s="5"/>
      <c r="D48" s="14"/>
      <c r="E48" s="5"/>
      <c r="F48" s="5"/>
    </row>
    <row r="49" spans="2:7" x14ac:dyDescent="0.25">
      <c r="B49" s="66" t="s">
        <v>65</v>
      </c>
      <c r="C49" s="66"/>
      <c r="D49" s="66"/>
      <c r="E49" s="66"/>
      <c r="F49" s="66"/>
    </row>
    <row r="50" spans="2:7" x14ac:dyDescent="0.25">
      <c r="B50" s="63" t="s">
        <v>67</v>
      </c>
      <c r="C50" s="63"/>
      <c r="D50" s="63"/>
      <c r="E50" s="63"/>
      <c r="F50" s="63"/>
    </row>
    <row r="51" spans="2:7" x14ac:dyDescent="0.25">
      <c r="B51" s="1"/>
      <c r="C51" s="28"/>
      <c r="D51" s="28"/>
      <c r="E51" s="28"/>
      <c r="F51" s="28"/>
    </row>
    <row r="52" spans="2:7" ht="34.5" customHeight="1" x14ac:dyDescent="0.25">
      <c r="B52" s="60" t="s">
        <v>7</v>
      </c>
      <c r="C52" s="60"/>
      <c r="D52" s="60"/>
      <c r="E52" s="60"/>
      <c r="F52" s="60"/>
      <c r="G52" s="6"/>
    </row>
    <row r="53" spans="2:7" ht="51" customHeight="1" x14ac:dyDescent="0.25">
      <c r="B53" s="59" t="s">
        <v>52</v>
      </c>
      <c r="C53" s="59"/>
      <c r="D53" s="59"/>
      <c r="E53" s="59"/>
      <c r="F53" s="59"/>
    </row>
    <row r="54" spans="2:7" ht="33" customHeight="1" x14ac:dyDescent="0.25">
      <c r="B54" s="63" t="s">
        <v>51</v>
      </c>
      <c r="C54" s="63"/>
      <c r="D54" s="63"/>
      <c r="E54" s="63"/>
      <c r="F54" s="63"/>
    </row>
    <row r="55" spans="2:7" ht="36" customHeight="1" x14ac:dyDescent="0.25">
      <c r="B55" s="59" t="s">
        <v>8</v>
      </c>
      <c r="C55" s="59"/>
      <c r="D55" s="59"/>
      <c r="E55" s="59"/>
      <c r="F55" s="59"/>
    </row>
    <row r="56" spans="2:7" ht="50.25" customHeight="1" x14ac:dyDescent="0.25">
      <c r="B56" s="61" t="s">
        <v>9</v>
      </c>
      <c r="C56" s="61"/>
      <c r="D56" s="61"/>
      <c r="E56" s="61"/>
      <c r="F56" s="61"/>
    </row>
    <row r="57" spans="2:7" ht="50.25" customHeight="1" x14ac:dyDescent="0.25">
      <c r="B57" s="62" t="s">
        <v>10</v>
      </c>
      <c r="C57" s="62"/>
      <c r="D57" s="62"/>
      <c r="E57" s="62"/>
      <c r="F57" s="62"/>
    </row>
    <row r="58" spans="2:7" ht="33.75" customHeight="1" x14ac:dyDescent="0.25">
      <c r="B58" s="61" t="s">
        <v>11</v>
      </c>
      <c r="C58" s="61"/>
      <c r="D58" s="61"/>
      <c r="E58" s="61"/>
      <c r="F58" s="61"/>
    </row>
    <row r="59" spans="2:7" ht="75.75" customHeight="1" x14ac:dyDescent="0.25">
      <c r="B59" s="59" t="s">
        <v>12</v>
      </c>
      <c r="C59" s="59"/>
      <c r="D59" s="59"/>
      <c r="E59" s="59"/>
      <c r="F59" s="59"/>
    </row>
    <row r="60" spans="2:7" ht="27" customHeight="1" x14ac:dyDescent="0.25">
      <c r="B60" s="59" t="s">
        <v>13</v>
      </c>
      <c r="C60" s="59"/>
      <c r="D60" s="59"/>
      <c r="E60" s="59"/>
      <c r="F60" s="59"/>
    </row>
    <row r="61" spans="2:7" ht="51.75" customHeight="1" x14ac:dyDescent="0.25">
      <c r="B61" s="59" t="s">
        <v>50</v>
      </c>
      <c r="C61" s="59"/>
      <c r="D61" s="59"/>
      <c r="E61" s="59"/>
      <c r="F61" s="59"/>
    </row>
    <row r="62" spans="2:7" ht="32.25" customHeight="1" x14ac:dyDescent="0.25">
      <c r="B62" s="59" t="s">
        <v>14</v>
      </c>
      <c r="C62" s="59"/>
      <c r="D62" s="59"/>
      <c r="E62" s="59"/>
      <c r="F62" s="59"/>
    </row>
    <row r="63" spans="2:7" ht="59.25" customHeight="1" x14ac:dyDescent="0.25">
      <c r="B63" s="61" t="s">
        <v>15</v>
      </c>
      <c r="C63" s="61"/>
      <c r="D63" s="61"/>
      <c r="E63" s="61"/>
      <c r="F63" s="61"/>
    </row>
    <row r="64" spans="2:7" x14ac:dyDescent="0.25">
      <c r="B64" s="59" t="s">
        <v>16</v>
      </c>
      <c r="C64" s="59"/>
      <c r="D64" s="59"/>
      <c r="E64" s="59"/>
      <c r="F64" s="59"/>
    </row>
    <row r="65" spans="2:6" x14ac:dyDescent="0.25">
      <c r="B65" s="5"/>
      <c r="C65" s="5"/>
      <c r="D65" s="5"/>
      <c r="E65" s="5"/>
      <c r="F65" s="5"/>
    </row>
    <row r="66" spans="2:6" x14ac:dyDescent="0.25">
      <c r="B66" s="5"/>
      <c r="C66" s="5"/>
      <c r="D66" s="5"/>
      <c r="E66" s="5"/>
      <c r="F66" s="5"/>
    </row>
    <row r="67" spans="2:6" x14ac:dyDescent="0.25">
      <c r="B67" s="12" t="s">
        <v>17</v>
      </c>
      <c r="C67" s="12"/>
      <c r="D67" s="10"/>
      <c r="E67" s="10"/>
      <c r="F67" s="10"/>
    </row>
    <row r="68" spans="2:6" x14ac:dyDescent="0.25">
      <c r="B68" s="12" t="s">
        <v>18</v>
      </c>
      <c r="C68" s="12"/>
      <c r="D68" s="10"/>
      <c r="E68" s="10"/>
      <c r="F68" s="10"/>
    </row>
    <row r="69" spans="2:6" x14ac:dyDescent="0.25">
      <c r="B69" s="48" t="s">
        <v>23</v>
      </c>
      <c r="C69" s="8"/>
      <c r="D69" s="58" t="s">
        <v>53</v>
      </c>
      <c r="E69" s="58"/>
      <c r="F69" s="58"/>
    </row>
    <row r="70" spans="2:6" x14ac:dyDescent="0.25">
      <c r="B70" s="15"/>
      <c r="C70" s="15"/>
      <c r="D70" s="10"/>
      <c r="E70" s="10"/>
      <c r="F70" s="10"/>
    </row>
    <row r="71" spans="2:6" x14ac:dyDescent="0.25">
      <c r="B71" s="12"/>
      <c r="C71" s="12"/>
      <c r="D71" s="10"/>
      <c r="E71" s="10"/>
      <c r="F71" s="10"/>
    </row>
    <row r="72" spans="2:6" x14ac:dyDescent="0.25">
      <c r="B72" s="23" t="s">
        <v>69</v>
      </c>
      <c r="C72" s="23"/>
      <c r="D72" s="10"/>
      <c r="E72" s="10"/>
      <c r="F72" s="10"/>
    </row>
    <row r="73" spans="2:6" x14ac:dyDescent="0.25">
      <c r="B73" s="24" t="s">
        <v>68</v>
      </c>
      <c r="C73" s="24"/>
      <c r="D73" s="31"/>
      <c r="E73" s="31"/>
      <c r="F73" s="31"/>
    </row>
    <row r="74" spans="2:6" x14ac:dyDescent="0.25">
      <c r="B74" s="24"/>
      <c r="C74" s="24"/>
      <c r="D74" s="10"/>
      <c r="E74" s="10"/>
      <c r="F74" s="10"/>
    </row>
    <row r="75" spans="2:6" x14ac:dyDescent="0.25">
      <c r="B75" s="22"/>
      <c r="C75" s="22"/>
      <c r="D75" s="10"/>
      <c r="E75" s="10"/>
      <c r="F75" s="10"/>
    </row>
  </sheetData>
  <mergeCells count="22">
    <mergeCell ref="B50:F50"/>
    <mergeCell ref="B19:F19"/>
    <mergeCell ref="B12:F12"/>
    <mergeCell ref="B5:F5"/>
    <mergeCell ref="B14:F14"/>
    <mergeCell ref="B49:F49"/>
    <mergeCell ref="B15:F15"/>
    <mergeCell ref="B43:F43"/>
    <mergeCell ref="D69:F69"/>
    <mergeCell ref="B64:F64"/>
    <mergeCell ref="B52:F52"/>
    <mergeCell ref="B53:F53"/>
    <mergeCell ref="B55:F55"/>
    <mergeCell ref="B56:F56"/>
    <mergeCell ref="B59:F59"/>
    <mergeCell ref="B60:F60"/>
    <mergeCell ref="B61:F61"/>
    <mergeCell ref="B63:F63"/>
    <mergeCell ref="B57:F57"/>
    <mergeCell ref="B58:F58"/>
    <mergeCell ref="B54:F54"/>
    <mergeCell ref="B62:F62"/>
  </mergeCells>
  <pageMargins left="0.25" right="0.25" top="0.75" bottom="0.75" header="0.3" footer="0.3"/>
  <pageSetup paperSize="9" scale="83" orientation="portrait" horizontalDpi="4294967293" r:id="rId1"/>
  <headerFooter>
    <oddHeader>&amp;R&amp;G</oddHeader>
    <oddFooter>&amp;C&amp;G</oddFooter>
  </headerFooter>
  <ignoredErrors>
    <ignoredError sqref="F38" formula="1"/>
  </ignoredError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0"/>
  <sheetViews>
    <sheetView topLeftCell="A4" zoomScaleNormal="100" zoomScalePageLayoutView="50" workbookViewId="0">
      <selection activeCell="D22" sqref="D22"/>
    </sheetView>
  </sheetViews>
  <sheetFormatPr baseColWidth="10" defaultRowHeight="15" x14ac:dyDescent="0.25"/>
  <cols>
    <col min="1" max="1" width="5.85546875" style="26" customWidth="1"/>
    <col min="2" max="2" width="52.140625" customWidth="1"/>
    <col min="3" max="3" width="14.28515625" customWidth="1"/>
    <col min="4" max="4" width="11.42578125" customWidth="1"/>
    <col min="5" max="5" width="9.85546875" bestFit="1" customWidth="1"/>
    <col min="6" max="6" width="11.28515625" customWidth="1"/>
  </cols>
  <sheetData>
    <row r="4" spans="2:6" x14ac:dyDescent="0.25">
      <c r="B4" s="30"/>
      <c r="C4" s="30"/>
      <c r="D4" s="30"/>
      <c r="E4" s="30"/>
      <c r="F4" s="30"/>
    </row>
    <row r="5" spans="2:6" x14ac:dyDescent="0.25">
      <c r="B5" s="30"/>
      <c r="C5" s="30"/>
      <c r="D5" s="30"/>
      <c r="E5" s="30"/>
      <c r="F5" s="30"/>
    </row>
    <row r="6" spans="2:6" x14ac:dyDescent="0.25">
      <c r="B6" s="65" t="s">
        <v>47</v>
      </c>
      <c r="C6" s="65"/>
      <c r="D6" s="65"/>
      <c r="E6" s="65"/>
      <c r="F6" s="65"/>
    </row>
    <row r="7" spans="2:6" x14ac:dyDescent="0.25">
      <c r="B7" s="1"/>
      <c r="C7" s="1"/>
      <c r="D7" s="30"/>
      <c r="E7" s="30"/>
      <c r="F7" s="30"/>
    </row>
    <row r="8" spans="2:6" x14ac:dyDescent="0.25">
      <c r="B8" s="1" t="s">
        <v>0</v>
      </c>
      <c r="C8" s="1"/>
      <c r="D8" s="30"/>
      <c r="E8" s="30"/>
      <c r="F8" s="30"/>
    </row>
    <row r="9" spans="2:6" x14ac:dyDescent="0.25">
      <c r="B9" s="64" t="s">
        <v>46</v>
      </c>
      <c r="C9" s="64"/>
      <c r="D9" s="64"/>
      <c r="E9" s="64"/>
      <c r="F9" s="64"/>
    </row>
    <row r="10" spans="2:6" x14ac:dyDescent="0.25">
      <c r="B10" s="63" t="s">
        <v>44</v>
      </c>
      <c r="C10" s="63"/>
      <c r="D10" s="63"/>
      <c r="E10" s="63"/>
      <c r="F10" s="63"/>
    </row>
    <row r="11" spans="2:6" ht="12.75" customHeight="1" x14ac:dyDescent="0.25">
      <c r="B11" s="11" t="s">
        <v>48</v>
      </c>
      <c r="C11" s="11"/>
      <c r="D11" s="31"/>
      <c r="E11" s="31"/>
      <c r="F11" s="31"/>
    </row>
    <row r="12" spans="2:6" ht="13.5" customHeight="1" x14ac:dyDescent="0.25">
      <c r="B12" s="12" t="s">
        <v>2</v>
      </c>
      <c r="C12" s="12"/>
      <c r="D12" s="31"/>
      <c r="E12" s="31"/>
      <c r="F12" s="31"/>
    </row>
    <row r="13" spans="2:6" ht="21.75" customHeight="1" x14ac:dyDescent="0.25">
      <c r="B13" s="72" t="s">
        <v>24</v>
      </c>
      <c r="C13" s="72"/>
      <c r="D13" s="72"/>
      <c r="E13" s="72"/>
      <c r="F13" s="72"/>
    </row>
    <row r="14" spans="2:6" x14ac:dyDescent="0.25">
      <c r="B14" s="11" t="s">
        <v>21</v>
      </c>
      <c r="C14" s="11"/>
      <c r="D14" s="28" t="s">
        <v>19</v>
      </c>
      <c r="E14" s="28" t="s">
        <v>28</v>
      </c>
      <c r="F14" s="2" t="s">
        <v>20</v>
      </c>
    </row>
    <row r="15" spans="2:6" x14ac:dyDescent="0.25">
      <c r="B15" s="11"/>
      <c r="C15" s="11"/>
      <c r="D15" s="2"/>
      <c r="E15" s="2"/>
      <c r="F15" s="2"/>
    </row>
    <row r="16" spans="2:6" x14ac:dyDescent="0.25">
      <c r="B16" s="9" t="s">
        <v>49</v>
      </c>
      <c r="C16" s="33" t="s">
        <v>38</v>
      </c>
      <c r="D16" s="35">
        <v>18</v>
      </c>
      <c r="E16" s="32">
        <v>931.85</v>
      </c>
      <c r="F16" s="20">
        <f>D16*E16</f>
        <v>16773.3</v>
      </c>
    </row>
    <row r="17" spans="2:6" x14ac:dyDescent="0.25">
      <c r="B17" s="9" t="s">
        <v>39</v>
      </c>
      <c r="C17" s="33" t="s">
        <v>38</v>
      </c>
      <c r="D17" s="35">
        <v>13</v>
      </c>
      <c r="E17" s="32">
        <v>918.78</v>
      </c>
      <c r="F17" s="20">
        <f>D17*E17</f>
        <v>11944.14</v>
      </c>
    </row>
    <row r="18" spans="2:6" x14ac:dyDescent="0.25">
      <c r="B18" s="9" t="s">
        <v>40</v>
      </c>
      <c r="C18" s="33" t="s">
        <v>38</v>
      </c>
      <c r="D18" s="35">
        <v>3</v>
      </c>
      <c r="E18" s="32">
        <v>701</v>
      </c>
      <c r="F18" s="20">
        <f>D18*E18</f>
        <v>2103</v>
      </c>
    </row>
    <row r="19" spans="2:6" x14ac:dyDescent="0.25">
      <c r="B19" s="9" t="s">
        <v>41</v>
      </c>
      <c r="C19" s="33" t="s">
        <v>38</v>
      </c>
      <c r="D19" s="6">
        <v>3</v>
      </c>
      <c r="E19" s="32">
        <v>794.75</v>
      </c>
      <c r="F19" s="20">
        <f t="shared" ref="F19:F21" si="0">D19*E19</f>
        <v>2384.25</v>
      </c>
    </row>
    <row r="20" spans="2:6" x14ac:dyDescent="0.25">
      <c r="B20" s="9" t="s">
        <v>42</v>
      </c>
      <c r="C20" s="33" t="s">
        <v>38</v>
      </c>
      <c r="D20" s="6">
        <v>5</v>
      </c>
      <c r="E20" s="32">
        <v>4190</v>
      </c>
      <c r="F20" s="20">
        <f t="shared" ref="F20" si="1">D20*E20</f>
        <v>20950</v>
      </c>
    </row>
    <row r="21" spans="2:6" x14ac:dyDescent="0.25">
      <c r="B21" s="9" t="s">
        <v>43</v>
      </c>
      <c r="C21" s="33" t="s">
        <v>38</v>
      </c>
      <c r="D21" s="6">
        <v>2</v>
      </c>
      <c r="E21" s="32">
        <v>3883</v>
      </c>
      <c r="F21" s="20">
        <f t="shared" si="0"/>
        <v>7766</v>
      </c>
    </row>
    <row r="22" spans="2:6" x14ac:dyDescent="0.25">
      <c r="B22" s="16"/>
      <c r="C22" s="33"/>
      <c r="D22" s="18"/>
      <c r="E22" s="20"/>
      <c r="F22" s="20"/>
    </row>
    <row r="23" spans="2:6" x14ac:dyDescent="0.25">
      <c r="B23" s="9"/>
      <c r="C23" s="9"/>
      <c r="D23" s="17"/>
      <c r="E23" s="30"/>
      <c r="F23" s="30"/>
    </row>
    <row r="24" spans="2:6" x14ac:dyDescent="0.25">
      <c r="B24" s="16"/>
      <c r="C24" s="16"/>
      <c r="D24" s="18"/>
      <c r="E24" s="20"/>
      <c r="F24" s="20"/>
    </row>
    <row r="25" spans="2:6" x14ac:dyDescent="0.25">
      <c r="B25" s="5"/>
      <c r="C25" s="5"/>
      <c r="D25" s="18"/>
      <c r="E25" s="19"/>
      <c r="F25" s="20"/>
    </row>
    <row r="26" spans="2:6" x14ac:dyDescent="0.25">
      <c r="B26" s="5"/>
      <c r="C26" s="5"/>
      <c r="D26" s="31"/>
      <c r="E26" s="5" t="s">
        <v>4</v>
      </c>
      <c r="F26" s="21">
        <f>SUM(F16:F25)</f>
        <v>61920.69</v>
      </c>
    </row>
    <row r="27" spans="2:6" x14ac:dyDescent="0.25">
      <c r="B27" s="5"/>
      <c r="C27" s="5"/>
      <c r="D27" s="5"/>
      <c r="E27" s="5" t="s">
        <v>5</v>
      </c>
      <c r="F27" s="21">
        <f>F26*16%</f>
        <v>9907.3104000000003</v>
      </c>
    </row>
    <row r="28" spans="2:6" x14ac:dyDescent="0.25">
      <c r="B28" s="5"/>
      <c r="C28" s="5"/>
      <c r="D28" s="27"/>
      <c r="E28" s="5" t="s">
        <v>6</v>
      </c>
      <c r="F28" s="21">
        <f>SUM(F26:F27)</f>
        <v>71828.000400000004</v>
      </c>
    </row>
    <row r="29" spans="2:6" x14ac:dyDescent="0.25">
      <c r="B29" s="5"/>
      <c r="C29" s="5"/>
      <c r="D29" s="27"/>
      <c r="E29" s="5"/>
      <c r="F29" s="21"/>
    </row>
    <row r="30" spans="2:6" x14ac:dyDescent="0.25">
      <c r="B30" s="1" t="s">
        <v>25</v>
      </c>
      <c r="C30" s="1"/>
      <c r="D30" s="30"/>
      <c r="E30" s="30"/>
      <c r="F30" s="30"/>
    </row>
    <row r="31" spans="2:6" ht="28.5" customHeight="1" x14ac:dyDescent="0.25">
      <c r="B31" s="72" t="s">
        <v>29</v>
      </c>
      <c r="C31" s="72"/>
      <c r="D31" s="72"/>
      <c r="E31" s="72"/>
      <c r="F31" s="72"/>
    </row>
    <row r="32" spans="2:6" ht="17.25" customHeight="1" x14ac:dyDescent="0.25">
      <c r="B32" s="72" t="s">
        <v>30</v>
      </c>
      <c r="C32" s="72"/>
      <c r="D32" s="72"/>
      <c r="E32" s="72"/>
      <c r="F32" s="72"/>
    </row>
    <row r="33" spans="2:15" ht="15" customHeight="1" x14ac:dyDescent="0.25">
      <c r="B33" s="72" t="s">
        <v>31</v>
      </c>
      <c r="C33" s="72"/>
      <c r="D33" s="72"/>
      <c r="E33" s="72"/>
      <c r="F33" s="72"/>
    </row>
    <row r="34" spans="2:15" ht="18" customHeight="1" x14ac:dyDescent="0.25">
      <c r="B34" s="72" t="s">
        <v>32</v>
      </c>
      <c r="C34" s="72"/>
      <c r="D34" s="72"/>
      <c r="E34" s="72"/>
      <c r="F34" s="72"/>
    </row>
    <row r="35" spans="2:15" ht="96.75" customHeight="1" x14ac:dyDescent="0.25">
      <c r="B35" s="72" t="s">
        <v>33</v>
      </c>
      <c r="C35" s="72"/>
      <c r="D35" s="72"/>
      <c r="E35" s="72"/>
      <c r="F35" s="72"/>
    </row>
    <row r="36" spans="2:15" x14ac:dyDescent="0.25">
      <c r="B36" s="30"/>
      <c r="C36" s="30"/>
      <c r="D36" s="30"/>
      <c r="E36" s="30"/>
      <c r="F36" s="30"/>
      <c r="H36" s="25"/>
    </row>
    <row r="37" spans="2:15" x14ac:dyDescent="0.25">
      <c r="B37" s="7" t="s">
        <v>34</v>
      </c>
      <c r="C37" s="7"/>
      <c r="D37" s="70" t="s">
        <v>35</v>
      </c>
      <c r="E37" s="70"/>
      <c r="F37" s="70"/>
    </row>
    <row r="38" spans="2:15" x14ac:dyDescent="0.25">
      <c r="B38" s="12"/>
      <c r="C38" s="12"/>
      <c r="D38" s="31"/>
      <c r="E38" s="31"/>
      <c r="F38" s="31"/>
    </row>
    <row r="39" spans="2:15" x14ac:dyDescent="0.25">
      <c r="B39" s="12"/>
      <c r="C39" s="12"/>
      <c r="D39" s="31"/>
      <c r="E39" s="31"/>
      <c r="F39" s="31"/>
    </row>
    <row r="40" spans="2:15" x14ac:dyDescent="0.25">
      <c r="B40" s="23" t="s">
        <v>36</v>
      </c>
      <c r="C40" s="23"/>
      <c r="D40" s="31"/>
      <c r="E40" s="31"/>
      <c r="F40" s="31"/>
    </row>
    <row r="41" spans="2:15" x14ac:dyDescent="0.25">
      <c r="B41" s="34" t="s">
        <v>45</v>
      </c>
      <c r="C41" s="34"/>
      <c r="D41" s="71" t="s">
        <v>26</v>
      </c>
      <c r="E41" s="71"/>
      <c r="F41" s="71"/>
    </row>
    <row r="42" spans="2:15" x14ac:dyDescent="0.25">
      <c r="B42" s="24"/>
      <c r="C42" s="24"/>
      <c r="D42" s="31"/>
      <c r="E42" s="31"/>
      <c r="F42" s="31"/>
    </row>
    <row r="43" spans="2:15" x14ac:dyDescent="0.25">
      <c r="B43" s="68" t="s">
        <v>27</v>
      </c>
      <c r="C43" s="68"/>
      <c r="D43" s="69"/>
      <c r="E43" s="69"/>
      <c r="F43" s="69"/>
      <c r="G43" s="29"/>
      <c r="H43" s="29"/>
      <c r="I43" s="29"/>
      <c r="J43" s="29"/>
      <c r="K43" s="29"/>
      <c r="L43" s="29"/>
      <c r="M43" s="29"/>
      <c r="N43" s="29"/>
      <c r="O43" s="29"/>
    </row>
    <row r="44" spans="2:15" x14ac:dyDescent="0.25">
      <c r="B44" s="69"/>
      <c r="C44" s="69"/>
      <c r="D44" s="69"/>
      <c r="E44" s="69"/>
      <c r="F44" s="69"/>
      <c r="G44" s="29"/>
      <c r="H44" s="29"/>
      <c r="I44" s="29"/>
      <c r="J44" s="29"/>
      <c r="K44" s="29"/>
      <c r="L44" s="29"/>
      <c r="M44" s="29"/>
      <c r="N44" s="29"/>
      <c r="O44" s="29"/>
    </row>
    <row r="45" spans="2:15" x14ac:dyDescent="0.25">
      <c r="B45" s="69"/>
      <c r="C45" s="69"/>
      <c r="D45" s="69"/>
      <c r="E45" s="69"/>
      <c r="F45" s="69"/>
      <c r="G45" s="29"/>
      <c r="H45" s="29"/>
      <c r="I45" s="29"/>
      <c r="J45" s="29"/>
      <c r="K45" s="29"/>
      <c r="L45" s="29"/>
      <c r="M45" s="29"/>
      <c r="N45" s="29"/>
      <c r="O45" s="29"/>
    </row>
    <row r="46" spans="2:15" x14ac:dyDescent="0.25">
      <c r="B46" s="69"/>
      <c r="C46" s="69"/>
      <c r="D46" s="69"/>
      <c r="E46" s="69"/>
      <c r="F46" s="69"/>
      <c r="G46" s="29"/>
      <c r="H46" s="29"/>
      <c r="I46" s="29"/>
      <c r="J46" s="29"/>
      <c r="K46" s="29"/>
      <c r="L46" s="29"/>
      <c r="M46" s="29"/>
      <c r="N46" s="29"/>
      <c r="O46" s="29"/>
    </row>
    <row r="47" spans="2:15" x14ac:dyDescent="0.25">
      <c r="B47" s="29"/>
      <c r="C47" s="29"/>
      <c r="D47" s="29"/>
      <c r="E47" s="29"/>
      <c r="F47" s="29"/>
      <c r="G47" s="29"/>
      <c r="H47" s="29"/>
      <c r="I47" s="29"/>
      <c r="J47" s="29"/>
      <c r="K47" s="29"/>
      <c r="L47" s="29"/>
      <c r="M47" s="29"/>
      <c r="N47" s="29"/>
      <c r="O47" s="29"/>
    </row>
    <row r="48" spans="2:15" x14ac:dyDescent="0.25">
      <c r="B48" s="29"/>
      <c r="C48" s="29"/>
      <c r="D48" s="29"/>
      <c r="E48" s="29"/>
      <c r="F48" s="29"/>
      <c r="G48" s="29"/>
      <c r="H48" s="29"/>
      <c r="I48" s="29"/>
      <c r="J48" s="29"/>
      <c r="K48" s="29"/>
      <c r="L48" s="29"/>
      <c r="M48" s="29"/>
      <c r="N48" s="29"/>
      <c r="O48" s="29"/>
    </row>
    <row r="49" spans="2:15" x14ac:dyDescent="0.25">
      <c r="B49" s="29"/>
      <c r="C49" s="29"/>
      <c r="D49" s="29"/>
      <c r="E49" s="29"/>
      <c r="F49" s="29"/>
      <c r="G49" s="29"/>
      <c r="H49" s="29"/>
      <c r="I49" s="29"/>
      <c r="J49" s="29"/>
      <c r="K49" s="29"/>
      <c r="L49" s="29"/>
      <c r="M49" s="29"/>
      <c r="N49" s="29"/>
      <c r="O49" s="29"/>
    </row>
    <row r="50" spans="2:15" x14ac:dyDescent="0.25">
      <c r="B50" s="29"/>
      <c r="C50" s="29"/>
      <c r="D50" s="29"/>
      <c r="E50" s="29"/>
      <c r="F50" s="29"/>
      <c r="G50" s="29"/>
      <c r="H50" s="29"/>
      <c r="I50" s="29"/>
      <c r="J50" s="29"/>
      <c r="K50" s="29"/>
      <c r="L50" s="29"/>
      <c r="M50" s="29"/>
      <c r="N50" s="29"/>
      <c r="O50" s="29"/>
    </row>
  </sheetData>
  <mergeCells count="12">
    <mergeCell ref="B6:F6"/>
    <mergeCell ref="B9:F9"/>
    <mergeCell ref="B10:F10"/>
    <mergeCell ref="B13:F13"/>
    <mergeCell ref="B35:F35"/>
    <mergeCell ref="B43:F46"/>
    <mergeCell ref="D37:F37"/>
    <mergeCell ref="D41:F41"/>
    <mergeCell ref="B31:F31"/>
    <mergeCell ref="B32:F32"/>
    <mergeCell ref="B33:F33"/>
    <mergeCell ref="B34:F34"/>
  </mergeCells>
  <pageMargins left="0.7" right="0.7" top="0.75" bottom="0.75" header="0.3" footer="0.3"/>
  <pageSetup paperSize="9" scale="83"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2026-03-11T00:14:19Z</cp:lastPrinted>
  <dcterms:created xsi:type="dcterms:W3CDTF">2020-12-14T19:54:01Z</dcterms:created>
  <dcterms:modified xsi:type="dcterms:W3CDTF">2026-03-11T00:14:32Z</dcterms:modified>
</cp:coreProperties>
</file>