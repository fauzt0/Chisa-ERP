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ntas\Nextcloud\COTIZACIONES 2025\"/>
    </mc:Choice>
  </mc:AlternateContent>
  <xr:revisionPtr revIDLastSave="0" documentId="13_ncr:1_{3D042757-A30F-49CB-95CA-E3655818EE7C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SUMINISTRO Y APLICACION" sheetId="1" r:id="rId1"/>
    <sheet name="SUMINISTRO" sheetId="3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7" i="3" l="1"/>
  <c r="F34" i="3"/>
  <c r="F33" i="3" l="1"/>
  <c r="F32" i="3"/>
  <c r="F31" i="3"/>
  <c r="F39" i="3" l="1"/>
  <c r="F40" i="3" s="1"/>
  <c r="D21" i="1"/>
  <c r="D22" i="1" s="1"/>
  <c r="F41" i="3" l="1"/>
</calcChain>
</file>

<file path=xl/sharedStrings.xml><?xml version="1.0" encoding="utf-8"?>
<sst xmlns="http://schemas.openxmlformats.org/spreadsheetml/2006/main" count="76" uniqueCount="68">
  <si>
    <t xml:space="preserve">P  R  E  S  E  N  T  E                                                                                                 </t>
  </si>
  <si>
    <t xml:space="preserve">         </t>
  </si>
  <si>
    <t xml:space="preserve">     </t>
  </si>
  <si>
    <t>IMPORTE:</t>
  </si>
  <si>
    <t>16% I.V.A.</t>
  </si>
  <si>
    <t>T O T A L</t>
  </si>
  <si>
    <t>FORMA DE PAGO</t>
  </si>
  <si>
    <t>N O T A S:</t>
  </si>
  <si>
    <t>TODO AUMENTO DE OBRA O CAMBIO DE ESPECIFICACIÓN, DEBERÁ SER NOTIFICADO POR EL CLIENTE MEDIANTE ORDEN DE TRABAJO, CON LO CUAL  SE REALIZARA LA MODIFICACIÓN BAJO EL CARGO CORRESPONDIENTE EN SU CASO.</t>
  </si>
  <si>
    <t xml:space="preserve">EL PERSONAL APLICADOR DE CHISA RECUBRIMIENTOS, S.A. DE C.V.  NO SE ENCUENTRA AUTORIZADO PARA REALIZAR TRABAJOS DE TABLAROCA, RESANES DE ALBAÑILERÍA O YESO, DESPRENDIMIENTO DE PAPEL TAPIZ, COLOCACIÓN O RETIRO DE SEÑALIZACIÓN,  RETIRO DE MOBILIARIO,  APARATOS, O EQUIPO, EVITANDO ASÍ CUALQUIER DAÑO A LOS MISMOS.  </t>
  </si>
  <si>
    <t>EN CASO DE QUE EL CLIENTE NO LIBERE ÁREAS PARA SER APLICADO EL RECUBRIMIENTO,  SE  REALIZARAN LOS CARGOS CORRESPONDIENTES POR TIEMPOS MUERTOS, VIÁTICOS,  Y LOS GASTOS QUE SE GENEREN DERIVADOS DEL MISMO,  EN EL SUPUESTO DE QUE LOS VOLÚMENES CONTRATADOS VARÍEN A LOS EXISTENTES EN OBRA, EL CLIENTE LIQUIDARA EL MATERIAL EXCEDENTE FABRICADO PARA LA MISMA.</t>
  </si>
  <si>
    <t>EL PRESENTE  PRESUPUESTO TIENE UNA VIGENCIA DE 15 DÍAS HÁBILES, AL TERMINO DE ESTA FECHA SE DEBERÁ ACTUALIZAR LA COTIZACIÓN, PARA VERIFICAR LA VIGENCIA DE LOS PRECIOS.</t>
  </si>
  <si>
    <t>ESTE TIPO DE MATERIAL POR SUS COMPONENTES REQUIERE DE UNA SUPERFICIE SECA, LIBRE DE HUMEDAD Y/O SALITRE,  DE LO CONTRARIO NO RECOMENDAMOS LA APLICACIÓN DE NUESTROS PRODUCTOS HASTA CORREGIR EL PROBLEMA, YA QUE NO SEREMOS RESPONSABLES POR DEFECTOS, MANCHAS O DESPRENDIMIENTOS QUE PUDIERAN PRESENTARSE, SI EN LAS SUPERFICIES DONDE SERÁN APLICADOS LOS PRODUCTOS COTIZADOS EXISTIERA PINTURA EN MAL ESTADO O CON FALSA ADHERENCIA, EL CLIENTE SE COMPROMETE A RETIRAR LA MISMA, PREVIO A LA APLICACIÓN DE NUESTROS PRODUCTOS.</t>
  </si>
  <si>
    <t>TODO LO RELACIONADO A LICENCIAS, PERMISOS DE  CONSTRUCCIÓN Y SINDICATOS, CORRERÁ POR  CUENTA DEL CLIENTE.</t>
  </si>
  <si>
    <t>INICIAMOS LOS TRABAJOS PREVIA ENTREGA  DE PAGO TOTAL ANTICIPADO  A LOS 15 DIAS HABILES PARA OBRAS FORANEAS Y EN 5 DIAS HABILES EN OBRAS EN LA CDMX, SIEMPRE Y CUANDO EL ACABADO DE LOS MUROS SEA DE MEZCLA FINO Y LIBRE DE DETALLES DE ALBAÑILERIA Y/O TABLAROCA, EN DICHOS TIEMPOS SE CONSIDERA LA FABRICACION DEL MATERIAL Y EL TRASLADO DE MATERIALES A EL LUGAR DE LOS TRABAJOS.</t>
  </si>
  <si>
    <t>TODA DEVOLUCIÓN DE CHEQUE, CAUSARA EL 20% DE CARGO DE ACUERDO CON EL ART. 193 DE LA LEY GENERAL DE TÍTULOS Y OPERACIONES DE CRÉDITO.</t>
  </si>
  <si>
    <t xml:space="preserve">CHISA RECUBRIMIENTOS, S.A. DE C.V. CON DOMICILIO EN ANDRES MOLINA ENRIQUEZ No. 156 COL. SAN PEDRO IZTACALCO, ALCALDÍA IZTACALCO, EN CIUDAD DE MÉXICO, UTILIZARA SUS DATOS PERSONALES RECABADOS UNICA Y EXCLUSIVAMENTE PARA EFECTOS DE PROPORCIONARLE INFORMACION DE NUESTROS SERVICIOS, PRODUCTOS Y COSTOS. PARA MAYOR INFORMACION ACERCA DEL TRATAMIENTO Y DE LOS DERECHOS QUE PUEDE HACER VALER, USTED PUEDE ACCEDER AL AVISO DE PRIVACIDAD INTEGRAL A TRAVES DE NUESTRA PAGINA DE INTERNET www.chisarecubrimientos.com.mx </t>
  </si>
  <si>
    <t xml:space="preserve">SIN MAS POR EL MOMENTO, LE REITERO A USTED, LAS SEGURIDADES DE MI MAS DISTINGUIDA CONSIDERACIÓN. </t>
  </si>
  <si>
    <t xml:space="preserve">   </t>
  </si>
  <si>
    <t>CANTIDAD</t>
  </si>
  <si>
    <t>IMPORTE</t>
  </si>
  <si>
    <t>CONCEPTO</t>
  </si>
  <si>
    <t>ACEPTO</t>
  </si>
  <si>
    <t xml:space="preserve">NOTAS: </t>
  </si>
  <si>
    <t xml:space="preserve">ANDRES MOLINA ENRIQUEZ #156 COL. SAN PEDRO ALCALDÍA IZTACALCO, C.P. 08220, CDMX. CONTACTO: 55-55-79-9434| 55-55-7908-95| 55-55-79-62-70 ventas@chisarecubrimientos.com.mx|www.chisarecubrimientos.com.mx </t>
  </si>
  <si>
    <r>
      <t xml:space="preserve">PRECIO  U.                </t>
    </r>
    <r>
      <rPr>
        <sz val="9"/>
        <color theme="1"/>
        <rFont val="Times New Roman"/>
        <family val="1"/>
      </rPr>
      <t xml:space="preserve">       </t>
    </r>
  </si>
  <si>
    <t>1.-EL PRESENTE PRESUPUESTO TIENE UNA VIGENCIA DE 5 DIAS HABILES, AL TERMINO  DE ESTA FECHA,   NUESTROS PRECIOS PODRIAN CAMBIAR SIN PREVIO AVISO, EN EL MARGEN QUE VARIEN  NUESTRAS MATERIAS PRIMAS.</t>
  </si>
  <si>
    <r>
      <t xml:space="preserve">2.-AL ACEPTAR EL PRESENTE PRESUPUESTO REQUERIMOS DEL </t>
    </r>
    <r>
      <rPr>
        <b/>
        <sz val="9"/>
        <color theme="1"/>
        <rFont val="Times New Roman"/>
        <family val="1"/>
      </rPr>
      <t>PAGO TOTAL ANTICIPADO</t>
    </r>
  </si>
  <si>
    <t>3.-ENTREGA DE MATERIALES L.A.B. EN LA PLANTA DE CHISA RECUBRIMIENTOS,  S.A. DE C.V.</t>
  </si>
  <si>
    <t>4.-PRECIOS CONSIDERADOS EN LA COMPRA TOTAL EN UNA SOLA EXHIBICION.</t>
  </si>
  <si>
    <r>
      <t xml:space="preserve">5.-CHISA RECUBRIMIENTOS, S.A. DE C.V. CON DOMICILIO EN ANDRES MOLINA ENRIQUEZ No. 156 COL. SAN PEDRO IZTACALCO, ALCALDÍA IZTACALCO EN CDMX, UTILIZARA SUS DATOS PERSONALES RECABADOS UNICA Y EXCLUSIVAMENTE PARA EFECTOS DE PROPORCIONARLE INFORMACION DE NUESTROS SERVICIOS, PRODUCTOS Y COSTOS. PARA MAYOR INFORMACION ACERCA DEL TRATAMIENTO Y DE LOS DERECHOS QUE PUEDE HACER VALER, USTED PUEDE ACCEDER AL AVISO DE PRIVACIDAD INTEGRAL A TRAVES DE NUESTRA PAGINA DE INTERNET </t>
    </r>
    <r>
      <rPr>
        <u/>
        <sz val="9"/>
        <color rgb="FF002060"/>
        <rFont val="Times New Roman"/>
        <family val="1"/>
      </rPr>
      <t>www.chisarecubrimientos.com.mx</t>
    </r>
  </si>
  <si>
    <t>ATENTAMENTE</t>
  </si>
  <si>
    <r>
      <t>PRESENTAMOS  A  SU AMABLE  CONSIDERACIÓN EL PRESUPUESTO DE SUMINISTRO Y APLICACIÓN  DE  LOS SIGUIENTES CONCEPTOS.</t>
    </r>
    <r>
      <rPr>
        <b/>
        <sz val="9"/>
        <color theme="1"/>
        <rFont val="Times New Roman"/>
        <family val="1"/>
      </rPr>
      <t xml:space="preserve">                                                   </t>
    </r>
  </si>
  <si>
    <t xml:space="preserve">                                  CONCEPTO</t>
  </si>
  <si>
    <r>
      <t xml:space="preserve">1.-SUMINISTRO Y APLICACIÓN DE RECUBRIMIENTO CHISA GLASS REF-S.M.A. EN MUROS CON RECUBRIMIENTO EXISTENTE, INCLUYE : LIMPIEZA Y LIJADO DE MURO, </t>
    </r>
    <r>
      <rPr>
        <sz val="9"/>
        <color theme="1"/>
        <rFont val="Times New Roman"/>
        <family val="1"/>
      </rPr>
      <t>APLICACION DE ARENA SILICA MALLA 250-300 A MANO CON LLANA METALICA, APLICACIÓN DE SELLADOR ACRÍLICO 4648 A MANO CON RODILLO DE FELPA Y BROCHA, APLICACIÓN DE PRAIMER GLASS APLICADO CON RODILLO DE FELPA Y BROCHA, APLICACIÓN DE RECUBRIMIENTO CHISA GLASS REF-S.M.A. CON EQUIPO NEUMÁTICO POR ASPERSIÓN DE AIRE, APLICACIÓN DE VITROGLASS ECOLÓGICO CON RODILLO DE FELPA Y BROCHA,   PROTECCIÓN DE SUPERFICIES ADYACENTES  CON PAPEL Y MASKING TAPE, LIMPIEZA Y  RETIRO DE SOBRANTES PROPIOS HASTA EL LUGAR INDICADO DENTRO DE  OBRA, FLETE, Y MANO DE OBRA ESPECIALIZADA, TODO LO ANTERIOR CONSIDERADO HASTA UNA ALTURA DE  2.70  MTS.   Y  DEMÁS DERIVADOS DEL USO DE HERRAMIENTA. NO INCLUYE ANDAMIAJE.</t>
    </r>
  </si>
  <si>
    <t>EN CASO DE SER ACEPTADO EL PRESENTE PRESUPUESTO REQUERIMOS DEL PAGO TOTAL, EL CUAL SERA APLICADO A LA FABRICACIÓN, Y GASTOS DE ENVIÓ DE MATERIALES AL LUGAR DE LOS TRABAJOS:  AL OTORGAR EL PAGO DE ANTICIPO PARA LA EJECUCIÓN DE LOS TRABAJOS, SE CONSIDERA COMO ACEPTADO EL PRESUPUESTO EN TODOS SUS PUNTOS Y EL MISMO FUNGIRÁ COMO CONTRATO.</t>
  </si>
  <si>
    <t xml:space="preserve">                          ________________________________                                                _______________________________________</t>
  </si>
  <si>
    <t>CIUDAD DE MEXICO A 14 DE NOVIEMBRE DEL 2023</t>
  </si>
  <si>
    <t xml:space="preserve">                       ATN: ING. CESAR BRAVO</t>
  </si>
  <si>
    <t>PRES. REF. 15262/2023</t>
  </si>
  <si>
    <t xml:space="preserve">TAG2 TALLER DE ARQUITECTURA </t>
  </si>
  <si>
    <r>
      <t xml:space="preserve">FORMA DE PAGO Y CONSIDERACIONES GENERALES CORRESPONDIENTES AL PRESUPUESTO </t>
    </r>
    <r>
      <rPr>
        <b/>
        <sz val="9"/>
        <color theme="1"/>
        <rFont val="Times New Roman"/>
        <family val="1"/>
      </rPr>
      <t>REF. 15262/2023.</t>
    </r>
  </si>
  <si>
    <t xml:space="preserve">                                             ING. CESAR BRAVO                                                                        CHISA RECUBRIMIENTOS, S.A. DE C.V    </t>
  </si>
  <si>
    <t>LOTE DE DETALLES HASTA 80 M2</t>
  </si>
  <si>
    <t>IVA:</t>
  </si>
  <si>
    <t xml:space="preserve">TOTAL: </t>
  </si>
  <si>
    <t>CUBETAS</t>
  </si>
  <si>
    <t xml:space="preserve">  A T E N T A M E N T E</t>
  </si>
  <si>
    <t xml:space="preserve">                                   A C E P T O</t>
  </si>
  <si>
    <r>
      <t xml:space="preserve">PRESENTAMOS A SU AMABLE CONSIDERACIÓN EL PRESUPUESTO DE SUMINISTRO </t>
    </r>
    <r>
      <rPr>
        <sz val="9"/>
        <color theme="1"/>
        <rFont val="Times New Roman"/>
        <family val="1"/>
      </rPr>
      <t xml:space="preserve">DE LOS SIGUIENTES MATERIALES: </t>
    </r>
  </si>
  <si>
    <t xml:space="preserve">            ____________________________________                                                                                    _______________________________________</t>
  </si>
  <si>
    <t>RFC: CRE-880613-DY4</t>
  </si>
  <si>
    <t xml:space="preserve">                                         CHISA RECUBRIMIENTOS, S.A DE C.V</t>
  </si>
  <si>
    <t xml:space="preserve">
</t>
  </si>
  <si>
    <t xml:space="preserve">1.- PRAIMER GLASS REF. S.M.A (REND. 85M2) </t>
  </si>
  <si>
    <t>2.- CHISA GLASS REF. S.M.A (REND. 55-60M2)</t>
  </si>
  <si>
    <t>3.- VITROGLASS REF. S.M.A (REND. 180-190M2)</t>
  </si>
  <si>
    <t xml:space="preserve">6.-  KIT DE APLICACIÓN DE CHISA, QUE CONSISTE EN: </t>
  </si>
  <si>
    <t>PZA</t>
  </si>
  <si>
    <t>COMPRESOR CON CAPACIDAD DE 30LBRS CONTINUAS, MANGUERA DE 10 MTRS, CONEXIONES RAPIDAS Y PISTOLA PARA APLICAR EL RECUBRIMIENTO.</t>
  </si>
  <si>
    <t>(TODO DEBIDAMENTE CHECADO Y ARMADO POR UN APLICADOR )</t>
  </si>
  <si>
    <t>ENVIO</t>
  </si>
  <si>
    <t>SUB TOTAL</t>
  </si>
  <si>
    <t>CIUDAD DE MEXICO A 08 DE ENERO DEL 2026</t>
  </si>
  <si>
    <t>AT´N: ING. JOSE GUINDO RUIZ</t>
  </si>
  <si>
    <t>PRES. REF. 16361-S/2026CG</t>
  </si>
  <si>
    <t xml:space="preserve">CONSTRUCTORA: </t>
  </si>
  <si>
    <t xml:space="preserve">                          ING. JOSE GUINDO RUIZ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</si>
</sst>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;[Red]\-&quot;$&quot;#,##0.00"/>
    <numFmt numFmtId="44" formatCode="_-&quot;$&quot;* #,##0.00_-;\-&quot;$&quot;* #,##0.00_-;_-&quot;$&quot;* &quot;-&quot;??_-;_-@_-"/>
    <numFmt numFmtId="164" formatCode="&quot;$&quot;#,##0.00"/>
  </numFmts>
  <fonts count="12" x14ac:knownFonts="1">
    <font>
      <sz val="11"/>
      <color theme="1"/>
      <name val="Calibri"/>
      <family val="2"/>
      <scheme val="minor"/>
    </font>
    <font>
      <sz val="9"/>
      <color theme="1"/>
      <name val="Times New Roman"/>
      <family val="1"/>
    </font>
    <font>
      <b/>
      <sz val="9"/>
      <color theme="1"/>
      <name val="Times New Roman"/>
      <family val="1"/>
    </font>
    <font>
      <b/>
      <sz val="8"/>
      <color theme="1"/>
      <name val="Times New Roman"/>
      <family val="1"/>
    </font>
    <font>
      <b/>
      <u/>
      <sz val="9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10"/>
      <color rgb="FF002060"/>
      <name val="Calibri"/>
      <family val="2"/>
    </font>
    <font>
      <b/>
      <sz val="8"/>
      <color rgb="FF002060"/>
      <name val="Calibri"/>
      <family val="2"/>
    </font>
    <font>
      <u/>
      <sz val="9"/>
      <color rgb="FF002060"/>
      <name val="Times New Roman"/>
      <family val="1"/>
    </font>
    <font>
      <sz val="9"/>
      <color theme="1"/>
      <name val="Calibri"/>
      <family val="2"/>
      <scheme val="minor"/>
    </font>
    <font>
      <b/>
      <u/>
      <sz val="10"/>
      <color theme="1"/>
      <name val="Times New Roman"/>
      <family val="1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8">
    <xf numFmtId="0" fontId="0" fillId="0" borderId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</cellStyleXfs>
  <cellXfs count="69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horizontal="justify"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justify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4" fillId="0" borderId="0" xfId="0" applyFont="1" applyAlignment="1">
      <alignment horizontal="justify" vertical="top" wrapText="1"/>
    </xf>
    <xf numFmtId="0" fontId="2" fillId="0" borderId="0" xfId="0" applyFont="1" applyAlignment="1">
      <alignment horizontal="justify" vertical="center"/>
    </xf>
    <xf numFmtId="0" fontId="1" fillId="0" borderId="0" xfId="0" applyFont="1" applyAlignment="1">
      <alignment horizontal="justify" vertical="center"/>
    </xf>
    <xf numFmtId="8" fontId="1" fillId="0" borderId="0" xfId="0" applyNumberFormat="1" applyFont="1" applyAlignment="1">
      <alignment horizontal="justify" wrapText="1"/>
    </xf>
    <xf numFmtId="44" fontId="1" fillId="0" borderId="0" xfId="1" applyFont="1" applyAlignment="1">
      <alignment horizontal="right" vertical="center" wrapTex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top"/>
    </xf>
    <xf numFmtId="0" fontId="0" fillId="0" borderId="0" xfId="0" applyAlignment="1">
      <alignment horizontal="left"/>
    </xf>
    <xf numFmtId="0" fontId="0" fillId="0" borderId="0" xfId="0" applyAlignment="1">
      <alignment horizontal="right" vertical="top"/>
    </xf>
    <xf numFmtId="0" fontId="1" fillId="0" borderId="0" xfId="0" applyFont="1" applyAlignment="1">
      <alignment horizontal="justify" vertical="top" wrapText="1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6" fillId="0" borderId="0" xfId="0" applyFont="1"/>
    <xf numFmtId="0" fontId="1" fillId="0" borderId="0" xfId="0" applyFont="1"/>
    <xf numFmtId="0" fontId="1" fillId="0" borderId="0" xfId="0" applyFont="1" applyAlignment="1">
      <alignment horizontal="justify"/>
    </xf>
    <xf numFmtId="44" fontId="1" fillId="0" borderId="0" xfId="1" applyFont="1" applyAlignment="1">
      <alignment horizontal="center" wrapText="1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4" fillId="0" borderId="0" xfId="0" applyFont="1" applyAlignment="1">
      <alignment horizontal="justify" vertical="center"/>
    </xf>
    <xf numFmtId="0" fontId="2" fillId="0" borderId="0" xfId="0" applyFont="1" applyAlignment="1">
      <alignment horizontal="justify"/>
    </xf>
    <xf numFmtId="0" fontId="0" fillId="0" borderId="0" xfId="0" applyAlignment="1">
      <alignment horizontal="center" wrapText="1"/>
    </xf>
    <xf numFmtId="0" fontId="0" fillId="0" borderId="0" xfId="0" applyAlignment="1">
      <alignment horizontal="justify"/>
    </xf>
    <xf numFmtId="0" fontId="0" fillId="0" borderId="0" xfId="0" applyAlignment="1">
      <alignment horizontal="justify" vertical="top" wrapText="1"/>
    </xf>
    <xf numFmtId="0" fontId="9" fillId="0" borderId="0" xfId="0" applyFont="1"/>
    <xf numFmtId="0" fontId="2" fillId="0" borderId="0" xfId="0" applyFont="1" applyAlignment="1">
      <alignment horizontal="center" wrapText="1"/>
    </xf>
    <xf numFmtId="0" fontId="1" fillId="0" borderId="0" xfId="0" applyFont="1" applyAlignment="1">
      <alignment horizontal="justify" vertical="justify" wrapText="1"/>
    </xf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left"/>
    </xf>
    <xf numFmtId="0" fontId="2" fillId="0" borderId="0" xfId="0" applyFont="1"/>
    <xf numFmtId="0" fontId="3" fillId="0" borderId="0" xfId="0" applyFont="1" applyAlignment="1">
      <alignment horizontal="right"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4" fillId="0" borderId="0" xfId="0" applyFont="1" applyAlignment="1">
      <alignment horizontal="justify" vertical="center" wrapText="1"/>
    </xf>
    <xf numFmtId="44" fontId="1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 wrapText="1"/>
    </xf>
    <xf numFmtId="0" fontId="10" fillId="0" borderId="0" xfId="0" applyFont="1" applyAlignment="1">
      <alignment horizontal="justify" vertical="center" wrapText="1"/>
    </xf>
    <xf numFmtId="0" fontId="11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top" wrapText="1"/>
    </xf>
    <xf numFmtId="0" fontId="11" fillId="0" borderId="0" xfId="0" applyFont="1" applyAlignment="1">
      <alignment horizontal="justify" vertical="center" wrapText="1"/>
    </xf>
    <xf numFmtId="164" fontId="11" fillId="0" borderId="0" xfId="0" applyNumberFormat="1" applyFont="1" applyAlignment="1">
      <alignment horizontal="right"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justify" vertical="center" wrapText="1"/>
    </xf>
    <xf numFmtId="0" fontId="2" fillId="0" borderId="0" xfId="0" applyFont="1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justify" vertical="top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7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justify" vertical="justify" wrapText="1"/>
    </xf>
    <xf numFmtId="0" fontId="2" fillId="0" borderId="0" xfId="0" applyFont="1" applyAlignment="1">
      <alignment vertical="top" wrapText="1"/>
    </xf>
    <xf numFmtId="0" fontId="0" fillId="0" borderId="0" xfId="0" applyAlignment="1">
      <alignment wrapText="1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center"/>
    </xf>
  </cellXfs>
  <cellStyles count="8">
    <cellStyle name="Moneda" xfId="1" builtinId="4"/>
    <cellStyle name="Moneda 2" xfId="3" xr:uid="{D3D43636-F670-4A3B-86BA-3AD6C377F933}"/>
    <cellStyle name="Moneda 2 2" xfId="6" xr:uid="{B9BF51E9-79A0-4D6C-98B8-BEF01062A514}"/>
    <cellStyle name="Moneda 3" xfId="2" xr:uid="{7EC489B4-E676-4390-AA02-61E720AF151B}"/>
    <cellStyle name="Moneda 3 2" xfId="5" xr:uid="{54D45928-7C5D-432D-94C9-47D8EA846E78}"/>
    <cellStyle name="Moneda 4" xfId="4" xr:uid="{B22E587E-BDF3-423E-A826-5C51B4AD70C8}"/>
    <cellStyle name="Moneda 5" xfId="7" xr:uid="{4C98BA0E-C64A-4FD0-B895-8FB15576F1DD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114300</xdr:colOff>
      <xdr:row>0</xdr:row>
      <xdr:rowOff>152400</xdr:rowOff>
    </xdr:from>
    <xdr:to>
      <xdr:col>5</xdr:col>
      <xdr:colOff>571500</xdr:colOff>
      <xdr:row>4</xdr:row>
      <xdr:rowOff>28575</xdr:rowOff>
    </xdr:to>
    <xdr:pic>
      <xdr:nvPicPr>
        <xdr:cNvPr id="2" name="Picture 48">
          <a:extLst>
            <a:ext uri="{FF2B5EF4-FFF2-40B4-BE49-F238E27FC236}">
              <a16:creationId xmlns:a16="http://schemas.microsoft.com/office/drawing/2014/main" id="{EB8D8035-864B-4627-AA42-BDD48C48833C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33950" y="152400"/>
          <a:ext cx="1171575" cy="6381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4"/>
  <sheetViews>
    <sheetView topLeftCell="A7" zoomScale="80" zoomScaleNormal="80" workbookViewId="0">
      <selection activeCell="F18" sqref="F18"/>
    </sheetView>
  </sheetViews>
  <sheetFormatPr baseColWidth="10" defaultRowHeight="15" x14ac:dyDescent="0.25"/>
  <cols>
    <col min="1" max="1" width="47.140625" customWidth="1"/>
    <col min="2" max="2" width="16.7109375" customWidth="1"/>
    <col min="3" max="3" width="16.140625" customWidth="1"/>
    <col min="4" max="4" width="18.42578125" customWidth="1"/>
    <col min="6" max="6" width="12.28515625" bestFit="1" customWidth="1"/>
  </cols>
  <sheetData>
    <row r="1" spans="1:7" ht="12" customHeight="1" x14ac:dyDescent="0.25">
      <c r="A1" s="56"/>
      <c r="B1" s="57"/>
      <c r="C1" s="57"/>
      <c r="D1" s="57"/>
    </row>
    <row r="2" spans="1:7" ht="12" customHeight="1" x14ac:dyDescent="0.25">
      <c r="A2" s="20"/>
      <c r="B2" s="20"/>
      <c r="C2" s="20"/>
      <c r="D2" s="20"/>
    </row>
    <row r="3" spans="1:7" ht="12" customHeight="1" x14ac:dyDescent="0.25">
      <c r="A3" s="20"/>
      <c r="B3" s="20"/>
      <c r="C3" s="20"/>
      <c r="D3" s="20"/>
    </row>
    <row r="4" spans="1:7" ht="12" customHeight="1" x14ac:dyDescent="0.25">
      <c r="A4" s="50" t="s">
        <v>37</v>
      </c>
      <c r="B4" s="50"/>
      <c r="C4" s="50"/>
      <c r="D4" s="50"/>
      <c r="E4" s="6"/>
    </row>
    <row r="5" spans="1:7" ht="12" customHeight="1" x14ac:dyDescent="0.25">
      <c r="A5" s="26"/>
      <c r="B5" s="26"/>
      <c r="C5" s="26"/>
      <c r="D5" s="26"/>
      <c r="E5" s="6"/>
    </row>
    <row r="6" spans="1:7" ht="12" customHeight="1" x14ac:dyDescent="0.25">
      <c r="A6" s="1"/>
      <c r="B6" s="20"/>
      <c r="C6" s="20"/>
      <c r="D6" s="20"/>
    </row>
    <row r="7" spans="1:7" ht="12" customHeight="1" x14ac:dyDescent="0.25">
      <c r="A7" s="1" t="s">
        <v>0</v>
      </c>
      <c r="B7" s="20"/>
      <c r="C7" s="20"/>
      <c r="D7" s="20"/>
    </row>
    <row r="8" spans="1:7" ht="12" customHeight="1" x14ac:dyDescent="0.25">
      <c r="A8" s="1"/>
      <c r="B8" s="20"/>
      <c r="C8" s="20"/>
      <c r="D8" s="20"/>
    </row>
    <row r="9" spans="1:7" ht="12" customHeight="1" x14ac:dyDescent="0.25">
      <c r="A9" s="1" t="s">
        <v>1</v>
      </c>
      <c r="B9" s="20"/>
      <c r="C9" s="20"/>
      <c r="D9" s="20"/>
      <c r="E9" s="1"/>
      <c r="F9" s="1"/>
      <c r="G9" s="1"/>
    </row>
    <row r="10" spans="1:7" ht="12" customHeight="1" x14ac:dyDescent="0.25">
      <c r="A10" s="52" t="s">
        <v>38</v>
      </c>
      <c r="B10" s="52"/>
      <c r="C10" s="52"/>
      <c r="D10" s="52"/>
    </row>
    <row r="11" spans="1:7" ht="12" customHeight="1" x14ac:dyDescent="0.25">
      <c r="A11" s="17"/>
      <c r="B11" s="17"/>
      <c r="C11" s="17"/>
      <c r="D11" s="17"/>
    </row>
    <row r="12" spans="1:7" ht="12" customHeight="1" x14ac:dyDescent="0.25">
      <c r="A12" s="17"/>
      <c r="B12" s="20"/>
      <c r="C12" s="20"/>
      <c r="D12" s="20"/>
    </row>
    <row r="13" spans="1:7" ht="15.75" customHeight="1" x14ac:dyDescent="0.25">
      <c r="A13" s="58" t="s">
        <v>40</v>
      </c>
      <c r="B13" s="59"/>
      <c r="C13" s="59"/>
      <c r="D13" s="59"/>
    </row>
    <row r="14" spans="1:7" ht="12" customHeight="1" x14ac:dyDescent="0.25">
      <c r="A14" s="8" t="s">
        <v>39</v>
      </c>
      <c r="B14" s="21"/>
      <c r="C14" s="21"/>
      <c r="D14" s="21"/>
    </row>
    <row r="15" spans="1:7" ht="12" customHeight="1" x14ac:dyDescent="0.25">
      <c r="A15" s="9" t="s">
        <v>2</v>
      </c>
      <c r="B15" s="21"/>
      <c r="C15" s="21"/>
      <c r="D15" s="21"/>
    </row>
    <row r="16" spans="1:7" ht="12" customHeight="1" x14ac:dyDescent="0.25">
      <c r="A16" s="54" t="s">
        <v>32</v>
      </c>
      <c r="B16" s="54"/>
      <c r="C16" s="54"/>
      <c r="D16" s="54"/>
      <c r="E16" s="3"/>
      <c r="F16" s="3"/>
      <c r="G16" s="3"/>
    </row>
    <row r="17" spans="1:7" ht="21.75" customHeight="1" x14ac:dyDescent="0.25">
      <c r="A17" s="28" t="s">
        <v>33</v>
      </c>
      <c r="B17" s="24" t="s">
        <v>19</v>
      </c>
      <c r="C17" s="17" t="s">
        <v>25</v>
      </c>
      <c r="D17" s="17" t="s">
        <v>20</v>
      </c>
      <c r="E17" s="2"/>
      <c r="F17" s="2"/>
      <c r="G17" s="2"/>
    </row>
    <row r="18" spans="1:7" ht="249" customHeight="1" x14ac:dyDescent="0.25">
      <c r="A18" s="27" t="s">
        <v>34</v>
      </c>
      <c r="B18" s="33" t="s">
        <v>43</v>
      </c>
      <c r="C18" s="22">
        <v>27794.639999999999</v>
      </c>
      <c r="D18" s="22">
        <v>27794.639999999999</v>
      </c>
      <c r="E18" s="2"/>
      <c r="F18" s="2"/>
      <c r="G18" s="2"/>
    </row>
    <row r="19" spans="1:7" ht="24" customHeight="1" x14ac:dyDescent="0.25">
      <c r="A19" s="27"/>
      <c r="B19" s="29"/>
      <c r="C19" s="22"/>
      <c r="D19" s="22"/>
    </row>
    <row r="20" spans="1:7" ht="18.75" customHeight="1" x14ac:dyDescent="0.25">
      <c r="A20" s="4"/>
      <c r="B20" s="30"/>
      <c r="C20" s="4" t="s">
        <v>3</v>
      </c>
      <c r="D20" s="11">
        <v>27794.639999999999</v>
      </c>
      <c r="E20" s="5"/>
    </row>
    <row r="21" spans="1:7" x14ac:dyDescent="0.25">
      <c r="A21" s="4"/>
      <c r="B21" s="4"/>
      <c r="C21" s="4" t="s">
        <v>4</v>
      </c>
      <c r="D21" s="11">
        <f>D20*16%</f>
        <v>4447.1423999999997</v>
      </c>
      <c r="E21" s="10"/>
    </row>
    <row r="22" spans="1:7" x14ac:dyDescent="0.25">
      <c r="A22" s="4"/>
      <c r="B22" s="31"/>
      <c r="C22" s="4" t="s">
        <v>5</v>
      </c>
      <c r="D22" s="11">
        <f>+D20+D21</f>
        <v>32241.7824</v>
      </c>
      <c r="E22" s="10"/>
    </row>
    <row r="23" spans="1:7" x14ac:dyDescent="0.25">
      <c r="A23" s="4"/>
      <c r="B23" s="16"/>
      <c r="C23" s="4"/>
      <c r="D23" s="4"/>
      <c r="E23" s="10"/>
    </row>
    <row r="24" spans="1:7" x14ac:dyDescent="0.25">
      <c r="A24" s="4"/>
      <c r="B24" s="16"/>
      <c r="C24" s="4"/>
      <c r="D24" s="4"/>
      <c r="E24" s="10"/>
    </row>
    <row r="25" spans="1:7" ht="30.75" customHeight="1" x14ac:dyDescent="0.25">
      <c r="A25" s="53" t="s">
        <v>41</v>
      </c>
      <c r="B25" s="53"/>
      <c r="C25" s="53"/>
      <c r="D25" s="53"/>
      <c r="E25" s="11"/>
      <c r="F25" s="11"/>
    </row>
    <row r="26" spans="1:7" ht="12" customHeight="1" x14ac:dyDescent="0.25">
      <c r="A26" s="55" t="s">
        <v>6</v>
      </c>
      <c r="B26" s="55"/>
      <c r="C26" s="55"/>
      <c r="D26" s="55"/>
      <c r="E26" s="5"/>
      <c r="F26" s="11"/>
    </row>
    <row r="27" spans="1:7" ht="57" customHeight="1" x14ac:dyDescent="0.25">
      <c r="A27" s="51" t="s">
        <v>35</v>
      </c>
      <c r="B27" s="51"/>
      <c r="C27" s="51"/>
      <c r="D27" s="51"/>
      <c r="E27" s="5"/>
      <c r="F27" s="11"/>
    </row>
    <row r="28" spans="1:7" ht="15" customHeight="1" x14ac:dyDescent="0.25">
      <c r="A28" s="55" t="s">
        <v>7</v>
      </c>
      <c r="B28" s="55"/>
      <c r="C28" s="55"/>
      <c r="D28" s="55"/>
      <c r="E28" s="5"/>
    </row>
    <row r="29" spans="1:7" ht="33.75" customHeight="1" x14ac:dyDescent="0.25">
      <c r="A29" s="51" t="s">
        <v>8</v>
      </c>
      <c r="B29" s="51"/>
      <c r="C29" s="51"/>
      <c r="D29" s="51"/>
    </row>
    <row r="30" spans="1:7" ht="51" customHeight="1" x14ac:dyDescent="0.25">
      <c r="A30" s="54" t="s">
        <v>9</v>
      </c>
      <c r="B30" s="54"/>
      <c r="C30" s="54"/>
      <c r="D30" s="54"/>
    </row>
    <row r="31" spans="1:7" ht="57" customHeight="1" x14ac:dyDescent="0.25">
      <c r="A31" s="54" t="s">
        <v>10</v>
      </c>
      <c r="B31" s="54"/>
      <c r="C31" s="54"/>
      <c r="D31" s="54"/>
    </row>
    <row r="32" spans="1:7" ht="25.5" customHeight="1" x14ac:dyDescent="0.25">
      <c r="A32" s="54" t="s">
        <v>11</v>
      </c>
      <c r="B32" s="54"/>
      <c r="C32" s="54"/>
      <c r="D32" s="54"/>
      <c r="E32" s="5"/>
    </row>
    <row r="33" spans="1:4" ht="72" customHeight="1" x14ac:dyDescent="0.25">
      <c r="A33" s="51" t="s">
        <v>12</v>
      </c>
      <c r="B33" s="51"/>
      <c r="C33" s="51"/>
      <c r="D33" s="51"/>
    </row>
    <row r="34" spans="1:4" ht="27.75" customHeight="1" x14ac:dyDescent="0.25">
      <c r="A34" s="51" t="s">
        <v>13</v>
      </c>
      <c r="B34" s="51"/>
      <c r="C34" s="51"/>
      <c r="D34" s="51"/>
    </row>
    <row r="35" spans="1:4" ht="61.5" customHeight="1" x14ac:dyDescent="0.25">
      <c r="A35" s="51" t="s">
        <v>14</v>
      </c>
      <c r="B35" s="51"/>
      <c r="C35" s="51"/>
      <c r="D35" s="51"/>
    </row>
    <row r="36" spans="1:4" ht="25.5" customHeight="1" x14ac:dyDescent="0.25">
      <c r="A36" s="51" t="s">
        <v>15</v>
      </c>
      <c r="B36" s="51"/>
      <c r="C36" s="51"/>
      <c r="D36" s="51"/>
    </row>
    <row r="37" spans="1:4" ht="68.25" customHeight="1" x14ac:dyDescent="0.25">
      <c r="A37" s="54" t="s">
        <v>16</v>
      </c>
      <c r="B37" s="54"/>
      <c r="C37" s="54"/>
      <c r="D37" s="54"/>
    </row>
    <row r="38" spans="1:4" ht="29.25" customHeight="1" x14ac:dyDescent="0.25">
      <c r="A38" s="51" t="s">
        <v>17</v>
      </c>
      <c r="B38" s="51"/>
      <c r="C38" s="51"/>
      <c r="D38" s="51"/>
    </row>
    <row r="39" spans="1:4" ht="22.5" customHeight="1" x14ac:dyDescent="0.25">
      <c r="A39" s="9" t="s">
        <v>18</v>
      </c>
      <c r="B39" s="21"/>
      <c r="C39" s="21"/>
      <c r="D39" s="21"/>
    </row>
    <row r="40" spans="1:4" ht="24" customHeight="1" x14ac:dyDescent="0.25">
      <c r="A40" s="25" t="s">
        <v>22</v>
      </c>
      <c r="B40" s="49" t="s">
        <v>31</v>
      </c>
      <c r="C40" s="49"/>
      <c r="D40" s="49"/>
    </row>
    <row r="41" spans="1:4" ht="19.5" customHeight="1" x14ac:dyDescent="0.25">
      <c r="A41" s="9"/>
      <c r="B41" s="21"/>
      <c r="C41" s="21"/>
      <c r="D41" s="21"/>
    </row>
    <row r="42" spans="1:4" ht="17.25" customHeight="1" x14ac:dyDescent="0.25">
      <c r="A42" s="9"/>
      <c r="B42" s="21"/>
      <c r="C42" s="21"/>
      <c r="D42" s="21"/>
    </row>
    <row r="43" spans="1:4" x14ac:dyDescent="0.25">
      <c r="A43" s="12" t="s">
        <v>36</v>
      </c>
      <c r="B43" s="21"/>
      <c r="C43" s="21"/>
      <c r="D43" s="21"/>
    </row>
    <row r="44" spans="1:4" x14ac:dyDescent="0.25">
      <c r="A44" s="13" t="s">
        <v>42</v>
      </c>
      <c r="B44" s="21"/>
      <c r="C44" s="21"/>
      <c r="D44" s="21"/>
    </row>
    <row r="45" spans="1:4" x14ac:dyDescent="0.25">
      <c r="A45" s="32"/>
      <c r="B45" s="32"/>
      <c r="C45" s="32"/>
      <c r="D45" s="32"/>
    </row>
    <row r="46" spans="1:4" x14ac:dyDescent="0.25">
      <c r="A46" s="32"/>
      <c r="B46" s="32"/>
      <c r="C46" s="32"/>
      <c r="D46" s="32"/>
    </row>
    <row r="47" spans="1:4" x14ac:dyDescent="0.25">
      <c r="A47" s="32"/>
      <c r="B47" s="32"/>
      <c r="C47" s="32"/>
      <c r="D47" s="32"/>
    </row>
    <row r="48" spans="1:4" x14ac:dyDescent="0.25">
      <c r="A48" s="32"/>
      <c r="B48" s="32"/>
      <c r="C48" s="32"/>
      <c r="D48" s="32"/>
    </row>
    <row r="49" spans="1:4" x14ac:dyDescent="0.25">
      <c r="A49" s="32"/>
      <c r="B49" s="32"/>
      <c r="C49" s="32"/>
      <c r="D49" s="32"/>
    </row>
    <row r="50" spans="1:4" x14ac:dyDescent="0.25">
      <c r="A50" s="32"/>
      <c r="B50" s="32"/>
      <c r="C50" s="32"/>
      <c r="D50" s="32"/>
    </row>
    <row r="51" spans="1:4" x14ac:dyDescent="0.25">
      <c r="A51" s="32"/>
      <c r="B51" s="32"/>
      <c r="C51" s="32"/>
      <c r="D51" s="32"/>
    </row>
    <row r="52" spans="1:4" x14ac:dyDescent="0.25">
      <c r="A52" s="32"/>
      <c r="B52" s="32"/>
      <c r="C52" s="32"/>
      <c r="D52" s="32"/>
    </row>
    <row r="53" spans="1:4" x14ac:dyDescent="0.25">
      <c r="A53" s="32"/>
      <c r="B53" s="32"/>
      <c r="C53" s="32"/>
      <c r="D53" s="32"/>
    </row>
    <row r="54" spans="1:4" x14ac:dyDescent="0.25">
      <c r="A54" s="32"/>
      <c r="B54" s="32"/>
      <c r="C54" s="32"/>
      <c r="D54" s="32"/>
    </row>
  </sheetData>
  <mergeCells count="20">
    <mergeCell ref="A1:D1"/>
    <mergeCell ref="A13:D13"/>
    <mergeCell ref="A36:D36"/>
    <mergeCell ref="A37:D37"/>
    <mergeCell ref="A33:D33"/>
    <mergeCell ref="B40:D40"/>
    <mergeCell ref="A4:D4"/>
    <mergeCell ref="A29:D29"/>
    <mergeCell ref="A27:D27"/>
    <mergeCell ref="A10:D10"/>
    <mergeCell ref="A25:D25"/>
    <mergeCell ref="A30:D30"/>
    <mergeCell ref="A16:D16"/>
    <mergeCell ref="A31:D31"/>
    <mergeCell ref="A32:D32"/>
    <mergeCell ref="A34:D34"/>
    <mergeCell ref="A35:D35"/>
    <mergeCell ref="A38:D38"/>
    <mergeCell ref="A28:D28"/>
    <mergeCell ref="A26:D26"/>
  </mergeCells>
  <pageMargins left="0.23622047244094491" right="0.23622047244094491" top="0.74803149606299213" bottom="0.74803149606299213" header="0.31496062992125984" footer="0.31496062992125984"/>
  <pageSetup paperSize="9" orientation="portrait" r:id="rId1"/>
  <headerFooter>
    <oddHeader>&amp;R&amp;G</oddHeader>
    <oddFooter>&amp;C&amp;G</oddFooter>
  </headerFooter>
  <rowBreaks count="1" manualBreakCount="1">
    <brk id="23" max="16383" man="1"/>
  </rowBreaks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4:O68"/>
  <sheetViews>
    <sheetView tabSelected="1" topLeftCell="A49" zoomScaleNormal="100" zoomScalePageLayoutView="50" workbookViewId="0">
      <selection activeCell="B53" sqref="B53"/>
    </sheetView>
  </sheetViews>
  <sheetFormatPr baseColWidth="10" defaultRowHeight="15" x14ac:dyDescent="0.25"/>
  <cols>
    <col min="1" max="1" width="5.85546875" style="15" customWidth="1"/>
    <col min="2" max="2" width="52.140625" customWidth="1"/>
    <col min="3" max="3" width="12.85546875" customWidth="1"/>
    <col min="4" max="4" width="11.42578125" customWidth="1"/>
    <col min="5" max="5" width="10.7109375" customWidth="1"/>
    <col min="6" max="6" width="10.5703125" customWidth="1"/>
  </cols>
  <sheetData>
    <row r="4" spans="2:6" x14ac:dyDescent="0.25">
      <c r="B4" s="20"/>
      <c r="C4" s="20"/>
      <c r="D4" s="20"/>
      <c r="E4" s="20"/>
      <c r="F4" s="20"/>
    </row>
    <row r="5" spans="2:6" x14ac:dyDescent="0.25">
      <c r="B5" s="20"/>
      <c r="C5" s="20"/>
      <c r="D5" s="20"/>
      <c r="E5" s="20"/>
      <c r="F5" s="20"/>
    </row>
    <row r="6" spans="2:6" x14ac:dyDescent="0.25">
      <c r="B6" s="20"/>
      <c r="C6" s="20"/>
      <c r="D6" s="20"/>
      <c r="E6" s="20"/>
      <c r="F6" s="20"/>
    </row>
    <row r="7" spans="2:6" x14ac:dyDescent="0.25">
      <c r="B7" s="20"/>
      <c r="C7" s="20"/>
      <c r="D7" s="20"/>
      <c r="E7" s="20"/>
      <c r="F7" s="20"/>
    </row>
    <row r="8" spans="2:6" x14ac:dyDescent="0.25">
      <c r="B8" s="20"/>
      <c r="C8" s="20"/>
      <c r="D8" s="20"/>
      <c r="E8" s="20"/>
      <c r="F8" s="20"/>
    </row>
    <row r="9" spans="2:6" x14ac:dyDescent="0.25">
      <c r="B9" s="20"/>
      <c r="C9" s="20"/>
      <c r="D9" s="20"/>
      <c r="E9" s="20"/>
      <c r="F9" s="20"/>
    </row>
    <row r="10" spans="2:6" x14ac:dyDescent="0.25">
      <c r="B10" s="20"/>
      <c r="C10" s="20"/>
      <c r="D10" s="20"/>
      <c r="E10" s="20"/>
      <c r="F10" s="20"/>
    </row>
    <row r="11" spans="2:6" x14ac:dyDescent="0.25">
      <c r="B11" s="50" t="s">
        <v>63</v>
      </c>
      <c r="C11" s="50"/>
      <c r="D11" s="50"/>
      <c r="E11" s="50"/>
      <c r="F11" s="50"/>
    </row>
    <row r="12" spans="2:6" x14ac:dyDescent="0.25">
      <c r="B12" s="18"/>
      <c r="C12" s="26"/>
      <c r="D12" s="26"/>
      <c r="E12" s="26"/>
      <c r="F12" s="26"/>
    </row>
    <row r="13" spans="2:6" x14ac:dyDescent="0.25">
      <c r="B13" s="26"/>
      <c r="C13" s="26"/>
      <c r="D13" s="26"/>
      <c r="E13" s="26"/>
      <c r="F13" s="26"/>
    </row>
    <row r="14" spans="2:6" ht="26.25" customHeight="1" x14ac:dyDescent="0.25">
      <c r="B14" s="43" t="s">
        <v>53</v>
      </c>
      <c r="C14" s="1"/>
      <c r="D14" s="20"/>
      <c r="E14" s="20"/>
      <c r="F14" s="20"/>
    </row>
    <row r="15" spans="2:6" x14ac:dyDescent="0.25">
      <c r="B15" s="1" t="s">
        <v>0</v>
      </c>
      <c r="C15" s="1"/>
      <c r="D15" s="20"/>
      <c r="E15" s="20"/>
      <c r="F15" s="20"/>
    </row>
    <row r="16" spans="2:6" x14ac:dyDescent="0.25">
      <c r="B16" s="8" t="s">
        <v>51</v>
      </c>
      <c r="C16" s="1"/>
      <c r="D16" s="20"/>
      <c r="E16" s="20"/>
      <c r="F16" s="20"/>
    </row>
    <row r="17" spans="2:6" x14ac:dyDescent="0.25">
      <c r="B17" s="8"/>
      <c r="C17" s="1"/>
      <c r="D17" s="20"/>
      <c r="E17" s="20"/>
      <c r="F17" s="20"/>
    </row>
    <row r="18" spans="2:6" x14ac:dyDescent="0.25">
      <c r="B18" s="66" t="s">
        <v>64</v>
      </c>
      <c r="C18" s="66"/>
      <c r="D18" s="66"/>
      <c r="E18" s="66"/>
      <c r="F18" s="66"/>
    </row>
    <row r="19" spans="2:6" x14ac:dyDescent="0.25">
      <c r="B19" s="38"/>
      <c r="C19" s="38"/>
      <c r="D19" s="38"/>
      <c r="E19" s="38"/>
      <c r="F19" s="38"/>
    </row>
    <row r="20" spans="2:6" x14ac:dyDescent="0.25">
      <c r="B20" s="38"/>
      <c r="C20" s="38"/>
      <c r="D20" s="38"/>
      <c r="E20" s="38"/>
      <c r="F20" s="38"/>
    </row>
    <row r="21" spans="2:6" x14ac:dyDescent="0.25">
      <c r="B21" s="67" t="s">
        <v>66</v>
      </c>
      <c r="C21" s="67"/>
      <c r="D21" s="67"/>
      <c r="E21" s="67"/>
      <c r="F21" s="67"/>
    </row>
    <row r="22" spans="2:6" ht="12.75" customHeight="1" x14ac:dyDescent="0.25">
      <c r="B22" s="8" t="s">
        <v>65</v>
      </c>
      <c r="C22" s="8"/>
      <c r="D22" s="21"/>
      <c r="E22" s="21"/>
      <c r="F22" s="21"/>
    </row>
    <row r="23" spans="2:6" ht="12.75" customHeight="1" x14ac:dyDescent="0.25">
      <c r="B23" s="8"/>
      <c r="C23" s="8"/>
      <c r="D23" s="21"/>
      <c r="E23" s="21"/>
      <c r="F23" s="21"/>
    </row>
    <row r="24" spans="2:6" ht="12.75" customHeight="1" x14ac:dyDescent="0.25">
      <c r="B24" s="8"/>
      <c r="C24" s="8"/>
      <c r="D24" s="21"/>
      <c r="E24" s="21"/>
      <c r="F24" s="21"/>
    </row>
    <row r="25" spans="2:6" ht="13.5" customHeight="1" x14ac:dyDescent="0.25">
      <c r="B25" s="9" t="s">
        <v>2</v>
      </c>
      <c r="C25" s="9"/>
      <c r="D25" s="21"/>
      <c r="E25" s="21"/>
      <c r="F25" s="21"/>
    </row>
    <row r="26" spans="2:6" ht="18" customHeight="1" x14ac:dyDescent="0.25">
      <c r="B26" s="63" t="s">
        <v>49</v>
      </c>
      <c r="C26" s="63"/>
      <c r="D26" s="63"/>
      <c r="E26" s="63"/>
      <c r="F26" s="63"/>
    </row>
    <row r="27" spans="2:6" ht="18" customHeight="1" x14ac:dyDescent="0.25">
      <c r="B27" s="34"/>
      <c r="C27" s="34"/>
      <c r="D27" s="34"/>
      <c r="E27" s="34"/>
      <c r="F27" s="34"/>
    </row>
    <row r="28" spans="2:6" ht="18" customHeight="1" x14ac:dyDescent="0.25">
      <c r="B28" s="34"/>
      <c r="C28" s="34"/>
      <c r="D28" s="34"/>
      <c r="E28" s="34"/>
      <c r="F28" s="34"/>
    </row>
    <row r="29" spans="2:6" x14ac:dyDescent="0.25">
      <c r="B29" s="8" t="s">
        <v>21</v>
      </c>
      <c r="C29" s="8"/>
      <c r="D29" s="18" t="s">
        <v>19</v>
      </c>
      <c r="E29" s="18" t="s">
        <v>25</v>
      </c>
      <c r="F29" s="17" t="s">
        <v>20</v>
      </c>
    </row>
    <row r="30" spans="2:6" x14ac:dyDescent="0.25">
      <c r="B30" s="7"/>
      <c r="C30" s="8"/>
      <c r="D30" s="17"/>
      <c r="E30" s="17"/>
      <c r="F30" s="17"/>
    </row>
    <row r="31" spans="2:6" x14ac:dyDescent="0.25">
      <c r="B31" s="41" t="s">
        <v>54</v>
      </c>
      <c r="C31" s="40" t="s">
        <v>46</v>
      </c>
      <c r="D31" s="39">
        <v>4</v>
      </c>
      <c r="E31" s="42">
        <v>1028.18</v>
      </c>
      <c r="F31" s="42">
        <f>D31*E31</f>
        <v>4112.72</v>
      </c>
    </row>
    <row r="32" spans="2:6" x14ac:dyDescent="0.25">
      <c r="B32" s="41" t="s">
        <v>55</v>
      </c>
      <c r="C32" s="40" t="s">
        <v>46</v>
      </c>
      <c r="D32" s="39">
        <v>6</v>
      </c>
      <c r="E32" s="42">
        <v>4797.13</v>
      </c>
      <c r="F32" s="42">
        <f t="shared" ref="F32:F34" si="0">D32*E32</f>
        <v>28782.78</v>
      </c>
    </row>
    <row r="33" spans="2:6" x14ac:dyDescent="0.25">
      <c r="B33" s="41" t="s">
        <v>56</v>
      </c>
      <c r="C33" s="40" t="s">
        <v>46</v>
      </c>
      <c r="D33" s="39">
        <v>2</v>
      </c>
      <c r="E33" s="42">
        <v>5023.57</v>
      </c>
      <c r="F33" s="42">
        <f t="shared" si="0"/>
        <v>10047.14</v>
      </c>
    </row>
    <row r="34" spans="2:6" x14ac:dyDescent="0.25">
      <c r="B34" s="44" t="s">
        <v>57</v>
      </c>
      <c r="C34" s="45" t="s">
        <v>58</v>
      </c>
      <c r="D34" s="46">
        <v>1</v>
      </c>
      <c r="E34" s="48">
        <v>12569.9</v>
      </c>
      <c r="F34" s="42">
        <f t="shared" si="0"/>
        <v>12569.9</v>
      </c>
    </row>
    <row r="35" spans="2:6" ht="38.25" x14ac:dyDescent="0.25">
      <c r="B35" s="47" t="s">
        <v>59</v>
      </c>
      <c r="C35" s="45"/>
      <c r="D35" s="46"/>
      <c r="E35" s="42"/>
      <c r="F35" s="42"/>
    </row>
    <row r="36" spans="2:6" ht="25.5" x14ac:dyDescent="0.25">
      <c r="B36" s="47" t="s">
        <v>60</v>
      </c>
      <c r="C36" s="45"/>
      <c r="D36" s="46"/>
      <c r="E36" s="4"/>
      <c r="F36" s="11"/>
    </row>
    <row r="37" spans="2:6" x14ac:dyDescent="0.25">
      <c r="B37" s="4"/>
      <c r="C37" s="4"/>
      <c r="D37" s="16"/>
      <c r="E37" s="4" t="s">
        <v>3</v>
      </c>
      <c r="F37" s="11">
        <f>F31+F32+F33+F34</f>
        <v>55512.54</v>
      </c>
    </row>
    <row r="38" spans="2:6" x14ac:dyDescent="0.25">
      <c r="B38" s="4"/>
      <c r="C38" s="4"/>
      <c r="D38" s="16"/>
      <c r="E38" s="4" t="s">
        <v>61</v>
      </c>
      <c r="F38" s="11">
        <v>2967</v>
      </c>
    </row>
    <row r="39" spans="2:6" x14ac:dyDescent="0.25">
      <c r="B39" s="4"/>
      <c r="C39" s="4"/>
      <c r="D39" s="16"/>
      <c r="E39" s="4" t="s">
        <v>62</v>
      </c>
      <c r="F39" s="11">
        <f>F37+F38</f>
        <v>58479.54</v>
      </c>
    </row>
    <row r="40" spans="2:6" x14ac:dyDescent="0.25">
      <c r="B40" s="4"/>
      <c r="C40" s="4"/>
      <c r="D40" s="16"/>
      <c r="E40" s="4" t="s">
        <v>44</v>
      </c>
      <c r="F40" s="11">
        <f>F39*16%</f>
        <v>9356.7263999999996</v>
      </c>
    </row>
    <row r="41" spans="2:6" x14ac:dyDescent="0.25">
      <c r="B41" s="4"/>
      <c r="C41" s="4"/>
      <c r="D41" s="16"/>
      <c r="E41" s="4" t="s">
        <v>45</v>
      </c>
      <c r="F41" s="11">
        <f>F37+F40</f>
        <v>64869.2664</v>
      </c>
    </row>
    <row r="42" spans="2:6" x14ac:dyDescent="0.25">
      <c r="B42" s="4"/>
      <c r="C42" s="4"/>
      <c r="D42" s="16"/>
      <c r="E42" s="4"/>
      <c r="F42" s="11"/>
    </row>
    <row r="43" spans="2:6" x14ac:dyDescent="0.25">
      <c r="B43" s="4"/>
      <c r="C43" s="4"/>
      <c r="D43" s="16"/>
      <c r="E43" s="4"/>
      <c r="F43" s="11"/>
    </row>
    <row r="44" spans="2:6" x14ac:dyDescent="0.25">
      <c r="B44" s="55" t="s">
        <v>23</v>
      </c>
      <c r="C44" s="68"/>
      <c r="D44" s="68"/>
      <c r="E44" s="68"/>
      <c r="F44" s="68"/>
    </row>
    <row r="45" spans="2:6" ht="27.75" customHeight="1" x14ac:dyDescent="0.25">
      <c r="B45" s="63" t="s">
        <v>26</v>
      </c>
      <c r="C45" s="63"/>
      <c r="D45" s="63"/>
      <c r="E45" s="63"/>
      <c r="F45" s="63"/>
    </row>
    <row r="46" spans="2:6" ht="17.25" customHeight="1" x14ac:dyDescent="0.25">
      <c r="B46" s="63" t="s">
        <v>27</v>
      </c>
      <c r="C46" s="63"/>
      <c r="D46" s="63"/>
      <c r="E46" s="63"/>
      <c r="F46" s="63"/>
    </row>
    <row r="47" spans="2:6" ht="15" customHeight="1" x14ac:dyDescent="0.25">
      <c r="B47" s="63" t="s">
        <v>28</v>
      </c>
      <c r="C47" s="63"/>
      <c r="D47" s="63"/>
      <c r="E47" s="63"/>
      <c r="F47" s="63"/>
    </row>
    <row r="48" spans="2:6" ht="18" customHeight="1" x14ac:dyDescent="0.25">
      <c r="B48" s="63" t="s">
        <v>29</v>
      </c>
      <c r="C48" s="63"/>
      <c r="D48" s="63"/>
      <c r="E48" s="63"/>
      <c r="F48" s="63"/>
    </row>
    <row r="49" spans="2:15" ht="96.75" customHeight="1" x14ac:dyDescent="0.25">
      <c r="B49" s="63" t="s">
        <v>30</v>
      </c>
      <c r="C49" s="63"/>
      <c r="D49" s="63"/>
      <c r="E49" s="63"/>
      <c r="F49" s="63"/>
    </row>
    <row r="50" spans="2:15" ht="14.25" customHeight="1" x14ac:dyDescent="0.25">
      <c r="B50" s="34"/>
      <c r="C50" s="34"/>
      <c r="D50" s="34"/>
      <c r="E50" s="34"/>
      <c r="F50" s="34"/>
    </row>
    <row r="51" spans="2:15" ht="14.25" customHeight="1" x14ac:dyDescent="0.25">
      <c r="B51" s="34"/>
      <c r="C51" s="34"/>
      <c r="D51" s="34"/>
      <c r="E51" s="34"/>
      <c r="F51" s="34"/>
    </row>
    <row r="52" spans="2:15" x14ac:dyDescent="0.25">
      <c r="B52" s="20"/>
      <c r="C52" s="20"/>
      <c r="D52" s="20"/>
      <c r="E52" s="20"/>
      <c r="F52" s="20"/>
      <c r="H52" s="14"/>
    </row>
    <row r="53" spans="2:15" x14ac:dyDescent="0.25">
      <c r="B53" s="18" t="s">
        <v>48</v>
      </c>
      <c r="C53" s="37"/>
      <c r="D53" s="62" t="s">
        <v>47</v>
      </c>
      <c r="E53" s="62"/>
      <c r="F53" s="62"/>
    </row>
    <row r="54" spans="2:15" x14ac:dyDescent="0.25">
      <c r="B54" s="9"/>
      <c r="C54" s="9"/>
      <c r="D54" s="21"/>
      <c r="E54" s="21"/>
      <c r="F54" s="21"/>
    </row>
    <row r="55" spans="2:15" x14ac:dyDescent="0.25">
      <c r="B55" s="9"/>
      <c r="C55" s="9"/>
      <c r="D55" s="21"/>
      <c r="E55" s="21"/>
      <c r="F55" s="21"/>
    </row>
    <row r="56" spans="2:15" x14ac:dyDescent="0.25">
      <c r="B56" s="12" t="s">
        <v>50</v>
      </c>
      <c r="C56" s="12"/>
      <c r="D56" s="12"/>
      <c r="E56" s="12"/>
      <c r="F56" s="12"/>
    </row>
    <row r="57" spans="2:15" ht="15" customHeight="1" x14ac:dyDescent="0.25">
      <c r="B57" s="36" t="s">
        <v>67</v>
      </c>
      <c r="C57" s="64" t="s">
        <v>52</v>
      </c>
      <c r="D57" s="65"/>
      <c r="E57" s="65"/>
      <c r="F57" s="65"/>
      <c r="G57" s="65"/>
    </row>
    <row r="58" spans="2:15" x14ac:dyDescent="0.25">
      <c r="B58" s="23"/>
      <c r="C58" s="35"/>
      <c r="D58" s="35"/>
      <c r="E58" s="35"/>
      <c r="F58" s="35"/>
    </row>
    <row r="59" spans="2:15" x14ac:dyDescent="0.25">
      <c r="B59" s="23"/>
      <c r="C59" s="35"/>
      <c r="D59" s="35"/>
      <c r="E59" s="35"/>
      <c r="F59" s="35"/>
    </row>
    <row r="60" spans="2:15" x14ac:dyDescent="0.25">
      <c r="B60" s="13"/>
      <c r="C60" s="13"/>
      <c r="D60" s="21"/>
      <c r="E60" s="21"/>
      <c r="F60" s="21"/>
    </row>
    <row r="61" spans="2:15" x14ac:dyDescent="0.25">
      <c r="B61" s="60" t="s">
        <v>24</v>
      </c>
      <c r="C61" s="60"/>
      <c r="D61" s="61"/>
      <c r="E61" s="61"/>
      <c r="F61" s="61"/>
      <c r="G61" s="19"/>
      <c r="H61" s="19"/>
      <c r="I61" s="19"/>
      <c r="J61" s="19"/>
      <c r="K61" s="19"/>
      <c r="L61" s="19"/>
      <c r="M61" s="19"/>
      <c r="N61" s="19"/>
      <c r="O61" s="19"/>
    </row>
    <row r="62" spans="2:15" x14ac:dyDescent="0.25">
      <c r="B62" s="61"/>
      <c r="C62" s="61"/>
      <c r="D62" s="61"/>
      <c r="E62" s="61"/>
      <c r="F62" s="61"/>
      <c r="G62" s="19"/>
      <c r="H62" s="19"/>
      <c r="I62" s="19"/>
      <c r="J62" s="19"/>
      <c r="K62" s="19"/>
      <c r="L62" s="19"/>
      <c r="M62" s="19"/>
      <c r="N62" s="19"/>
      <c r="O62" s="19"/>
    </row>
    <row r="63" spans="2:15" ht="4.5" customHeight="1" x14ac:dyDescent="0.25">
      <c r="B63" s="61"/>
      <c r="C63" s="61"/>
      <c r="D63" s="61"/>
      <c r="E63" s="61"/>
      <c r="F63" s="61"/>
      <c r="G63" s="19"/>
      <c r="H63" s="19"/>
      <c r="I63" s="19"/>
      <c r="J63" s="19"/>
      <c r="K63" s="19"/>
      <c r="L63" s="19"/>
      <c r="M63" s="19"/>
      <c r="N63" s="19"/>
      <c r="O63" s="19"/>
    </row>
    <row r="64" spans="2:15" hidden="1" x14ac:dyDescent="0.25">
      <c r="B64" s="61"/>
      <c r="C64" s="61"/>
      <c r="D64" s="61"/>
      <c r="E64" s="61"/>
      <c r="F64" s="61"/>
      <c r="G64" s="19"/>
      <c r="H64" s="19"/>
      <c r="I64" s="19"/>
      <c r="J64" s="19"/>
      <c r="K64" s="19"/>
      <c r="L64" s="19"/>
      <c r="M64" s="19"/>
      <c r="N64" s="19"/>
      <c r="O64" s="19"/>
    </row>
    <row r="65" spans="2:15" x14ac:dyDescent="0.25"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</row>
    <row r="66" spans="2:15" x14ac:dyDescent="0.25"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</row>
    <row r="67" spans="2:15" x14ac:dyDescent="0.25"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</row>
    <row r="68" spans="2:15" x14ac:dyDescent="0.25"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</row>
  </sheetData>
  <mergeCells count="13">
    <mergeCell ref="B11:F11"/>
    <mergeCell ref="B18:F18"/>
    <mergeCell ref="B21:F21"/>
    <mergeCell ref="B26:F26"/>
    <mergeCell ref="B49:F49"/>
    <mergeCell ref="B44:F44"/>
    <mergeCell ref="B61:F64"/>
    <mergeCell ref="D53:F53"/>
    <mergeCell ref="B45:F45"/>
    <mergeCell ref="B46:F46"/>
    <mergeCell ref="B47:F47"/>
    <mergeCell ref="B48:F48"/>
    <mergeCell ref="C57:G57"/>
  </mergeCells>
  <pageMargins left="0.7" right="0.7" top="0.75" bottom="0.75" header="0.3" footer="0.3"/>
  <pageSetup paperSize="9" scale="70"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SUMINISTRO Y APLICACION</vt:lpstr>
      <vt:lpstr>SUMINISTRO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chisa</dc:creator>
  <cp:lastModifiedBy>ventas chisa</cp:lastModifiedBy>
  <cp:lastPrinted>2026-01-08T19:16:43Z</cp:lastPrinted>
  <dcterms:created xsi:type="dcterms:W3CDTF">2020-12-14T19:54:01Z</dcterms:created>
  <dcterms:modified xsi:type="dcterms:W3CDTF">2026-01-08T19:17:42Z</dcterms:modified>
</cp:coreProperties>
</file>