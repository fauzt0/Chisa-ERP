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3F1EE04-052B-44AB-A94B-55AEC71509F1}" xr6:coauthVersionLast="47" xr6:coauthVersionMax="47" xr10:uidLastSave="{00000000-0000-0000-0000-000000000000}"/>
  <bookViews>
    <workbookView xWindow="-120" yWindow="-120" windowWidth="20730" windowHeight="11160" activeTab="2" xr2:uid="{00000000-000D-0000-FFFF-FFFF00000000}"/>
  </bookViews>
  <sheets>
    <sheet name="Gráfico1" sheetId="4" r:id="rId1"/>
    <sheet name="SUMINISTRO Y APLICACION" sheetId="1" r:id="rId2"/>
    <sheet name="SUMINISTRO"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30" i="3"/>
  <c r="F24" i="3"/>
  <c r="F23" i="3"/>
  <c r="F28" i="3" l="1"/>
  <c r="E25" i="1"/>
  <c r="E27" i="1" s="1"/>
  <c r="E28" i="1" l="1"/>
  <c r="E29" i="1" s="1"/>
</calcChain>
</file>

<file path=xl/sharedStrings.xml><?xml version="1.0" encoding="utf-8"?>
<sst xmlns="http://schemas.openxmlformats.org/spreadsheetml/2006/main" count="64" uniqueCount="58">
  <si>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</si>
  <si>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</si>
  <si>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</si>
  <si>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</si>
  <si>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</si>
  <si>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</si>
  <si>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</si>
  <si>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</si>
  <si>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</si>
  <si>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</si>
  <si>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</si>
  <si>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</si>
  <si>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</si>
  <si>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</si>
  <si>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</si>
  <si>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</si>
  <si>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</si>
  <si>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</si>
  <si>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</si>
  <si>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</si>
  <si>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</si>
  <si>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</si>
  <si>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</si>
  <si>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 xml:space="preserve">PRESENTAMOS A SU AMABLE CONSIDERACIÓN EL PRESUPUESTO DE SUMINISTRO DE LOS SIGUIENTES MATERIALES: </t>
  </si>
  <si>
    <t xml:space="preserve">NOTAS: </t>
  </si>
  <si>
    <t>CUBETAS</t>
  </si>
  <si>
    <r>
      <t xml:space="preserve">PRECIO  U.                </t>
    </r>
    <r>
      <rPr>
        <sz val="9"/>
        <color theme="1"/>
        <rFont val="Times New Roman"/>
        <family val="1"/>
      </rPr>
      <t xml:space="preserve">       </t>
    </r>
  </si>
  <si>
    <t>4.-PRECIOS CONSIDERADOS EN LA COMPRA TOTAL EN UNA SOLA EXHIBICION.</t>
  </si>
  <si>
    <t>UNIDAD</t>
  </si>
  <si>
    <r>
      <t>PRESENTAMOS  A  SU AMABLE  CONSIDERACIÓN EL PRESUPUESTO DE SUMINISTRO Y APLICACIÓN  DE  LOS SIGUIENTES CONCEPTOS.</t>
    </r>
    <r>
      <rPr>
        <b/>
        <sz val="9"/>
        <color theme="1"/>
        <rFont val="Times New Roman"/>
        <family val="1"/>
      </rPr>
      <t xml:space="preserve">                                                   </t>
    </r>
  </si>
  <si>
    <t xml:space="preserve">                                   ACEPTO</t>
  </si>
  <si>
    <t xml:space="preserve"> ATENTAMENTE</t>
  </si>
  <si>
    <t xml:space="preserve">                                                                 </t>
  </si>
  <si>
    <r>
      <rPr>
        <b/>
        <sz val="9"/>
        <color theme="1"/>
        <rFont val="Times New Roman"/>
        <family val="1"/>
      </rPr>
      <t>NOTA:</t>
    </r>
    <r>
      <rPr>
        <sz val="9"/>
        <color theme="1"/>
        <rFont val="Times New Roman"/>
        <family val="1"/>
      </rPr>
      <t xml:space="preserve"> PARA LA EJECUCIÓN DE LOS VOLUMENES PLASMADOS EN ESTE PRESUPUESTO ES NECESARIO CONTAR CON UN MINIMO DEL</t>
    </r>
    <r>
      <rPr>
        <b/>
        <sz val="9"/>
        <color theme="1"/>
        <rFont val="Times New Roman"/>
        <family val="1"/>
      </rPr>
      <t xml:space="preserve"> 70%</t>
    </r>
    <r>
      <rPr>
        <sz val="9"/>
        <color theme="1"/>
        <rFont val="Times New Roman"/>
        <family val="1"/>
      </rPr>
      <t xml:space="preserve"> DEL AREA TOTAL,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</si>
  <si>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OYM, S.A DE C.V </t>
  </si>
  <si>
    <t>OBRA: HOSPITAL REGIONAL TOLUCA, ISSEMYM</t>
  </si>
  <si>
    <t xml:space="preserve">AT´N: C. CARMEN FARFAN ZARAGOZA </t>
  </si>
  <si>
    <t>CIUDAD DE MEXICO A 01 DE ABRIL DEL 2025</t>
  </si>
  <si>
    <t>PRES. REF. 15963/2025MS</t>
  </si>
  <si>
    <r>
      <t xml:space="preserve">FORMA DE PAGO Y CONSIDERACIONES GENERALES CORRESPONDIENTES AL PRESUPUESTO </t>
    </r>
    <r>
      <rPr>
        <b/>
        <sz val="9"/>
        <color theme="1"/>
        <rFont val="Times New Roman"/>
        <family val="1"/>
      </rPr>
      <t>REF. 15963/2025MS</t>
    </r>
  </si>
  <si>
    <t xml:space="preserve">                C. CARMEN FARFAN ZARAGOZA                                                                  CHISA RECUBRIMIENTOS, S.A. DE C.V</t>
  </si>
  <si>
    <r>
      <t xml:space="preserve">1.-SUMINISTRO Y APLICACIÓN DE CHISA CLEAN PARA REPARACION DE RECUBRIMIENTO MARMO FLEX (GRANO PLANCHADO), REF-S.M.A. EN PANEL DAÑADO, INCLUYE: </t>
    </r>
    <r>
      <rPr>
        <sz val="9"/>
        <color theme="1"/>
        <rFont val="Times New Roman"/>
        <family val="1"/>
      </rPr>
      <t>LIMPIEZA DE LA SUPERFICIE, APLICACIÓN DE CHISA CLEAN CON ASPERSOR PROFESIONAL DE USO MANUAL , PROTECCION DE SUPERFICIES ADYACENTES  CON PAPEL Y MASKING TAPE, LIMPIEZA Y  RETIRO DE SOBRANTES PROPIOS HASTA EL LUGAR INDICADO DENTRO DE  LA OBRA, Y MANO DE OBRA ESPECIALIZADA,   Y  DEMAS DERIVADOS DEL USO DE HERRAMIENTA. INCLUYE ANDAMIAJE.</t>
    </r>
  </si>
  <si>
    <r>
      <t>EN CASO DE SER ACEPTADO EL PRESENTE PRESUPUESTO REQUERIMOS DEL 7</t>
    </r>
    <r>
      <rPr>
        <b/>
        <sz val="9"/>
        <color theme="1"/>
        <rFont val="Times New Roman"/>
        <family val="1"/>
      </rPr>
      <t>0% COMO ANTICIPO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</si>
  <si>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CIUDAD DE MEXICO A 14 AGOSTO DEL 2026</t>
  </si>
  <si>
    <t>CONSTRUCTORA: CONSTRUCTORA RECO</t>
  </si>
  <si>
    <t>AT´N: GICELA ANGEL</t>
  </si>
  <si>
    <t>PRES. REF. 16662-S/2026</t>
  </si>
  <si>
    <t>1.- PRAIMER GLASS REF S.M.A. (85 M2)</t>
  </si>
  <si>
    <t>2.-MARMO FLEX (5 M2)</t>
  </si>
  <si>
    <t>1.-EL PRESENTE PRESUPUESTO TIENE UNA VIGENCIA DE 5 DIAS HABILES, AL TERMINO  DE ESTA FECHA,   NUESTROS PRECIOS PODRIAN CAMBIAR SIN PREVIO AVISO, EN EL MARGEN QUE VARIEN  NUESTRAS MATERIAS PRIMAS.</t>
  </si>
  <si>
    <t>3.-ENTREGA DE MATERIALES L.A.B. EN LA PLANTA DE HAPA SOLUCIONES,  S.A. DE C.V.</t>
  </si>
  <si>
    <t xml:space="preserve">  A T E N T A M E N T E</t>
  </si>
  <si>
    <t>HAPA SOLUCIONES INTEGRALES EN RECUBRIMIENTOS</t>
  </si>
  <si>
    <t>_______________________________________</t>
  </si>
  <si>
    <r>
      <t xml:space="preserve">2.-AL ACEPTAR EL PRESENTE PRESUPUESTO REQUERIMOS DEL </t>
    </r>
    <r>
      <rPr>
        <b/>
        <sz val="12"/>
        <color theme="1"/>
        <rFont val="Times New Roman"/>
        <family val="1"/>
      </rPr>
      <t>PAGO TOTAL ANTICIPADO</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</si>
  <si>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12"/>
        <color rgb="FF002060"/>
        <rFont val="Times New Roman"/>
        <family val="1"/>
      </rPr>
      <t>www.hapasoluciones.com.mx</t>
    </r>
  </si>
  <si>
    <t>ENVIO</t>
  </si>
  <si>
    <t>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</si>
</sst>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sz val="8"/>
      <name val="Calibri"/>
      <family val="2"/>
      <scheme val="minor"/>
    </font>
    <font>
      <sz val="9"/>
      <color theme="1"/>
      <name val="Calibri"/>
      <family val="2"/>
      <scheme val="minor"/>
    </font>
    <font>
      <sz val="12"/>
      <color theme="1"/>
      <name val="Calibri"/>
      <family val="2"/>
      <scheme val="minor"/>
    </font>
    <font>
      <sz val="12"/>
      <color theme="1"/>
      <name val="Times New Roman"/>
      <family val="1"/>
    </font>
    <font>
      <b/>
      <sz val="12"/>
      <color theme="1"/>
      <name val="Times New Roman"/>
      <family val="1"/>
    </font>
    <font>
      <b/>
      <u/>
      <sz val="12"/>
      <color theme="1"/>
      <name val="Times New Roman"/>
      <family val="1"/>
    </font>
    <font>
      <sz val="10"/>
      <name val="Arial"/>
      <family val="2"/>
    </font>
    <font>
      <u/>
      <sz val="12"/>
      <color rgb="FF002060"/>
      <name val="Times New Roman"/>
      <family val="1"/>
    </font>
  </fonts>
  <fills count="2">
    <fill>
      <patternFill patternType="none"/>
    </fill>
    <fill>
      <patternFill patternType="gray125"/>
    </fill>
  </fills>
  <borders count="1">
    <border>
      <left/>
      <right/>
      <top/>
      <bottom/>
      <diagonal/>
    </border>
  </borders>
  <cellStyleXfs count="73">
    <xf numFmtId="0" fontId="0" fillId="0" borderId="0"/>
    <xf numFmtId="44"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4"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justify" vertical="center"/>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2" fillId="0" borderId="0" xfId="0" applyFont="1" applyAlignment="1">
      <alignment horizontal="right" vertical="center"/>
    </xf>
    <xf numFmtId="0" fontId="7" fillId="0" borderId="0" xfId="0" applyFont="1"/>
    <xf numFmtId="0" fontId="1" fillId="0" borderId="0" xfId="0" applyFont="1"/>
    <xf numFmtId="0" fontId="1" fillId="0" borderId="0" xfId="0" applyFont="1" applyAlignment="1">
      <alignment horizontal="center" vertical="center"/>
    </xf>
    <xf numFmtId="0" fontId="9" fillId="0" borderId="0" xfId="0" applyFont="1" applyAlignment="1">
      <alignment horizontal="justify"/>
    </xf>
    <xf numFmtId="0" fontId="0" fillId="0" borderId="0" xfId="0" applyAlignment="1">
      <alignment horizontal="justify" vertical="top" wrapText="1"/>
    </xf>
    <xf numFmtId="0" fontId="10" fillId="0" borderId="0" xfId="0" applyFont="1"/>
    <xf numFmtId="0" fontId="11" fillId="0" borderId="0" xfId="0" applyFont="1" applyAlignment="1">
      <alignment horizontal="right" vertical="center"/>
    </xf>
    <xf numFmtId="0" fontId="12" fillId="0" borderId="0" xfId="0" applyFont="1" applyAlignment="1">
      <alignment vertical="center"/>
    </xf>
    <xf numFmtId="0" fontId="12" fillId="0" borderId="0" xfId="0" applyFont="1" applyAlignment="1">
      <alignment horizontal="right" vertical="center"/>
    </xf>
    <xf numFmtId="0" fontId="10" fillId="0" borderId="0" xfId="0" applyFont="1" applyAlignment="1">
      <alignment horizontal="justify"/>
    </xf>
    <xf numFmtId="0" fontId="12" fillId="0" borderId="0" xfId="0" applyFont="1" applyAlignment="1">
      <alignment horizontal="justify" vertical="center"/>
    </xf>
    <xf numFmtId="44" fontId="11" fillId="0" borderId="0" xfId="1" applyFont="1" applyAlignment="1">
      <alignment horizontal="right" wrapText="1"/>
    </xf>
    <xf numFmtId="0" fontId="11" fillId="0" borderId="0" xfId="0" applyFont="1" applyAlignment="1">
      <alignment horizontal="justify" vertical="center"/>
    </xf>
    <xf numFmtId="0" fontId="13" fillId="0" borderId="0" xfId="0" applyFont="1" applyAlignment="1">
      <alignment horizontal="right" vertical="top" wrapText="1"/>
    </xf>
    <xf numFmtId="4" fontId="11" fillId="0" borderId="0" xfId="0" applyNumberFormat="1" applyFont="1" applyAlignment="1">
      <alignment horizontal="right" wrapText="1"/>
    </xf>
    <xf numFmtId="0" fontId="11" fillId="0" borderId="0" xfId="0" applyFont="1" applyAlignment="1">
      <alignment horizontal="justify" vertical="center" wrapText="1"/>
    </xf>
    <xf numFmtId="0" fontId="11" fillId="0" borderId="0" xfId="0" applyFont="1" applyAlignment="1">
      <alignment horizontal="justify" vertical="top" wrapText="1"/>
    </xf>
    <xf numFmtId="0" fontId="5" fillId="0" borderId="0" xfId="0" applyFont="1" applyAlignment="1">
      <alignment horizontal="justify" vertical="center"/>
    </xf>
    <xf numFmtId="0" fontId="1" fillId="0" borderId="0" xfId="0" applyFont="1" applyAlignment="1">
      <alignment horizontal="center" wrapText="1"/>
    </xf>
    <xf numFmtId="4" fontId="1" fillId="0" borderId="0" xfId="0" applyNumberFormat="1" applyFont="1" applyAlignment="1">
      <alignment horizontal="center" wrapText="1"/>
    </xf>
    <xf numFmtId="0" fontId="1" fillId="0" borderId="0" xfId="0" applyFont="1" applyAlignment="1">
      <alignment horizontal="justify" vertical="center" wrapText="1"/>
    </xf>
    <xf numFmtId="0" fontId="0" fillId="0" borderId="0" xfId="0" applyAlignment="1">
      <alignment wrapText="1"/>
    </xf>
    <xf numFmtId="0" fontId="1" fillId="0" borderId="0" xfId="0" applyFont="1" applyAlignment="1">
      <alignment horizontal="justify" vertical="top" wrapText="1"/>
    </xf>
    <xf numFmtId="0" fontId="1" fillId="0" borderId="0" xfId="0" applyFont="1" applyAlignment="1">
      <alignment horizontal="left"/>
    </xf>
    <xf numFmtId="0" fontId="2" fillId="0" borderId="0" xfId="0" applyFont="1" applyAlignment="1">
      <alignment horizontal="center" vertical="center" wrapText="1"/>
    </xf>
    <xf numFmtId="0" fontId="0" fillId="0" borderId="0" xfId="0"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wrapText="1"/>
    </xf>
    <xf numFmtId="0" fontId="1" fillId="0" borderId="0" xfId="0" applyFont="1" applyAlignment="1">
      <alignment horizontal="left" vertical="top"/>
    </xf>
    <xf numFmtId="0" fontId="11" fillId="0" borderId="0" xfId="0" applyFont="1" applyAlignment="1">
      <alignment horizontal="left" vertical="top" wrapText="1"/>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11" fillId="0" borderId="0" xfId="0" applyFont="1" applyAlignment="1">
      <alignment horizontal="justify" vertical="justify" wrapText="1"/>
    </xf>
    <xf numFmtId="0" fontId="11" fillId="0" borderId="0" xfId="0" applyFont="1" applyAlignment="1">
      <alignment horizontal="justify"/>
    </xf>
    <xf numFmtId="0" fontId="10" fillId="0" borderId="0" xfId="0" applyFont="1" applyAlignment="1">
      <alignment horizontal="center"/>
    </xf>
    <xf numFmtId="8" fontId="11" fillId="0" borderId="0" xfId="0" applyNumberFormat="1" applyFont="1" applyAlignment="1">
      <alignment horizontal="right" wrapText="1"/>
    </xf>
    <xf numFmtId="0" fontId="11" fillId="0" borderId="0" xfId="0" applyFont="1" applyAlignment="1">
      <alignment horizontal="justify" vertical="justify" wrapText="1"/>
    </xf>
    <xf numFmtId="0" fontId="11" fillId="0" borderId="0" xfId="0" applyFont="1" applyAlignment="1">
      <alignment horizontal="right" vertical="center" wrapText="1"/>
    </xf>
    <xf numFmtId="0" fontId="11" fillId="0" borderId="0" xfId="0" applyFont="1" applyAlignment="1">
      <alignment horizontal="right" vertical="center"/>
    </xf>
    <xf numFmtId="0" fontId="10" fillId="0" borderId="0" xfId="0" applyFont="1" applyAlignment="1">
      <alignment horizontal="center"/>
    </xf>
    <xf numFmtId="0" fontId="10" fillId="0" borderId="0" xfId="0" applyFont="1" applyAlignment="1">
      <alignment horizontal="justify" vertical="justify" wrapText="1"/>
    </xf>
    <xf numFmtId="0" fontId="12" fillId="0" borderId="0" xfId="0" applyFont="1" applyAlignment="1">
      <alignment horizontal="center" vertical="center"/>
    </xf>
    <xf numFmtId="0" fontId="11" fillId="0" borderId="0" xfId="0" applyFont="1"/>
    <xf numFmtId="0" fontId="11" fillId="0" borderId="0" xfId="0" applyFont="1" applyAlignment="1">
      <alignment horizontal="center" wrapText="1"/>
    </xf>
    <xf numFmtId="0" fontId="10" fillId="0" borderId="0" xfId="0" applyFont="1" applyAlignment="1">
      <alignment horizontal="center" vertical="top"/>
    </xf>
    <xf numFmtId="0" fontId="10" fillId="0" borderId="0" xfId="0" applyFont="1" applyAlignment="1">
      <alignment horizontal="right" vertical="top"/>
    </xf>
    <xf numFmtId="167" fontId="11" fillId="0" borderId="0" xfId="42" applyFont="1" applyAlignment="1">
      <alignment horizontal="center" wrapText="1"/>
    </xf>
    <xf numFmtId="0" fontId="12" fillId="0" borderId="0" xfId="0" applyFont="1" applyAlignment="1">
      <alignment horizontal="center" vertical="center"/>
    </xf>
    <xf numFmtId="0" fontId="11" fillId="0" borderId="0" xfId="0" applyFont="1" applyAlignment="1">
      <alignment horizontal="right" wrapText="1"/>
    </xf>
    <xf numFmtId="0" fontId="12" fillId="0" borderId="0" xfId="0" applyFont="1" applyAlignment="1">
      <alignment horizontal="right" vertical="center"/>
    </xf>
    <xf numFmtId="0" fontId="13" fillId="0" borderId="0" xfId="0" applyFont="1" applyAlignment="1">
      <alignment horizontal="justify" vertical="top" wrapText="1"/>
    </xf>
    <xf numFmtId="0" fontId="13" fillId="0" borderId="0" xfId="0" applyFont="1" applyAlignment="1">
      <alignment horizontal="justify" wrapText="1"/>
    </xf>
    <xf numFmtId="0" fontId="12" fillId="0" borderId="0" xfId="0" applyFont="1" applyAlignment="1">
      <alignment horizontal="left" vertical="center"/>
    </xf>
    <xf numFmtId="0" fontId="0" fillId="0" borderId="0" xfId="0" applyAlignment="1"/>
    <xf numFmtId="167" fontId="11" fillId="0" borderId="0" xfId="42" applyFont="1" applyAlignment="1">
      <alignment horizontal="right" wrapText="1"/>
    </xf>
    <xf numFmtId="44" fontId="11" fillId="0" borderId="0" xfId="1" applyFont="1" applyAlignment="1">
      <alignment horizontal="right" vertical="center" wrapText="1"/>
    </xf>
    <xf numFmtId="0" fontId="0" fillId="0" borderId="0" xfId="0"/>
    <xf numFmtId="0" fontId="0" fillId="0" borderId="0" xfId="0" applyAlignment="1">
      <alignment horizontal="right" vertical="top"/>
    </xf>
    <xf numFmtId="0" fontId="1" fillId="0" borderId="0" xfId="0" applyFont="1"/>
    <xf numFmtId="0" fontId="0" fillId="0" borderId="0" xfId="0" applyAlignment="1">
      <alignment horizontal="center"/>
    </xf>
  </cellXfs>
  <cellStyles count="73">
    <cellStyle name="Moneda" xfId="1" builtinId="4"/>
    <cellStyle name="Moneda 10" xfId="42" xr:uid="{B1133227-9B55-40A3-99BD-7C0960AEE48A}"/>
    <cellStyle name="Moneda 11" xfId="71" xr:uid="{E05DBBB1-D4A2-4AAE-A631-15F5D5D392C9}"/>
    <cellStyle name="Moneda 12" xfId="36" xr:uid="{6BA7CFA3-26E9-4454-A749-FA03F0540B5B}"/>
    <cellStyle name="Moneda 13" xfId="72" xr:uid="{5162D789-2948-40CE-B154-BC078D53AB8D}"/>
    <cellStyle name="Moneda 14" xfId="3" xr:uid="{A5C1B037-9484-41C1-B67D-81BD89B7689E}"/>
    <cellStyle name="Moneda 15" xfId="2" xr:uid="{8828075C-211E-416E-8C17-4A3350EB847D}"/>
    <cellStyle name="Moneda 2" xfId="5" xr:uid="{A48B9A49-3DD6-485A-B60E-8682EE8EEFCD}"/>
    <cellStyle name="Moneda 2 2" xfId="8" xr:uid="{1369FC31-74FC-4AAA-A8E8-85B5A88B82C0}"/>
    <cellStyle name="Moneda 2 2 2" xfId="15" xr:uid="{93B96518-48A1-449D-8FA2-4D7FBAF84BFE}"/>
    <cellStyle name="Moneda 2 2 2 2" xfId="31" xr:uid="{3EBF1D24-EBAD-4603-A0E0-B54CF86B86D9}"/>
    <cellStyle name="Moneda 2 2 2 3" xfId="54" xr:uid="{433E0E09-F0F8-4922-9834-785B0C518ED3}"/>
    <cellStyle name="Moneda 2 2 3" xfId="24" xr:uid="{043D5701-23F5-4402-858F-F90EE29E18CC}"/>
    <cellStyle name="Moneda 2 2 3 2" xfId="63" xr:uid="{1F52FD04-1799-448A-9524-18421D563005}"/>
    <cellStyle name="Moneda 2 2 4" xfId="70" xr:uid="{7AB59568-06C6-471D-84F8-179662625D31}"/>
    <cellStyle name="Moneda 2 2 5" xfId="47" xr:uid="{94DC0033-450D-405F-9C2B-D70CF79AE0C5}"/>
    <cellStyle name="Moneda 2 2 6" xfId="41" xr:uid="{CAE47AB9-4404-488D-9F0A-8CEA511B9B44}"/>
    <cellStyle name="Moneda 2 3" xfId="12" xr:uid="{C22D7FF6-4FBF-400D-B582-98427893E28B}"/>
    <cellStyle name="Moneda 2 3 2" xfId="28" xr:uid="{D96EDDDE-A136-4FC4-B1F8-2990C5657C15}"/>
    <cellStyle name="Moneda 2 3 3" xfId="51" xr:uid="{6BE68767-1291-4E88-B700-F13599D9D226}"/>
    <cellStyle name="Moneda 2 4" xfId="18" xr:uid="{23AEF9BD-A82E-49FF-A87A-993ED23E109B}"/>
    <cellStyle name="Moneda 2 4 2" xfId="34" xr:uid="{2C79ECA3-2F7E-4AA0-97C3-6C941C86E0AE}"/>
    <cellStyle name="Moneda 2 4 3" xfId="57" xr:uid="{66DC0D2C-82D6-45D9-998F-485950EE5703}"/>
    <cellStyle name="Moneda 2 5" xfId="21" xr:uid="{EB2D39D3-FCC9-4BE6-9D64-CB65C1EFCF77}"/>
    <cellStyle name="Moneda 2 5 2" xfId="60" xr:uid="{4273CBD5-1DCC-4510-A5CD-E082A375B7CE}"/>
    <cellStyle name="Moneda 2 6" xfId="66" xr:uid="{D395D141-D592-460E-8001-7A50D12FD417}"/>
    <cellStyle name="Moneda 2 7" xfId="44" xr:uid="{047C6737-B1C6-4521-B69C-2B99925DD5EC}"/>
    <cellStyle name="Moneda 2 8" xfId="38" xr:uid="{3714BEF2-ACFA-4B6F-AAEA-ED680C8AB774}"/>
    <cellStyle name="Moneda 3" xfId="4" xr:uid="{CECA6B4D-CA88-45A6-8AE2-6E8521730597}"/>
    <cellStyle name="Moneda 3 2" xfId="7" xr:uid="{06A2EF18-E486-4C8D-8B73-ABBE15F4AB1E}"/>
    <cellStyle name="Moneda 3 2 2" xfId="14" xr:uid="{15F18519-89F8-427C-BC3E-BCCBEB2701D5}"/>
    <cellStyle name="Moneda 3 2 2 2" xfId="30" xr:uid="{84555FEB-601E-4A59-AB42-932E950B4128}"/>
    <cellStyle name="Moneda 3 2 2 3" xfId="53" xr:uid="{F9D0A178-F266-44AC-8722-774EBEEAFE76}"/>
    <cellStyle name="Moneda 3 2 3" xfId="23" xr:uid="{EAFC3276-8199-4A86-A19B-2F89AE572BD2}"/>
    <cellStyle name="Moneda 3 2 3 2" xfId="62" xr:uid="{1FAACCC4-ECDB-47EF-85D6-26FB798D2835}"/>
    <cellStyle name="Moneda 3 2 4" xfId="69" xr:uid="{57B9F846-0A15-4B81-806B-034C79851BFB}"/>
    <cellStyle name="Moneda 3 2 5" xfId="46" xr:uid="{A3EE8409-AECA-4307-9372-A11E88E0C57A}"/>
    <cellStyle name="Moneda 3 2 6" xfId="40" xr:uid="{BF0F58F5-E422-49C2-944D-B4A2337170E4}"/>
    <cellStyle name="Moneda 3 3" xfId="11" xr:uid="{048EDB53-1E38-46B8-8E5A-83A7E07F1B1E}"/>
    <cellStyle name="Moneda 3 3 2" xfId="27" xr:uid="{BD369DA1-AF7B-4A6B-BD9B-F05587981F94}"/>
    <cellStyle name="Moneda 3 3 3" xfId="50" xr:uid="{9444B5F3-C722-457E-94B4-F50681FC1172}"/>
    <cellStyle name="Moneda 3 4" xfId="20" xr:uid="{E074057F-AE8A-4C1E-B9B7-DE4A1DCA73A1}"/>
    <cellStyle name="Moneda 3 4 2" xfId="59" xr:uid="{A4CCA71E-DD66-45FB-816D-61662BA3372D}"/>
    <cellStyle name="Moneda 3 5" xfId="65" xr:uid="{524FB232-09E5-4499-B90F-C1A1F000EF08}"/>
    <cellStyle name="Moneda 3 6" xfId="43" xr:uid="{1C0D3A82-78FC-43C5-ABBF-9CA41159302C}"/>
    <cellStyle name="Moneda 3 7" xfId="37" xr:uid="{6C9A830C-0F03-496B-97AE-764D871FA45A}"/>
    <cellStyle name="Moneda 4" xfId="6" xr:uid="{7C5E6D91-72A7-4313-A981-B0F98D2E98D7}"/>
    <cellStyle name="Moneda 4 2" xfId="13" xr:uid="{7AD12041-386C-428F-8BBF-2D3E6EC03B28}"/>
    <cellStyle name="Moneda 4 2 2" xfId="29" xr:uid="{9CD7EF59-9922-4A60-930B-99247BB6C922}"/>
    <cellStyle name="Moneda 4 2 3" xfId="52" xr:uid="{1B091447-013B-44F0-985D-AFF4049E89BF}"/>
    <cellStyle name="Moneda 4 3" xfId="22" xr:uid="{4EE27FB4-64B6-4BC0-8690-FCE264A7016B}"/>
    <cellStyle name="Moneda 4 3 2" xfId="61" xr:uid="{08C37659-E1B2-438C-AAA6-D496EE57405B}"/>
    <cellStyle name="Moneda 4 4" xfId="67" xr:uid="{473F4482-4CC6-46DC-A83B-2133259D7F56}"/>
    <cellStyle name="Moneda 4 5" xfId="45" xr:uid="{0F3365C6-9C12-4A6C-8C9B-20D9FC11CA52}"/>
    <cellStyle name="Moneda 4 6" xfId="39" xr:uid="{99C31890-77E3-4547-822A-52EAF0C9356F}"/>
    <cellStyle name="Moneda 5" xfId="9" xr:uid="{E759A8E7-45EA-4E10-978B-AD13BEFCE78B}"/>
    <cellStyle name="Moneda 5 2" xfId="16" xr:uid="{78081269-3FD7-4DA8-95C9-4D5032D29FE3}"/>
    <cellStyle name="Moneda 5 2 2" xfId="32" xr:uid="{A268811D-C878-4B95-808E-DD4D9895F19D}"/>
    <cellStyle name="Moneda 5 2 3" xfId="55" xr:uid="{E8359C10-AC4B-49AC-9353-02BCC69EF438}"/>
    <cellStyle name="Moneda 5 3" xfId="25" xr:uid="{A8A31FEB-F878-4AB1-BCAE-5D2B21EA3E4B}"/>
    <cellStyle name="Moneda 5 3 2" xfId="68" xr:uid="{B64F6A27-0545-4B1B-88D9-7ED27C583D44}"/>
    <cellStyle name="Moneda 5 4" xfId="48" xr:uid="{A55DBA53-76C7-4323-82DA-01041DBD4096}"/>
    <cellStyle name="Moneda 6" xfId="10" xr:uid="{EF039EC0-CC04-4E4E-8F14-6A0EE048D1C9}"/>
    <cellStyle name="Moneda 6 2" xfId="26" xr:uid="{BF5F8EFB-0E52-44B4-B128-2BC649A866E4}"/>
    <cellStyle name="Moneda 6 3" xfId="49" xr:uid="{F3B9F959-5293-4D8F-AC26-C12686732001}"/>
    <cellStyle name="Moneda 7" xfId="17" xr:uid="{936B18B5-33D8-4BEE-B093-485A689883EF}"/>
    <cellStyle name="Moneda 7 2" xfId="33" xr:uid="{EE10BD36-5D85-4FE7-ADD5-AC9B96B44B2D}"/>
    <cellStyle name="Moneda 7 3" xfId="56" xr:uid="{E56FE847-83C0-4116-9775-328C1EA35577}"/>
    <cellStyle name="Moneda 8" xfId="19" xr:uid="{CFC8AB98-2BC4-40BB-BEAE-806C99E792A7}"/>
    <cellStyle name="Moneda 8 2" xfId="58" xr:uid="{C07E8FF5-37D5-42E2-A82E-ACE9F8107893}"/>
    <cellStyle name="Moneda 9" xfId="64" xr:uid="{26975307-1C1B-4B9D-B453-7722AD85CB94}"/>
    <cellStyle name="Normal" xfId="0" builtinId="0"/>
    <cellStyle name="Normal 2" xfId="35" xr:uid="{D8DAA54C-2ED3-4B65-AE68-9B60EFBA1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'SUMINISTRO Y APLICACION'!$A$29:$E$29</c:f>
              <c:strCache>
                <c:ptCount val="5"/>
                <c:pt idx="3">
                  <c:v>T O T A L</c:v>
                </c:pt>
                <c:pt idx="4">
                  <c:v> $569,038.72 </c:v>
                </c:pt>
              </c:strCache>
            </c:strRef>
          </c:tx>
          <c:spPr>
            <a:solidFill>
              <a:schemeClr val="accent1"/>
            </a:solidFill>
            <a:ln>
              <a:noFill/>
            </a:ln>
            <a:effectLst/>
          </c:spPr>
          <c:invertIfNegative val="0"/>
          <c:val>
            <c:numRef>
              <c:f>'SUMINISTRO Y APLICACION'!$F$29:$F$29</c:f>
              <c:numCache>
                <c:formatCode>General</c:formatCode>
                <c:ptCount val="1"/>
              </c:numCache>
            </c:numRef>
          </c:val>
          <c:extLst>
            <c:ext xmlns:c16="http://schemas.microsoft.com/office/drawing/2014/chart" uri="{C3380CC4-5D6E-409C-BE32-E72D297353CC}">
              <c16:uniqueId val="{00000000-DF58-4756-9B54-7CB67054161D}"/>
            </c:ext>
          </c:extLst>
        </c:ser>
        <c:dLbls>
          <c:showLegendKey val="0"/>
          <c:showVal val="0"/>
          <c:showCatName val="0"/>
          <c:showSerName val="0"/>
          <c:showPercent val="0"/>
          <c:showBubbleSize val="0"/>
        </c:dLbls>
        <c:gapWidth val="219"/>
        <c:overlap val="-27"/>
        <c:axId val="601108208"/>
        <c:axId val="601109040"/>
      </c:barChart>
      <c:catAx>
        <c:axId val="601108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9040"/>
        <c:crosses val="autoZero"/>
        <c:auto val="1"/>
        <c:lblAlgn val="ctr"/>
        <c:lblOffset val="100"/>
        <c:noMultiLvlLbl val="0"/>
      </c:catAx>
      <c:valAx>
        <c:axId val="60110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8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214312</xdr:colOff>
      <xdr:row>55</xdr:row>
      <xdr:rowOff>154781</xdr:rowOff>
    </xdr:from>
    <xdr:to>
      <xdr:col>0</xdr:col>
      <xdr:colOff>2750344</xdr:colOff>
      <xdr:row>55</xdr:row>
      <xdr:rowOff>166688</xdr:rowOff>
    </xdr:to>
    <xdr:cxnSp macro="">
      <xdr:nvCxnSpPr>
        <xdr:cNvPr id="3" name="Conector recto 2">
          <a:extLst>
            <a:ext uri="{FF2B5EF4-FFF2-40B4-BE49-F238E27FC236}">
              <a16:creationId xmlns:a16="http://schemas.microsoft.com/office/drawing/2014/main" id="{F3382178-372F-8BA0-2098-47CF8F64078D}"/>
            </a:ext>
          </a:extLst>
        </xdr:cNvPr>
        <xdr:cNvCxnSpPr/>
      </xdr:nvCxnSpPr>
      <xdr:spPr>
        <a:xfrm>
          <a:off x="214312" y="20026312"/>
          <a:ext cx="2536032" cy="119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130969</xdr:colOff>
      <xdr:row>55</xdr:row>
      <xdr:rowOff>142875</xdr:rowOff>
    </xdr:from>
    <xdr:to>
      <xdr:col>3</xdr:col>
      <xdr:colOff>916781</xdr:colOff>
      <xdr:row>55</xdr:row>
      <xdr:rowOff>154781</xdr:rowOff>
    </xdr:to>
    <xdr:cxnSp macro="">
      <xdr:nvCxnSpPr>
        <xdr:cNvPr id="7" name="Conector recto 6">
          <a:extLst>
            <a:ext uri="{FF2B5EF4-FFF2-40B4-BE49-F238E27FC236}">
              <a16:creationId xmlns:a16="http://schemas.microsoft.com/office/drawing/2014/main" id="{277DE676-5602-614A-1D2D-AE5693950E62}"/>
            </a:ext>
          </a:extLst>
        </xdr:cNvPr>
        <xdr:cNvCxnSpPr/>
      </xdr:nvCxnSpPr>
      <xdr:spPr>
        <a:xfrm flipV="1">
          <a:off x="3845719" y="20014406"/>
          <a:ext cx="2619375" cy="1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276225</xdr:colOff>
      <xdr:row>0</xdr:row>
      <xdr:rowOff>163401</xdr:rowOff>
    </xdr:from>
    <xdr:to>
      <xdr:col>5</xdr:col>
      <xdr:colOff>128696</xdr:colOff>
      <xdr:row>6</xdr:row>
      <xdr:rowOff>1</xdr:rowOff>
    </xdr:to>
    <xdr:pic>
      <xdr:nvPicPr>
        <xdr:cNvPr id="5" name="Imagen 4">
          <a:extLst>
            <a:ext uri="{FF2B5EF4-FFF2-40B4-BE49-F238E27FC236}">
              <a16:creationId xmlns:a16="http://schemas.microsoft.com/office/drawing/2014/main" id="{FC2B490B-69D1-1089-C3A0-437F4C5DD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29025" y="163401"/>
          <a:ext cx="2852846" cy="9796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9:F66"/>
  <sheetViews>
    <sheetView topLeftCell="A46" zoomScale="80" zoomScaleNormal="80" workbookViewId="0">
      <selection activeCell="A53" sqref="A53:E57"/>
    </sheetView>
  </sheetViews>
  <sheetFormatPr baseColWidth="10" defaultRowHeight="15" x14ac:dyDescent="0.25"/>
  <cols>
    <col min="1" max="1" width="55.7109375" customWidth="1"/>
    <col min="2" max="2" width="12.28515625" customWidth="1"/>
    <col min="3" max="3" width="15.140625" customWidth="1"/>
    <col min="4" max="4" width="14.140625" customWidth="1"/>
    <col min="5" max="5" width="18.5703125" customWidth="1"/>
  </cols>
  <sheetData>
    <row r="9" spans="1:5" x14ac:dyDescent="0.25">
      <c r="A9" s="40" t="s">
        <v>37</v>
      </c>
      <c r="B9" s="40"/>
      <c r="C9" s="40"/>
      <c r="D9" s="40"/>
      <c r="E9" s="40"/>
    </row>
    <row r="10" spans="1:5" ht="15.75" x14ac:dyDescent="0.25">
      <c r="A10" s="20"/>
      <c r="B10" s="20"/>
      <c r="C10" s="20"/>
      <c r="D10" s="20"/>
      <c r="E10" s="20"/>
    </row>
    <row r="11" spans="1:5" ht="15.75" x14ac:dyDescent="0.25">
      <c r="A11" s="20"/>
      <c r="B11" s="20"/>
      <c r="C11" s="20"/>
      <c r="D11" s="20"/>
      <c r="E11" s="20"/>
    </row>
    <row r="12" spans="1:5" ht="15.75" x14ac:dyDescent="0.25">
      <c r="A12" s="21"/>
      <c r="B12" s="19"/>
      <c r="C12" s="19"/>
      <c r="D12" s="19"/>
      <c r="E12" s="19"/>
    </row>
    <row r="13" spans="1:5" ht="15.75" x14ac:dyDescent="0.25">
      <c r="A13" s="1" t="s">
        <v>34</v>
      </c>
      <c r="B13" s="19"/>
      <c r="C13" s="19"/>
      <c r="D13" s="19"/>
      <c r="E13" s="19"/>
    </row>
    <row r="14" spans="1:5" ht="17.25" customHeight="1" x14ac:dyDescent="0.25">
      <c r="A14" s="1" t="s">
        <v>0</v>
      </c>
      <c r="B14" s="19"/>
      <c r="C14" s="19"/>
      <c r="D14" s="19"/>
      <c r="E14" s="19"/>
    </row>
    <row r="15" spans="1:5" ht="16.5" customHeight="1" x14ac:dyDescent="0.25">
      <c r="A15" s="21"/>
      <c r="B15" s="19"/>
      <c r="C15" s="19"/>
      <c r="D15" s="19"/>
      <c r="E15" s="19"/>
    </row>
    <row r="16" spans="1:5" ht="16.5" customHeight="1" x14ac:dyDescent="0.25">
      <c r="A16" s="21"/>
      <c r="B16" s="19"/>
      <c r="C16" s="19"/>
      <c r="D16" s="19"/>
      <c r="E16" s="19"/>
    </row>
    <row r="17" spans="1:6" ht="16.5" customHeight="1" x14ac:dyDescent="0.25">
      <c r="A17" s="41" t="s">
        <v>36</v>
      </c>
      <c r="B17" s="41"/>
      <c r="C17" s="41"/>
      <c r="D17" s="41"/>
      <c r="E17" s="41"/>
    </row>
    <row r="18" spans="1:6" ht="15.75" x14ac:dyDescent="0.25">
      <c r="A18" s="22"/>
      <c r="B18" s="19"/>
      <c r="C18" s="19"/>
      <c r="D18" s="19"/>
      <c r="E18" s="19"/>
    </row>
    <row r="19" spans="1:6" x14ac:dyDescent="0.25">
      <c r="A19" s="42" t="s">
        <v>35</v>
      </c>
      <c r="B19" s="42"/>
      <c r="C19" s="42"/>
      <c r="D19" s="42"/>
      <c r="E19" s="42"/>
    </row>
    <row r="20" spans="1:6" ht="15.75" x14ac:dyDescent="0.25">
      <c r="A20" s="1" t="s">
        <v>38</v>
      </c>
      <c r="B20" s="23"/>
      <c r="C20" s="23"/>
      <c r="D20" s="23"/>
      <c r="E20" s="19"/>
    </row>
    <row r="21" spans="1:6" x14ac:dyDescent="0.25">
      <c r="A21" s="43" t="s">
        <v>29</v>
      </c>
      <c r="B21" s="43"/>
      <c r="C21" s="43"/>
      <c r="D21" s="43"/>
      <c r="E21" s="43"/>
    </row>
    <row r="22" spans="1:6" ht="15.75" x14ac:dyDescent="0.25">
      <c r="A22" s="44"/>
      <c r="B22" s="44"/>
      <c r="C22" s="44"/>
      <c r="D22" s="44"/>
      <c r="E22" s="44"/>
    </row>
    <row r="23" spans="1:6" ht="15.75" x14ac:dyDescent="0.25">
      <c r="A23" s="24" t="s">
        <v>21</v>
      </c>
      <c r="B23" s="13" t="s">
        <v>28</v>
      </c>
      <c r="C23" s="13" t="s">
        <v>19</v>
      </c>
      <c r="D23" s="13" t="s">
        <v>26</v>
      </c>
      <c r="E23" s="13" t="s">
        <v>20</v>
      </c>
    </row>
    <row r="24" spans="1:6" ht="15.75" x14ac:dyDescent="0.25">
      <c r="A24" s="24"/>
      <c r="B24" s="13"/>
      <c r="C24" s="13"/>
      <c r="D24" s="13"/>
      <c r="E24" s="13"/>
    </row>
    <row r="25" spans="1:6" ht="127.5" customHeight="1" x14ac:dyDescent="0.25">
      <c r="A25" s="31" t="s">
        <v>41</v>
      </c>
      <c r="B25" s="32" t="s">
        <v>22</v>
      </c>
      <c r="C25" s="33">
        <v>4641.41</v>
      </c>
      <c r="D25" s="7">
        <v>105.69</v>
      </c>
      <c r="E25" s="7">
        <f>D25*C25</f>
        <v>490550.62289999996</v>
      </c>
    </row>
    <row r="26" spans="1:6" ht="23.25" customHeight="1" x14ac:dyDescent="0.25">
      <c r="A26" s="26"/>
      <c r="B26" s="27"/>
      <c r="C26" s="28"/>
      <c r="D26" s="25"/>
      <c r="E26" s="25"/>
    </row>
    <row r="27" spans="1:6" ht="19.5" customHeight="1" x14ac:dyDescent="0.25">
      <c r="A27" s="27"/>
      <c r="B27" s="27"/>
      <c r="C27" s="28"/>
      <c r="D27" s="3" t="s">
        <v>2</v>
      </c>
      <c r="E27" s="8">
        <f>SUM(E25:E26)</f>
        <v>490550.62289999996</v>
      </c>
    </row>
    <row r="28" spans="1:6" ht="19.5" customHeight="1" x14ac:dyDescent="0.25">
      <c r="A28" s="29"/>
      <c r="B28" s="29"/>
      <c r="C28" s="29"/>
      <c r="D28" s="3" t="s">
        <v>3</v>
      </c>
      <c r="E28" s="8">
        <f>E27*0.16</f>
        <v>78488.099663999994</v>
      </c>
    </row>
    <row r="29" spans="1:6" ht="19.5" customHeight="1" x14ac:dyDescent="0.25">
      <c r="A29" s="29"/>
      <c r="B29" s="29"/>
      <c r="C29" s="30"/>
      <c r="D29" s="3" t="s">
        <v>4</v>
      </c>
      <c r="E29" s="8">
        <f>SUM(E27:E28)</f>
        <v>569038.72256399994</v>
      </c>
      <c r="F29" s="2"/>
    </row>
    <row r="30" spans="1:6" ht="19.5" customHeight="1" x14ac:dyDescent="0.25">
      <c r="A30" s="29"/>
      <c r="B30" s="29"/>
      <c r="C30" s="30"/>
      <c r="D30" s="3"/>
      <c r="E30" s="8"/>
      <c r="F30" s="2"/>
    </row>
    <row r="31" spans="1:6" ht="69.75" customHeight="1" x14ac:dyDescent="0.25">
      <c r="A31" s="34" t="s">
        <v>33</v>
      </c>
      <c r="B31" s="34"/>
      <c r="C31" s="34"/>
      <c r="D31" s="34"/>
      <c r="E31" s="34"/>
      <c r="F31" s="2"/>
    </row>
    <row r="32" spans="1:6" ht="15.75" x14ac:dyDescent="0.25">
      <c r="A32" s="29"/>
      <c r="B32" s="29"/>
      <c r="C32" s="30"/>
      <c r="D32" s="3"/>
      <c r="E32" s="8"/>
      <c r="F32" s="2"/>
    </row>
    <row r="33" spans="1:6" ht="15.75" x14ac:dyDescent="0.25">
      <c r="A33" s="29"/>
      <c r="B33" s="29"/>
      <c r="C33" s="30"/>
      <c r="D33" s="3"/>
      <c r="E33" s="8"/>
      <c r="F33" s="2"/>
    </row>
    <row r="34" spans="1:6" ht="15.75" x14ac:dyDescent="0.25">
      <c r="A34" s="29"/>
      <c r="B34" s="29"/>
      <c r="C34" s="30"/>
      <c r="D34" s="3"/>
      <c r="E34" s="8"/>
      <c r="F34" s="2"/>
    </row>
    <row r="35" spans="1:6" ht="33" customHeight="1" x14ac:dyDescent="0.25">
      <c r="A35" s="3"/>
      <c r="B35" s="3"/>
      <c r="C35" s="18"/>
      <c r="D35" s="3"/>
      <c r="E35" s="3"/>
    </row>
    <row r="36" spans="1:6" x14ac:dyDescent="0.25">
      <c r="A36" s="45" t="s">
        <v>39</v>
      </c>
      <c r="B36" s="45"/>
      <c r="C36" s="45"/>
      <c r="D36" s="45"/>
      <c r="E36" s="45"/>
    </row>
    <row r="37" spans="1:6" ht="27.75" customHeight="1" x14ac:dyDescent="0.25">
      <c r="A37" s="46" t="s">
        <v>35</v>
      </c>
      <c r="B37" s="46"/>
      <c r="C37" s="46"/>
      <c r="D37" s="46"/>
      <c r="E37" s="46"/>
    </row>
    <row r="38" spans="1:6" ht="24.75" customHeight="1" x14ac:dyDescent="0.25">
      <c r="A38" s="47" t="s">
        <v>5</v>
      </c>
      <c r="B38" s="47"/>
      <c r="C38" s="47"/>
      <c r="D38" s="47"/>
      <c r="E38" s="47"/>
    </row>
    <row r="39" spans="1:6" ht="65.25" customHeight="1" x14ac:dyDescent="0.25">
      <c r="A39" s="34" t="s">
        <v>42</v>
      </c>
      <c r="B39" s="34"/>
      <c r="C39" s="34"/>
      <c r="D39" s="34"/>
      <c r="E39" s="34"/>
    </row>
    <row r="40" spans="1:6" ht="33" customHeight="1" x14ac:dyDescent="0.25">
      <c r="A40" s="38" t="s">
        <v>6</v>
      </c>
      <c r="B40" s="39"/>
      <c r="C40" s="39"/>
      <c r="D40" s="39"/>
      <c r="E40" s="39"/>
    </row>
    <row r="41" spans="1:6" ht="30.75" customHeight="1" x14ac:dyDescent="0.25">
      <c r="A41" s="34" t="s">
        <v>7</v>
      </c>
      <c r="B41" s="34"/>
      <c r="C41" s="34"/>
      <c r="D41" s="34"/>
      <c r="E41" s="34"/>
    </row>
    <row r="42" spans="1:6" ht="37.5" customHeight="1" x14ac:dyDescent="0.25">
      <c r="A42" s="36" t="s">
        <v>8</v>
      </c>
      <c r="B42" s="36"/>
      <c r="C42" s="36"/>
      <c r="D42" s="36"/>
      <c r="E42" s="36"/>
    </row>
    <row r="43" spans="1:6" ht="54" customHeight="1" x14ac:dyDescent="0.25">
      <c r="A43" s="36" t="s">
        <v>9</v>
      </c>
      <c r="B43" s="36"/>
      <c r="C43" s="36"/>
      <c r="D43" s="36"/>
      <c r="E43" s="36"/>
    </row>
    <row r="44" spans="1:6" ht="29.25" customHeight="1" x14ac:dyDescent="0.25">
      <c r="A44" s="36" t="s">
        <v>10</v>
      </c>
      <c r="B44" s="36"/>
      <c r="C44" s="36"/>
      <c r="D44" s="36"/>
      <c r="E44" s="36"/>
    </row>
    <row r="45" spans="1:6" ht="69.75" customHeight="1" x14ac:dyDescent="0.25">
      <c r="A45" s="34" t="s">
        <v>11</v>
      </c>
      <c r="B45" s="34"/>
      <c r="C45" s="34"/>
      <c r="D45" s="34"/>
      <c r="E45" s="34"/>
    </row>
    <row r="46" spans="1:6" ht="24.75" customHeight="1" x14ac:dyDescent="0.25">
      <c r="A46" s="34" t="s">
        <v>12</v>
      </c>
      <c r="B46" s="34"/>
      <c r="C46" s="34"/>
      <c r="D46" s="34"/>
      <c r="E46" s="34"/>
    </row>
    <row r="47" spans="1:6" ht="54" customHeight="1" x14ac:dyDescent="0.25">
      <c r="A47" s="34" t="s">
        <v>13</v>
      </c>
      <c r="B47" s="34"/>
      <c r="C47" s="34"/>
      <c r="D47" s="34"/>
      <c r="E47" s="34"/>
    </row>
    <row r="48" spans="1:6" ht="32.25" customHeight="1" x14ac:dyDescent="0.25">
      <c r="A48" s="34" t="s">
        <v>14</v>
      </c>
      <c r="B48" s="34"/>
      <c r="C48" s="34"/>
      <c r="D48" s="34"/>
      <c r="E48" s="35"/>
    </row>
    <row r="49" spans="1:5" ht="67.5" customHeight="1" x14ac:dyDescent="0.25">
      <c r="A49" s="36" t="s">
        <v>15</v>
      </c>
      <c r="B49" s="36"/>
      <c r="C49" s="36"/>
      <c r="D49" s="36"/>
      <c r="E49" s="36"/>
    </row>
    <row r="50" spans="1:5" x14ac:dyDescent="0.25">
      <c r="A50" s="34" t="s">
        <v>16</v>
      </c>
      <c r="B50" s="34"/>
      <c r="C50" s="34"/>
      <c r="D50" s="34"/>
      <c r="E50" s="34"/>
    </row>
    <row r="51" spans="1:5" x14ac:dyDescent="0.25">
      <c r="A51" s="6" t="s">
        <v>17</v>
      </c>
      <c r="B51" s="6"/>
      <c r="C51" s="17"/>
      <c r="D51" s="17"/>
      <c r="E51" s="17"/>
    </row>
    <row r="52" spans="1:5" x14ac:dyDescent="0.25">
      <c r="A52" s="6" t="s">
        <v>18</v>
      </c>
      <c r="B52" s="6"/>
      <c r="C52" s="17"/>
      <c r="D52" s="17"/>
      <c r="E52" s="17"/>
    </row>
    <row r="53" spans="1:5" x14ac:dyDescent="0.25">
      <c r="A53" s="5" t="s">
        <v>30</v>
      </c>
      <c r="B53" s="16"/>
      <c r="C53" s="37" t="s">
        <v>31</v>
      </c>
      <c r="D53" s="37"/>
      <c r="E53" s="37"/>
    </row>
    <row r="54" spans="1:5" x14ac:dyDescent="0.25">
      <c r="A54" s="6"/>
      <c r="B54" s="6"/>
      <c r="C54" s="17"/>
      <c r="D54" s="17"/>
      <c r="E54" s="17"/>
    </row>
    <row r="55" spans="1:5" x14ac:dyDescent="0.25">
      <c r="A55" s="6"/>
      <c r="B55" s="6"/>
      <c r="C55" s="17"/>
      <c r="D55" s="17"/>
      <c r="E55" s="17"/>
    </row>
    <row r="56" spans="1:5" x14ac:dyDescent="0.25">
      <c r="A56" s="16" t="s">
        <v>32</v>
      </c>
      <c r="B56" s="9"/>
      <c r="C56" s="17"/>
      <c r="D56" s="17"/>
      <c r="E56" s="17"/>
    </row>
    <row r="57" spans="1:5" x14ac:dyDescent="0.25">
      <c r="A57" s="10" t="s">
        <v>40</v>
      </c>
      <c r="B57" s="10"/>
      <c r="C57" s="17"/>
      <c r="D57" s="17"/>
      <c r="E57" s="17"/>
    </row>
    <row r="58" spans="1:5" x14ac:dyDescent="0.25">
      <c r="A58" s="10"/>
      <c r="B58" s="10"/>
      <c r="C58" s="17"/>
      <c r="D58" s="17"/>
      <c r="E58" s="17"/>
    </row>
    <row r="63" spans="1:5" x14ac:dyDescent="0.25">
      <c r="A63" s="4"/>
      <c r="B63" s="4"/>
    </row>
    <row r="64" spans="1:5" x14ac:dyDescent="0.25">
      <c r="A64" s="4"/>
      <c r="B64" s="4"/>
    </row>
    <row r="66" spans="1:2" x14ac:dyDescent="0.25">
      <c r="A66" s="2"/>
      <c r="B66" s="2"/>
    </row>
  </sheetData>
  <mergeCells count="22">
    <mergeCell ref="A50:E50"/>
    <mergeCell ref="C53:E53"/>
    <mergeCell ref="A40:E40"/>
    <mergeCell ref="A9:E9"/>
    <mergeCell ref="A17:E17"/>
    <mergeCell ref="A19:E19"/>
    <mergeCell ref="A21:E21"/>
    <mergeCell ref="A22:E22"/>
    <mergeCell ref="A49:E49"/>
    <mergeCell ref="A36:E36"/>
    <mergeCell ref="A37:E37"/>
    <mergeCell ref="A39:E39"/>
    <mergeCell ref="A38:E38"/>
    <mergeCell ref="A41:E41"/>
    <mergeCell ref="A42:E42"/>
    <mergeCell ref="A43:E43"/>
    <mergeCell ref="A31:E31"/>
    <mergeCell ref="A45:E45"/>
    <mergeCell ref="A46:E46"/>
    <mergeCell ref="A47:E47"/>
    <mergeCell ref="A48:E48"/>
    <mergeCell ref="A44:E44"/>
  </mergeCells>
  <phoneticPr fontId="8" type="noConversion"/>
  <pageMargins left="0.70866141732283472" right="0.70866141732283472" top="0.74803149606299213" bottom="0.74803149606299213" header="0.31496062992125984" footer="0.31496062992125984"/>
  <pageSetup paperSize="9" scale="75" fitToHeight="0" orientation="portrait" horizontalDpi="4294967293" r:id="rId1"/>
  <headerFooter>
    <oddHeader>&amp;R&amp;G</oddHeader>
    <oddFooter>&amp;C&amp;G</oddFooter>
  </headerFooter>
  <rowBreaks count="1" manualBreakCount="1">
    <brk id="34"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O51"/>
  <sheetViews>
    <sheetView tabSelected="1" topLeftCell="A23" zoomScaleNormal="100" zoomScalePageLayoutView="50" workbookViewId="0">
      <selection activeCell="F33" sqref="F33"/>
    </sheetView>
  </sheetViews>
  <sheetFormatPr baseColWidth="10" defaultRowHeight="15" x14ac:dyDescent="0.25"/>
  <cols>
    <col min="1" max="1" width="2.28515625" style="12" customWidth="1"/>
    <col min="2" max="2" width="52" customWidth="1"/>
    <col min="3" max="6" width="15" customWidth="1"/>
  </cols>
  <sheetData>
    <row r="4" spans="2:6" x14ac:dyDescent="0.25">
      <c r="B4" s="15"/>
      <c r="C4" s="15"/>
      <c r="D4" s="15"/>
      <c r="E4" s="15"/>
      <c r="F4" s="15"/>
    </row>
    <row r="5" spans="2:6" x14ac:dyDescent="0.25">
      <c r="B5" s="15"/>
      <c r="C5" s="15"/>
      <c r="D5" s="15"/>
      <c r="E5" s="15"/>
      <c r="F5" s="15"/>
    </row>
    <row r="6" spans="2:6" x14ac:dyDescent="0.25">
      <c r="B6" s="15"/>
      <c r="C6" s="15"/>
      <c r="D6" s="15"/>
      <c r="E6" s="15"/>
      <c r="F6" s="15"/>
    </row>
    <row r="7" spans="2:6" x14ac:dyDescent="0.25">
      <c r="B7" s="15"/>
      <c r="C7" s="15"/>
      <c r="D7" s="15"/>
      <c r="E7" s="15"/>
      <c r="F7" s="15"/>
    </row>
    <row r="8" spans="2:6" x14ac:dyDescent="0.25">
      <c r="B8" s="15"/>
      <c r="C8" s="15"/>
      <c r="D8" s="15"/>
      <c r="E8" s="15"/>
      <c r="F8" s="15"/>
    </row>
    <row r="9" spans="2:6" ht="15.75" x14ac:dyDescent="0.25">
      <c r="B9" s="54" t="s">
        <v>43</v>
      </c>
      <c r="C9" s="54"/>
      <c r="D9" s="54"/>
      <c r="E9" s="54"/>
      <c r="F9" s="54"/>
    </row>
    <row r="10" spans="2:6" ht="15.75" x14ac:dyDescent="0.25">
      <c r="B10" s="20"/>
      <c r="C10" s="20"/>
      <c r="D10" s="20"/>
      <c r="E10" s="20"/>
      <c r="F10" s="20"/>
    </row>
    <row r="11" spans="2:6" ht="15.75" x14ac:dyDescent="0.25">
      <c r="B11" s="21" t="s">
        <v>44</v>
      </c>
      <c r="C11" s="21"/>
      <c r="D11" s="58"/>
      <c r="E11" s="58"/>
      <c r="F11" s="58"/>
    </row>
    <row r="12" spans="2:6" ht="15.75" x14ac:dyDescent="0.25">
      <c r="B12" s="21" t="s">
        <v>0</v>
      </c>
      <c r="C12" s="21"/>
      <c r="D12" s="58"/>
      <c r="E12" s="58"/>
      <c r="F12" s="58"/>
    </row>
    <row r="13" spans="2:6" ht="15.75" x14ac:dyDescent="0.25">
      <c r="B13" s="21"/>
      <c r="C13" s="21"/>
      <c r="D13" s="58"/>
      <c r="E13" s="58"/>
      <c r="F13" s="58"/>
    </row>
    <row r="14" spans="2:6" ht="15.75" x14ac:dyDescent="0.25">
      <c r="B14" s="65" t="s">
        <v>45</v>
      </c>
      <c r="C14" s="65"/>
      <c r="D14" s="65"/>
      <c r="E14" s="65"/>
      <c r="F14" s="65"/>
    </row>
    <row r="15" spans="2:6" ht="15.75" x14ac:dyDescent="0.25">
      <c r="B15" s="22"/>
      <c r="C15" s="22"/>
      <c r="D15" s="22"/>
      <c r="E15" s="22"/>
      <c r="F15" s="22"/>
    </row>
    <row r="16" spans="2:6" ht="15.75" x14ac:dyDescent="0.25">
      <c r="B16" s="22"/>
      <c r="C16" s="22"/>
      <c r="D16" s="22"/>
      <c r="E16" s="22"/>
      <c r="F16" s="22"/>
    </row>
    <row r="17" spans="1:6" ht="15.75" x14ac:dyDescent="0.25">
      <c r="B17" s="68"/>
      <c r="C17" s="68"/>
      <c r="D17" s="68"/>
      <c r="E17" s="68"/>
      <c r="F17" s="68"/>
    </row>
    <row r="18" spans="1:6" ht="12.75" customHeight="1" x14ac:dyDescent="0.25">
      <c r="B18" s="24" t="s">
        <v>46</v>
      </c>
      <c r="C18" s="24"/>
      <c r="D18" s="49"/>
      <c r="E18" s="49"/>
      <c r="F18" s="49"/>
    </row>
    <row r="19" spans="1:6" ht="13.5" customHeight="1" x14ac:dyDescent="0.25">
      <c r="B19" s="26" t="s">
        <v>1</v>
      </c>
      <c r="C19" s="26"/>
      <c r="D19" s="49"/>
      <c r="E19" s="49"/>
      <c r="F19" s="49"/>
    </row>
    <row r="20" spans="1:6" ht="30" customHeight="1" x14ac:dyDescent="0.25">
      <c r="B20" s="48" t="s">
        <v>23</v>
      </c>
      <c r="C20" s="48"/>
      <c r="D20" s="48"/>
      <c r="E20" s="48"/>
      <c r="F20" s="48"/>
    </row>
    <row r="21" spans="1:6" ht="18" customHeight="1" x14ac:dyDescent="0.25">
      <c r="B21" s="24"/>
      <c r="C21" s="24"/>
      <c r="D21" s="24"/>
      <c r="E21" s="57"/>
      <c r="F21" s="57"/>
    </row>
    <row r="22" spans="1:6" ht="18" customHeight="1" x14ac:dyDescent="0.25">
      <c r="B22" s="24"/>
      <c r="C22" s="24"/>
      <c r="D22" s="24"/>
      <c r="E22" s="22"/>
      <c r="F22" s="22"/>
    </row>
    <row r="23" spans="1:6" ht="31.5" x14ac:dyDescent="0.25">
      <c r="B23" s="67" t="s">
        <v>47</v>
      </c>
      <c r="C23" s="59" t="s">
        <v>25</v>
      </c>
      <c r="D23" s="59">
        <v>2</v>
      </c>
      <c r="E23" s="62">
        <v>1118.97</v>
      </c>
      <c r="F23" s="70">
        <f>D23*E23</f>
        <v>2237.94</v>
      </c>
    </row>
    <row r="24" spans="1:6" ht="31.5" x14ac:dyDescent="0.25">
      <c r="B24" s="67" t="s">
        <v>48</v>
      </c>
      <c r="C24" s="59" t="s">
        <v>25</v>
      </c>
      <c r="D24" s="59">
        <v>24</v>
      </c>
      <c r="E24" s="62">
        <v>3461.38</v>
      </c>
      <c r="F24" s="70">
        <f>D24*E24</f>
        <v>83073.119999999995</v>
      </c>
    </row>
    <row r="25" spans="1:6" ht="15.75" x14ac:dyDescent="0.25">
      <c r="B25" s="66"/>
      <c r="C25" s="66"/>
      <c r="D25" s="64"/>
      <c r="E25" s="58"/>
      <c r="F25" s="58"/>
    </row>
    <row r="26" spans="1:6" ht="15.75" x14ac:dyDescent="0.25">
      <c r="B26" s="27"/>
      <c r="C26" s="27"/>
      <c r="D26" s="53"/>
      <c r="E26" s="25"/>
      <c r="F26" s="25"/>
    </row>
    <row r="27" spans="1:6" ht="15.75" x14ac:dyDescent="0.25">
      <c r="B27" s="29"/>
      <c r="C27" s="29"/>
      <c r="D27" s="53"/>
      <c r="E27" s="51"/>
      <c r="F27" s="25"/>
    </row>
    <row r="28" spans="1:6" ht="15.75" x14ac:dyDescent="0.25">
      <c r="B28" s="29"/>
      <c r="C28" s="29"/>
      <c r="D28" s="49"/>
      <c r="E28" s="29" t="s">
        <v>2</v>
      </c>
      <c r="F28" s="71">
        <f>SUM(F23:F27)</f>
        <v>85311.06</v>
      </c>
    </row>
    <row r="29" spans="1:6" s="72" customFormat="1" ht="15.75" x14ac:dyDescent="0.25">
      <c r="A29" s="73"/>
      <c r="B29" s="29"/>
      <c r="C29" s="29"/>
      <c r="D29" s="49"/>
      <c r="E29" s="29" t="s">
        <v>56</v>
      </c>
      <c r="F29" s="71">
        <v>4645</v>
      </c>
    </row>
    <row r="30" spans="1:6" s="72" customFormat="1" ht="15.75" x14ac:dyDescent="0.25">
      <c r="A30" s="73"/>
      <c r="B30" s="29"/>
      <c r="C30" s="29"/>
      <c r="D30" s="49"/>
      <c r="E30" s="29" t="s">
        <v>57</v>
      </c>
      <c r="F30" s="71">
        <f>F28+F29</f>
        <v>89956.06</v>
      </c>
    </row>
    <row r="31" spans="1:6" ht="15.75" x14ac:dyDescent="0.25">
      <c r="B31" s="29"/>
      <c r="C31" s="29"/>
      <c r="D31" s="29"/>
      <c r="E31" s="29" t="s">
        <v>3</v>
      </c>
      <c r="F31" s="71">
        <f>F30*16%</f>
        <v>14392.9696</v>
      </c>
    </row>
    <row r="32" spans="1:6" ht="15.75" x14ac:dyDescent="0.25">
      <c r="B32" s="29"/>
      <c r="C32" s="29"/>
      <c r="D32" s="30"/>
      <c r="E32" s="29" t="s">
        <v>4</v>
      </c>
      <c r="F32" s="71">
        <f>F30+F31</f>
        <v>104349.02959999999</v>
      </c>
    </row>
    <row r="33" spans="1:15" s="72" customFormat="1" ht="15.75" x14ac:dyDescent="0.25">
      <c r="A33" s="73"/>
      <c r="B33" s="29"/>
      <c r="C33" s="29"/>
      <c r="D33" s="30"/>
      <c r="E33" s="29"/>
      <c r="F33" s="71"/>
    </row>
    <row r="34" spans="1:15" s="72" customFormat="1" ht="15.75" x14ac:dyDescent="0.25">
      <c r="A34" s="73"/>
      <c r="B34" s="29"/>
      <c r="C34" s="29"/>
      <c r="D34" s="30"/>
      <c r="E34" s="29"/>
      <c r="F34" s="71"/>
    </row>
    <row r="35" spans="1:15" s="72" customFormat="1" ht="15.75" x14ac:dyDescent="0.25">
      <c r="A35" s="73"/>
      <c r="B35" s="29"/>
      <c r="C35" s="29"/>
      <c r="D35" s="30"/>
      <c r="E35" s="29"/>
      <c r="F35" s="71"/>
    </row>
    <row r="36" spans="1:15" ht="15.75" x14ac:dyDescent="0.25">
      <c r="B36" s="29"/>
      <c r="C36" s="29"/>
      <c r="D36" s="30"/>
      <c r="E36" s="29"/>
      <c r="F36" s="71"/>
    </row>
    <row r="37" spans="1:15" ht="15.75" x14ac:dyDescent="0.25">
      <c r="B37" s="63" t="s">
        <v>24</v>
      </c>
      <c r="C37" s="55"/>
      <c r="D37" s="55"/>
      <c r="E37" s="55"/>
      <c r="F37" s="55"/>
    </row>
    <row r="38" spans="1:15" s="72" customFormat="1" ht="32.25" customHeight="1" x14ac:dyDescent="0.25">
      <c r="A38" s="73"/>
      <c r="B38" s="57"/>
      <c r="C38" s="50"/>
      <c r="D38" s="50"/>
      <c r="E38" s="50"/>
      <c r="F38" s="50"/>
    </row>
    <row r="39" spans="1:15" ht="36" customHeight="1" x14ac:dyDescent="0.25">
      <c r="B39" s="48" t="s">
        <v>49</v>
      </c>
      <c r="C39" s="48"/>
      <c r="D39" s="48"/>
      <c r="E39" s="48"/>
      <c r="F39" s="48"/>
    </row>
    <row r="40" spans="1:15" ht="15" customHeight="1" x14ac:dyDescent="0.25">
      <c r="B40" s="48" t="s">
        <v>54</v>
      </c>
      <c r="C40" s="48"/>
      <c r="D40" s="48"/>
      <c r="E40" s="48"/>
      <c r="F40" s="48"/>
    </row>
    <row r="41" spans="1:15" ht="15" customHeight="1" x14ac:dyDescent="0.25">
      <c r="B41" s="48" t="s">
        <v>50</v>
      </c>
      <c r="C41" s="48"/>
      <c r="D41" s="48"/>
      <c r="E41" s="48"/>
      <c r="F41" s="48"/>
    </row>
    <row r="42" spans="1:15" ht="18" customHeight="1" x14ac:dyDescent="0.25">
      <c r="B42" s="48" t="s">
        <v>27</v>
      </c>
      <c r="C42" s="48"/>
      <c r="D42" s="48"/>
      <c r="E42" s="48"/>
      <c r="F42" s="48"/>
    </row>
    <row r="43" spans="1:15" ht="81" customHeight="1" x14ac:dyDescent="0.25">
      <c r="B43" s="48" t="s">
        <v>55</v>
      </c>
      <c r="C43" s="48"/>
      <c r="D43" s="48"/>
      <c r="E43" s="48"/>
      <c r="F43" s="48"/>
    </row>
    <row r="44" spans="1:15" ht="17.25" customHeight="1" x14ac:dyDescent="0.25">
      <c r="B44" s="52"/>
      <c r="C44" s="52"/>
      <c r="D44" s="52"/>
      <c r="E44" s="52"/>
      <c r="F44" s="52"/>
    </row>
    <row r="45" spans="1:15" ht="17.25" customHeight="1" x14ac:dyDescent="0.25">
      <c r="B45" s="48"/>
      <c r="C45" s="56"/>
      <c r="D45" s="56"/>
      <c r="E45" s="56"/>
      <c r="F45" s="56"/>
    </row>
    <row r="46" spans="1:15" ht="15.75" x14ac:dyDescent="0.25">
      <c r="B46" s="61"/>
      <c r="C46" s="58"/>
      <c r="D46" s="58"/>
      <c r="E46" s="58"/>
      <c r="F46" s="58"/>
      <c r="G46" s="74"/>
      <c r="H46" s="11"/>
    </row>
    <row r="47" spans="1:15" ht="15.75" x14ac:dyDescent="0.25">
      <c r="B47" s="60" t="s">
        <v>51</v>
      </c>
      <c r="C47" s="55"/>
      <c r="D47" s="55"/>
      <c r="E47" s="55"/>
      <c r="F47" s="55"/>
      <c r="G47" s="75"/>
      <c r="H47" s="14"/>
      <c r="I47" s="14"/>
      <c r="J47" s="14"/>
      <c r="K47" s="14"/>
      <c r="L47" s="14"/>
      <c r="M47" s="14"/>
      <c r="N47" s="14"/>
      <c r="O47" s="14"/>
    </row>
    <row r="48" spans="1:15" ht="15.75" x14ac:dyDescent="0.25">
      <c r="B48" s="60"/>
      <c r="C48" s="55"/>
      <c r="D48" s="55"/>
      <c r="E48" s="55"/>
      <c r="F48" s="55"/>
      <c r="G48" s="75"/>
      <c r="H48" s="14"/>
      <c r="I48" s="14"/>
      <c r="J48" s="14"/>
      <c r="K48" s="14"/>
      <c r="L48" s="14"/>
      <c r="M48" s="14"/>
      <c r="N48" s="14"/>
      <c r="O48" s="14"/>
    </row>
    <row r="49" spans="2:15" ht="15.75" x14ac:dyDescent="0.25">
      <c r="B49" s="60"/>
      <c r="C49" s="55"/>
      <c r="D49" s="55"/>
      <c r="E49" s="55"/>
      <c r="F49" s="55"/>
      <c r="G49" s="75"/>
      <c r="H49" s="14"/>
      <c r="I49" s="14"/>
      <c r="J49" s="14"/>
      <c r="K49" s="14"/>
      <c r="L49" s="14"/>
      <c r="M49" s="14"/>
      <c r="N49" s="14"/>
      <c r="O49" s="14"/>
    </row>
    <row r="50" spans="2:15" ht="15.75" x14ac:dyDescent="0.25">
      <c r="B50" s="60" t="s">
        <v>53</v>
      </c>
      <c r="C50" s="55"/>
      <c r="D50" s="55"/>
      <c r="E50" s="55"/>
      <c r="F50" s="55"/>
      <c r="G50" s="75"/>
      <c r="H50" s="14"/>
      <c r="I50" s="14"/>
      <c r="J50" s="14"/>
      <c r="K50" s="14"/>
      <c r="L50" s="14"/>
      <c r="M50" s="14"/>
      <c r="N50" s="14"/>
      <c r="O50" s="14"/>
    </row>
    <row r="51" spans="2:15" ht="15.75" x14ac:dyDescent="0.25">
      <c r="B51" s="60" t="s">
        <v>52</v>
      </c>
      <c r="C51" s="55"/>
      <c r="D51" s="55"/>
      <c r="E51" s="55"/>
      <c r="F51" s="55"/>
      <c r="G51" s="69"/>
    </row>
  </sheetData>
  <mergeCells count="16">
    <mergeCell ref="B51:F51"/>
    <mergeCell ref="B50:F50"/>
    <mergeCell ref="B39:F39"/>
    <mergeCell ref="B40:F40"/>
    <mergeCell ref="B41:F41"/>
    <mergeCell ref="B42:F42"/>
    <mergeCell ref="B45:F45"/>
    <mergeCell ref="B47:F47"/>
    <mergeCell ref="B48:F48"/>
    <mergeCell ref="B49:F49"/>
    <mergeCell ref="B9:F9"/>
    <mergeCell ref="B14:F14"/>
    <mergeCell ref="B17:F17"/>
    <mergeCell ref="B20:F20"/>
    <mergeCell ref="B43:F43"/>
    <mergeCell ref="B37:F37"/>
  </mergeCells>
  <pageMargins left="0.7" right="0.7" top="0.75" bottom="0.75" header="0.3" footer="0.3"/>
  <pageSetup paperSize="9" scale="76"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SUMINISTRO Y APLICACION</vt:lpstr>
      <vt:lpstr>SUMINISTRO</vt:lpstr>
      <vt:lpstr>Gráfico1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2026-08-14T16:35:50Z</cp:lastPrinted>
  <dcterms:created xsi:type="dcterms:W3CDTF">2020-12-14T19:54:01Z</dcterms:created>
  <dcterms:modified xsi:type="dcterms:W3CDTF">2026-08-14T17:12:23Z</dcterms:modified>
</cp:coreProperties>
</file>