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C6953192-5483-4968-958C-CC6E3FEDA970}" xr6:coauthVersionLast="47" xr6:coauthVersionMax="47" xr10:uidLastSave="{00000000-0000-0000-0000-000000000000}"/>
  <bookViews>
    <workbookView xWindow="-120" yWindow="-120" windowWidth="20730" windowHeight="11160" activeTab="2" xr2:uid="{00000000-000D-0000-FFFF-FFFF00000000}"/>
  </bookViews>
  <sheets>
    <sheet name="Gráfico1" sheetId="4" r:id="rId1"/>
    <sheet name="SUMINISTRO Y APLICACION" sheetId="1" r:id="rId2"/>
    <sheet name="SUMINISTRO" sheetId="3"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4" i="3" l="1"/>
  <c r="G23" i="3"/>
  <c r="G28" i="3" s="1"/>
  <c r="G29" i="3" l="1"/>
  <c r="G30" i="3" s="1"/>
  <c r="E25" i="1"/>
  <c r="E27" i="1" s="1"/>
  <c r="E28" i="1" l="1"/>
  <c r="E29" i="1" s="1"/>
</calcChain>
</file>

<file path=xl/sharedStrings.xml><?xml version="1.0" encoding="utf-8"?>
<sst xmlns="http://schemas.openxmlformats.org/spreadsheetml/2006/main" count="71" uniqueCount="57">
  <si>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</si>
  <si>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</si>
  <si>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</si>
  <si>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</si>
  <si>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</si>
  <si>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</si>
  <si>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</si>
  <si>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</si>
  <si>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</si>
  <si>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</si>
  <si>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</si>
  <si>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</si>
  <si>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</si>
  <si>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</si>
  <si>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</si>
  <si>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</si>
  <si>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</si>
  <si>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</si>
  <si>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</si>
  <si>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</si>
  <si>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</si>
  <si>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</si>
  <si>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</si>
  <si>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 xml:space="preserve">PRESENTAMOS A SU AMABLE CONSIDERACIÓN EL PRESUPUESTO DE SUMINISTRO DE LOS SIGUIENTES MATERIALES: </t>
  </si>
  <si>
    <t xml:space="preserve">NOTAS: </t>
  </si>
  <si>
    <t>CUBETAS</t>
  </si>
  <si>
    <r>
      <t xml:space="preserve">PRECIO  U.                </t>
    </r>
    <r>
      <rPr>
        <sz val="9"/>
        <color theme="1"/>
        <rFont val="Times New Roman"/>
        <family val="1"/>
      </rPr>
      <t xml:space="preserve">       </t>
    </r>
  </si>
  <si>
    <t>3.-ENTREGA DE MATERIALES L.A.B. EN LA PLANTA DE CHISA RECUBRIMIENTOS,  S.A. DE C.V.</t>
  </si>
  <si>
    <t>4.-PRECIOS CONSIDERADOS EN LA COMPRA TOTAL EN UNA SOLA EXHIBICION.</t>
  </si>
  <si>
    <t>UNIDAD</t>
  </si>
  <si>
    <r>
      <t>PRESENTAMOS  A  SU AMABLE  CONSIDERACIÓN EL PRESUPUESTO DE SUMINISTRO Y APLICACIÓN  DE  LOS SIGUIENTES CONCEPTOS.</t>
    </r>
    <r>
      <rPr>
        <b/>
        <sz val="9"/>
        <color theme="1"/>
        <rFont val="Times New Roman"/>
        <family val="1"/>
      </rPr>
      <t xml:space="preserve">                                                   </t>
    </r>
  </si>
  <si>
    <t xml:space="preserve">                                   ACEPTO</t>
  </si>
  <si>
    <t xml:space="preserve"> ATENTAMENTE</t>
  </si>
  <si>
    <t xml:space="preserve">                                                                 </t>
  </si>
  <si>
    <r>
      <rPr>
        <b/>
        <sz val="9"/>
        <color theme="1"/>
        <rFont val="Times New Roman"/>
        <family val="1"/>
      </rPr>
      <t>NOTA:</t>
    </r>
    <r>
      <rPr>
        <sz val="9"/>
        <color theme="1"/>
        <rFont val="Times New Roman"/>
        <family val="1"/>
      </rPr>
      <t xml:space="preserve"> PARA LA EJECUCIÓN DE LOS VOLUMENES PLASMADOS EN ESTE PRESUPUESTO ES NECESARIO CONTAR CON UN MINIMO DEL</t>
    </r>
    <r>
      <rPr>
        <b/>
        <sz val="9"/>
        <color theme="1"/>
        <rFont val="Times New Roman"/>
        <family val="1"/>
      </rPr>
      <t xml:space="preserve"> 70%</t>
    </r>
    <r>
      <rPr>
        <sz val="9"/>
        <color theme="1"/>
        <rFont val="Times New Roman"/>
        <family val="1"/>
      </rPr>
      <t xml:space="preserve"> DEL AREA TOTAL, ESTO CON LA FINALIDAD DE NO REALIZAR CARGOS POSTERIORES DE VIATICOS. SI SE DA EL CASO QUE POR CUESTIONES PROPIAS DE LA OBRA EL PERSONAL DE CHISA RECUBIMIENTOS TIENE QUE REGRESAR EN DISTINTAS OCASIONES, SE HARÁN LOS CARGOS CORRESPONDIENTES DE VIATICOS (PASAJES, COMIDAS Y HOSPEDAJES) LAS VECES QUE SEAN NECESARIOS PARA LA EJECUCIÓN DE LOS TRABAJOS. </t>
    </r>
  </si>
  <si>
    <t xml:space="preserve">CONSTRUCTORA: OYM, S.A DE C.V </t>
  </si>
  <si>
    <t>OBRA: HOSPITAL REGIONAL TOLUCA, ISSEMYM</t>
  </si>
  <si>
    <t xml:space="preserve">AT´N: C. CARMEN FARFAN ZARAGOZA </t>
  </si>
  <si>
    <t>CIUDAD DE MEXICO A 01 DE ABRIL DEL 2025</t>
  </si>
  <si>
    <t>PRES. REF. 15963/2025MS</t>
  </si>
  <si>
    <r>
      <t xml:space="preserve">FORMA DE PAGO Y CONSIDERACIONES GENERALES CORRESPONDIENTES AL PRESUPUESTO </t>
    </r>
    <r>
      <rPr>
        <b/>
        <sz val="9"/>
        <color theme="1"/>
        <rFont val="Times New Roman"/>
        <family val="1"/>
      </rPr>
      <t>REF. 15963/2025MS</t>
    </r>
  </si>
  <si>
    <t xml:space="preserve">                C. CARMEN FARFAN ZARAGOZA                                                                  CHISA RECUBRIMIENTOS, S.A. DE C.V</t>
  </si>
  <si>
    <r>
      <t xml:space="preserve">1.-SUMINISTRO Y APLICACIÓN DE CHISA CLEAN PARA REPARACION DE RECUBRIMIENTO MARMO FLEX (GRANO PLANCHADO), REF-S.M.A. EN PANEL DAÑADO, INCLUYE: </t>
    </r>
    <r>
      <rPr>
        <sz val="9"/>
        <color theme="1"/>
        <rFont val="Times New Roman"/>
        <family val="1"/>
      </rPr>
      <t>LIMPIEZA DE LA SUPERFICIE, APLICACIÓN DE CHISA CLEAN CON ASPERSOR PROFESIONAL DE USO MANUAL , PROTECCION DE SUPERFICIES ADYACENTES  CON PAPEL Y MASKING TAPE, LIMPIEZA Y  RETIRO DE SOBRANTES PROPIOS HASTA EL LUGAR INDICADO DENTRO DE  LA OBRA, Y MANO DE OBRA ESPECIALIZADA,   Y  DEMAS DERIVADOS DEL USO DE HERRAMIENTA. INCLUYE ANDAMIAJE.</t>
    </r>
  </si>
  <si>
    <r>
      <t>EN CASO DE SER ACEPTADO EL PRESENTE PRESUPUESTO REQUERIMOS DEL 7</t>
    </r>
    <r>
      <rPr>
        <b/>
        <sz val="9"/>
        <color theme="1"/>
        <rFont val="Times New Roman"/>
        <family val="1"/>
      </rPr>
      <t>0% COMO ANTICIPO</t>
    </r>
    <r>
      <rPr>
        <sz val="9"/>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</si>
  <si>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VOLUMEN</t>
  </si>
  <si>
    <r>
      <t xml:space="preserve">PRECIO  U.                </t>
    </r>
    <r>
      <rPr>
        <sz val="10"/>
        <color theme="1"/>
        <rFont val="Times New Roman"/>
        <family val="1"/>
      </rPr>
      <t xml:space="preserve">       </t>
    </r>
  </si>
  <si>
    <r>
      <t>1.-RECUBRIMIENTO</t>
    </r>
    <r>
      <rPr>
        <b/>
        <sz val="10"/>
        <color theme="1"/>
        <rFont val="Calibri"/>
        <family val="2"/>
        <scheme val="minor"/>
      </rPr>
      <t xml:space="preserve"> </t>
    </r>
    <r>
      <rPr>
        <b/>
        <u/>
        <sz val="10"/>
        <color theme="1"/>
        <rFont val="Calibri"/>
        <family val="2"/>
        <scheme val="minor"/>
      </rPr>
      <t>MARMO</t>
    </r>
    <r>
      <rPr>
        <b/>
        <sz val="10"/>
        <color theme="1"/>
        <rFont val="Calibri"/>
        <family val="2"/>
        <scheme val="minor"/>
      </rPr>
      <t xml:space="preserve"> </t>
    </r>
    <r>
      <rPr>
        <b/>
        <u/>
        <sz val="10"/>
        <color theme="1"/>
        <rFont val="Calibri"/>
        <family val="2"/>
        <scheme val="minor"/>
      </rPr>
      <t>FLEX</t>
    </r>
    <r>
      <rPr>
        <b/>
        <sz val="10"/>
        <color theme="1"/>
        <rFont val="Calibri"/>
        <family val="2"/>
        <scheme val="minor"/>
      </rPr>
      <t xml:space="preserve">, </t>
    </r>
    <r>
      <rPr>
        <b/>
        <u/>
        <sz val="10"/>
        <color theme="1"/>
        <rFont val="Calibri"/>
        <family val="2"/>
        <scheme val="minor"/>
      </rPr>
      <t>MARCA</t>
    </r>
    <r>
      <rPr>
        <b/>
        <sz val="10"/>
        <color theme="1"/>
        <rFont val="Calibri"/>
        <family val="2"/>
        <scheme val="minor"/>
      </rPr>
      <t xml:space="preserve"> </t>
    </r>
    <r>
      <rPr>
        <b/>
        <u/>
        <sz val="10"/>
        <color theme="1"/>
        <rFont val="Calibri"/>
        <family val="2"/>
        <scheme val="minor"/>
      </rPr>
      <t>CHISA</t>
    </r>
    <r>
      <rPr>
        <b/>
        <sz val="10"/>
        <color theme="1"/>
        <rFont val="Calibri"/>
        <family val="2"/>
        <scheme val="minor"/>
      </rPr>
      <t xml:space="preserve"> </t>
    </r>
    <r>
      <rPr>
        <b/>
        <u/>
        <sz val="10"/>
        <color theme="1"/>
        <rFont val="Calibri"/>
        <family val="2"/>
        <scheme val="minor"/>
      </rPr>
      <t>RECUBRIMIENTOS</t>
    </r>
    <r>
      <rPr>
        <b/>
        <sz val="10"/>
        <color theme="1"/>
        <rFont val="Calibri"/>
        <family val="2"/>
        <scheme val="minor"/>
      </rPr>
      <t xml:space="preserve"> </t>
    </r>
    <r>
      <rPr>
        <sz val="10"/>
        <color theme="1"/>
        <rFont val="Calibri"/>
        <family val="2"/>
        <scheme val="minor"/>
      </rPr>
      <t>(GRANO PLANCHADO) . CUBETA DE 19 LT CON 28 KG DE PRODUCTO (REND 5M2).</t>
    </r>
  </si>
  <si>
    <r>
      <t>2.-VITROGLASS PLUS MARCA CHISA RECUBRIMIENTOS</t>
    </r>
    <r>
      <rPr>
        <sz val="10"/>
        <color theme="1"/>
        <rFont val="Calibri"/>
        <family val="2"/>
        <scheme val="minor"/>
      </rPr>
      <t>. CUBETA DE 19 LT DE PRODUCTO (REND 30M2).</t>
    </r>
  </si>
  <si>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10"/>
        <color rgb="FF002060"/>
        <rFont val="Times New Roman"/>
        <family val="1"/>
      </rPr>
      <t>www.chisarecubrimientos.com.mx</t>
    </r>
  </si>
  <si>
    <t>PRES. REF. 16494-S/2026</t>
  </si>
  <si>
    <t>350.00 M2</t>
  </si>
  <si>
    <t>AT´N: ING. LAURA OLIVIA GALATUART ALONSO</t>
  </si>
  <si>
    <t xml:space="preserve">            ING. LAURA OLIVIA GALATUART ALONSO                                                 CHISA RECUBRIMIENTOS, S.A. DE C.V</t>
  </si>
  <si>
    <t>1.-EL PRESENTE PRESUPUESTO TIENE UNA VIGENCIA DE 30 DIAS HABILES, AL TERMINO  DE ESTA FECHA,   NUESTROS PRECIOS PODRIAN CAMBIAR SIN PREVIO AVISO, EN EL MARGEN QUE VARIEN  NUESTRAS MATERIAS PRIMAS.</t>
  </si>
  <si>
    <t xml:space="preserve">CONSTRUCTORA: OYM HOSPITAL TOLUCA </t>
  </si>
  <si>
    <t>CIUDAD DE MEXICO A 29 DE ABRIL DEL 2026</t>
  </si>
  <si>
    <r>
      <t xml:space="preserve">2.-AL ACEPTAR EL PRESENTE PRESUPUESTO REQUERIMOS </t>
    </r>
    <r>
      <rPr>
        <b/>
        <sz val="10"/>
        <color theme="1"/>
        <rFont val="Times New Roman"/>
        <family val="1"/>
      </rPr>
      <t>DEL 50% COMO ANTICIPO Y EL 50% RESTANTE 15 DIAS HABILES AL TERMINO DE LOS TRABAJOS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</si>
</sst>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2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sz val="8"/>
      <name val="Calibri"/>
      <family val="2"/>
      <scheme val="minor"/>
    </font>
    <font>
      <sz val="9"/>
      <color theme="1"/>
      <name val="Calibri"/>
      <family val="2"/>
      <scheme val="minor"/>
    </font>
    <font>
      <sz val="12"/>
      <color theme="1"/>
      <name val="Calibri"/>
      <family val="2"/>
      <scheme val="minor"/>
    </font>
    <font>
      <sz val="12"/>
      <color theme="1"/>
      <name val="Times New Roman"/>
      <family val="1"/>
    </font>
    <font>
      <b/>
      <sz val="12"/>
      <color theme="1"/>
      <name val="Times New Roman"/>
      <family val="1"/>
    </font>
    <font>
      <b/>
      <u/>
      <sz val="12"/>
      <color theme="1"/>
      <name val="Times New Roman"/>
      <family val="1"/>
    </font>
    <font>
      <sz val="10"/>
      <color theme="1"/>
      <name val="Times New Roman"/>
      <family val="1"/>
    </font>
    <font>
      <b/>
      <sz val="10"/>
      <color theme="1"/>
      <name val="Times New Roman"/>
      <family val="1"/>
    </font>
    <font>
      <b/>
      <u/>
      <sz val="10"/>
      <color theme="1"/>
      <name val="Calibri"/>
      <family val="2"/>
      <scheme val="minor"/>
    </font>
    <font>
      <b/>
      <sz val="10"/>
      <color theme="1"/>
      <name val="Calibri"/>
      <family val="2"/>
      <scheme val="minor"/>
    </font>
    <font>
      <sz val="10"/>
      <color theme="1"/>
      <name val="Calibri"/>
      <family val="2"/>
      <scheme val="minor"/>
    </font>
    <font>
      <b/>
      <u/>
      <sz val="10"/>
      <color theme="1"/>
      <name val="Times New Roman"/>
      <family val="1"/>
    </font>
    <font>
      <u/>
      <sz val="10"/>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6" fillId="0" borderId="0" applyFont="0" applyFill="0" applyBorder="0" applyAlignment="0" applyProtection="0"/>
  </cellStyleXfs>
  <cellXfs count="81">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justify" vertical="center"/>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2" fillId="0" borderId="0" xfId="0" applyFont="1" applyAlignment="1">
      <alignment horizontal="right" vertical="center"/>
    </xf>
    <xf numFmtId="0" fontId="7" fillId="0" borderId="0" xfId="0" applyFont="1"/>
    <xf numFmtId="0" fontId="1" fillId="0" borderId="0" xfId="0" applyFont="1"/>
    <xf numFmtId="0" fontId="1" fillId="0" borderId="0" xfId="0" applyFont="1" applyAlignment="1">
      <alignment horizontal="center" vertical="center"/>
    </xf>
    <xf numFmtId="0" fontId="10" fillId="0" borderId="0" xfId="0" applyFont="1" applyAlignment="1">
      <alignment horizontal="justify"/>
    </xf>
    <xf numFmtId="0" fontId="0" fillId="0" borderId="0" xfId="0" applyAlignment="1">
      <alignment horizontal="justify" vertical="top" wrapText="1"/>
    </xf>
    <xf numFmtId="0" fontId="11" fillId="0" borderId="0" xfId="0" applyFont="1"/>
    <xf numFmtId="0" fontId="12" fillId="0" borderId="0" xfId="0" applyFont="1" applyAlignment="1">
      <alignment horizontal="right" vertical="center"/>
    </xf>
    <xf numFmtId="0" fontId="13" fillId="0" borderId="0" xfId="0" applyFont="1" applyAlignment="1">
      <alignment vertical="center"/>
    </xf>
    <xf numFmtId="0" fontId="13" fillId="0" borderId="0" xfId="0" applyFont="1" applyAlignment="1">
      <alignment horizontal="right" vertical="center"/>
    </xf>
    <xf numFmtId="0" fontId="11" fillId="0" borderId="0" xfId="0" applyFont="1" applyAlignment="1">
      <alignment horizontal="justify"/>
    </xf>
    <xf numFmtId="0" fontId="13" fillId="0" borderId="0" xfId="0" applyFont="1" applyAlignment="1">
      <alignment horizontal="justify" vertical="center"/>
    </xf>
    <xf numFmtId="44" fontId="12" fillId="0" borderId="0" xfId="1" applyFont="1" applyAlignment="1">
      <alignment horizontal="right" wrapText="1"/>
    </xf>
    <xf numFmtId="0" fontId="12" fillId="0" borderId="0" xfId="0" applyFont="1" applyAlignment="1">
      <alignment horizontal="justify" vertical="center"/>
    </xf>
    <xf numFmtId="0" fontId="14" fillId="0" borderId="0" xfId="0" applyFont="1" applyAlignment="1">
      <alignment horizontal="right" vertical="top" wrapText="1"/>
    </xf>
    <xf numFmtId="4" fontId="12" fillId="0" borderId="0" xfId="0" applyNumberFormat="1" applyFont="1" applyAlignment="1">
      <alignment horizontal="right" wrapText="1"/>
    </xf>
    <xf numFmtId="0" fontId="12" fillId="0" borderId="0" xfId="0" applyFont="1" applyAlignment="1">
      <alignment horizontal="justify" vertical="center" wrapText="1"/>
    </xf>
    <xf numFmtId="0" fontId="12" fillId="0" borderId="0" xfId="0" applyFont="1" applyAlignment="1">
      <alignment horizontal="justify" vertical="top" wrapText="1"/>
    </xf>
    <xf numFmtId="0" fontId="5" fillId="0" borderId="0" xfId="0" applyFont="1" applyAlignment="1">
      <alignment horizontal="justify" vertical="center"/>
    </xf>
    <xf numFmtId="0" fontId="1" fillId="0" borderId="0" xfId="0" applyFont="1" applyAlignment="1">
      <alignment horizontal="center" wrapText="1"/>
    </xf>
    <xf numFmtId="4" fontId="1" fillId="0" borderId="0" xfId="0" applyNumberFormat="1" applyFont="1" applyAlignment="1">
      <alignment horizontal="center" wrapText="1"/>
    </xf>
    <xf numFmtId="0" fontId="15" fillId="0" borderId="0" xfId="0" applyFont="1" applyAlignment="1">
      <alignment horizontal="right" vertical="center"/>
    </xf>
    <xf numFmtId="0" fontId="16" fillId="0" borderId="0" xfId="0" applyFont="1" applyAlignment="1">
      <alignment vertical="center"/>
    </xf>
    <xf numFmtId="0" fontId="15" fillId="0" borderId="0" xfId="0" applyFont="1"/>
    <xf numFmtId="0" fontId="16" fillId="0" borderId="0" xfId="0" applyFont="1" applyAlignment="1">
      <alignment horizontal="right" vertical="center"/>
    </xf>
    <xf numFmtId="0" fontId="16" fillId="0" borderId="0" xfId="0" applyFont="1" applyAlignment="1">
      <alignment horizontal="justify" vertical="center"/>
    </xf>
    <xf numFmtId="0" fontId="15" fillId="0" borderId="0" xfId="0" applyFont="1" applyAlignment="1">
      <alignment horizontal="justify"/>
    </xf>
    <xf numFmtId="0" fontId="15" fillId="0" borderId="0" xfId="0" applyFont="1" applyAlignment="1">
      <alignment horizontal="justify" vertical="center"/>
    </xf>
    <xf numFmtId="0" fontId="15" fillId="0" borderId="0" xfId="0" applyFont="1" applyAlignment="1">
      <alignment horizontal="justify" vertical="justify" wrapText="1"/>
    </xf>
    <xf numFmtId="0" fontId="17" fillId="0" borderId="0" xfId="0" applyFont="1" applyAlignment="1">
      <alignment wrapText="1"/>
    </xf>
    <xf numFmtId="0" fontId="15" fillId="0" borderId="0" xfId="0" applyFont="1" applyAlignment="1">
      <alignment horizontal="center" vertical="center" wrapText="1"/>
    </xf>
    <xf numFmtId="44" fontId="15" fillId="0" borderId="0" xfId="1" applyFont="1" applyAlignment="1">
      <alignment horizontal="center" vertical="center" wrapText="1"/>
    </xf>
    <xf numFmtId="0" fontId="20" fillId="0" borderId="0" xfId="0" applyFont="1" applyAlignment="1">
      <alignment horizontal="justify" vertical="top" wrapText="1"/>
    </xf>
    <xf numFmtId="0" fontId="15" fillId="0" borderId="0" xfId="0" applyFont="1" applyAlignment="1">
      <alignment horizontal="right" wrapText="1"/>
    </xf>
    <xf numFmtId="0" fontId="20" fillId="0" borderId="0" xfId="0" applyFont="1" applyAlignment="1">
      <alignment horizontal="right" vertical="top" wrapText="1"/>
    </xf>
    <xf numFmtId="0" fontId="15" fillId="0" borderId="0" xfId="0" applyFont="1" applyAlignment="1">
      <alignment horizontal="right" vertical="center" wrapText="1"/>
    </xf>
    <xf numFmtId="44" fontId="15" fillId="0" borderId="0" xfId="1" applyFont="1" applyAlignment="1">
      <alignment horizontal="right" wrapText="1"/>
    </xf>
    <xf numFmtId="0" fontId="15" fillId="0" borderId="0" xfId="0" applyFont="1" applyAlignment="1">
      <alignment horizontal="justify" vertical="center" wrapText="1"/>
    </xf>
    <xf numFmtId="8" fontId="15" fillId="0" borderId="0" xfId="0" applyNumberFormat="1" applyFont="1" applyAlignment="1">
      <alignment horizontal="right" wrapText="1"/>
    </xf>
    <xf numFmtId="44" fontId="15" fillId="0" borderId="0" xfId="1" applyFont="1" applyAlignment="1">
      <alignment horizontal="right" vertical="center" wrapText="1"/>
    </xf>
    <xf numFmtId="0" fontId="15" fillId="0" borderId="0" xfId="0" applyFont="1" applyAlignment="1">
      <alignment horizontal="justify" vertical="top" wrapText="1"/>
    </xf>
    <xf numFmtId="0" fontId="15" fillId="0" borderId="0" xfId="0" applyFont="1" applyAlignment="1">
      <alignment horizontal="left" vertical="center"/>
    </xf>
    <xf numFmtId="0" fontId="15" fillId="0" borderId="0" xfId="0" applyFont="1" applyAlignment="1">
      <alignment horizontal="center" vertical="center"/>
    </xf>
    <xf numFmtId="0" fontId="19" fillId="0" borderId="0" xfId="0" applyFont="1" applyAlignment="1">
      <alignment horizontal="justify"/>
    </xf>
    <xf numFmtId="0" fontId="15" fillId="0" borderId="0" xfId="0" applyFont="1" applyAlignment="1">
      <alignment vertical="center"/>
    </xf>
    <xf numFmtId="0" fontId="15" fillId="0" borderId="0" xfId="0" applyFont="1" applyAlignment="1">
      <alignment vertical="top"/>
    </xf>
    <xf numFmtId="0" fontId="16" fillId="0" borderId="0" xfId="0" applyFont="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alignment horizontal="left" vertical="center"/>
    </xf>
    <xf numFmtId="0" fontId="15"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5" fillId="0" borderId="0" xfId="0" applyFont="1" applyAlignment="1">
      <alignment horizontal="left"/>
    </xf>
    <xf numFmtId="0" fontId="1" fillId="0" borderId="0" xfId="0" applyFont="1" applyAlignment="1">
      <alignment horizontal="justify" vertical="center" wrapText="1"/>
    </xf>
    <xf numFmtId="0" fontId="0" fillId="0" borderId="0" xfId="0" applyAlignment="1">
      <alignment wrapText="1"/>
    </xf>
    <xf numFmtId="0" fontId="1" fillId="0" borderId="0" xfId="0" applyFont="1" applyAlignment="1">
      <alignment horizontal="justify" vertical="top" wrapText="1"/>
    </xf>
    <xf numFmtId="0" fontId="1" fillId="0" borderId="0" xfId="0" applyFont="1" applyAlignment="1">
      <alignment horizontal="left"/>
    </xf>
    <xf numFmtId="0" fontId="2" fillId="0" borderId="0" xfId="0" applyFont="1" applyAlignment="1">
      <alignment horizontal="center" vertical="center" wrapText="1"/>
    </xf>
    <xf numFmtId="0" fontId="0" fillId="0" borderId="0" xfId="0"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wrapText="1"/>
    </xf>
    <xf numFmtId="0" fontId="1" fillId="0" borderId="0" xfId="0" applyFont="1" applyAlignment="1">
      <alignment horizontal="left" vertical="top"/>
    </xf>
    <xf numFmtId="0" fontId="12" fillId="0" borderId="0" xfId="0" applyFont="1" applyAlignment="1">
      <alignment horizontal="left" vertical="top" wrapText="1"/>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'SUMINISTRO Y APLICACION'!$A$29:$E$29</c:f>
              <c:strCache>
                <c:ptCount val="5"/>
                <c:pt idx="3">
                  <c:v>T O T A L</c:v>
                </c:pt>
                <c:pt idx="4">
                  <c:v> $569,038.72 </c:v>
                </c:pt>
              </c:strCache>
            </c:strRef>
          </c:tx>
          <c:spPr>
            <a:solidFill>
              <a:schemeClr val="accent1"/>
            </a:solidFill>
            <a:ln>
              <a:noFill/>
            </a:ln>
            <a:effectLst/>
          </c:spPr>
          <c:invertIfNegative val="0"/>
          <c:val>
            <c:numRef>
              <c:f>'SUMINISTRO Y APLICACION'!$F$29:$F$29</c:f>
              <c:numCache>
                <c:formatCode>General</c:formatCode>
                <c:ptCount val="1"/>
              </c:numCache>
            </c:numRef>
          </c:val>
          <c:extLst>
            <c:ext xmlns:c16="http://schemas.microsoft.com/office/drawing/2014/chart" uri="{C3380CC4-5D6E-409C-BE32-E72D297353CC}">
              <c16:uniqueId val="{00000000-DF58-4756-9B54-7CB67054161D}"/>
            </c:ext>
          </c:extLst>
        </c:ser>
        <c:dLbls>
          <c:showLegendKey val="0"/>
          <c:showVal val="0"/>
          <c:showCatName val="0"/>
          <c:showSerName val="0"/>
          <c:showPercent val="0"/>
          <c:showBubbleSize val="0"/>
        </c:dLbls>
        <c:gapWidth val="219"/>
        <c:overlap val="-27"/>
        <c:axId val="601108208"/>
        <c:axId val="601109040"/>
      </c:barChart>
      <c:catAx>
        <c:axId val="6011082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1109040"/>
        <c:crosses val="autoZero"/>
        <c:auto val="1"/>
        <c:lblAlgn val="ctr"/>
        <c:lblOffset val="100"/>
        <c:noMultiLvlLbl val="0"/>
      </c:catAx>
      <c:valAx>
        <c:axId val="60110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1108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214312</xdr:colOff>
      <xdr:row>55</xdr:row>
      <xdr:rowOff>154781</xdr:rowOff>
    </xdr:from>
    <xdr:to>
      <xdr:col>0</xdr:col>
      <xdr:colOff>2750344</xdr:colOff>
      <xdr:row>55</xdr:row>
      <xdr:rowOff>166688</xdr:rowOff>
    </xdr:to>
    <xdr:cxnSp macro="">
      <xdr:nvCxnSpPr>
        <xdr:cNvPr id="3" name="Conector recto 2">
          <a:extLst>
            <a:ext uri="{FF2B5EF4-FFF2-40B4-BE49-F238E27FC236}">
              <a16:creationId xmlns:a16="http://schemas.microsoft.com/office/drawing/2014/main" id="{F3382178-372F-8BA0-2098-47CF8F64078D}"/>
            </a:ext>
          </a:extLst>
        </xdr:cNvPr>
        <xdr:cNvCxnSpPr/>
      </xdr:nvCxnSpPr>
      <xdr:spPr>
        <a:xfrm>
          <a:off x="214312" y="20026312"/>
          <a:ext cx="2536032" cy="119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130969</xdr:colOff>
      <xdr:row>55</xdr:row>
      <xdr:rowOff>142875</xdr:rowOff>
    </xdr:from>
    <xdr:to>
      <xdr:col>3</xdr:col>
      <xdr:colOff>916781</xdr:colOff>
      <xdr:row>55</xdr:row>
      <xdr:rowOff>154781</xdr:rowOff>
    </xdr:to>
    <xdr:cxnSp macro="">
      <xdr:nvCxnSpPr>
        <xdr:cNvPr id="7" name="Conector recto 6">
          <a:extLst>
            <a:ext uri="{FF2B5EF4-FFF2-40B4-BE49-F238E27FC236}">
              <a16:creationId xmlns:a16="http://schemas.microsoft.com/office/drawing/2014/main" id="{277DE676-5602-614A-1D2D-AE5693950E62}"/>
            </a:ext>
          </a:extLst>
        </xdr:cNvPr>
        <xdr:cNvCxnSpPr/>
      </xdr:nvCxnSpPr>
      <xdr:spPr>
        <a:xfrm flipV="1">
          <a:off x="3845719" y="20014406"/>
          <a:ext cx="2619375" cy="119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214312</xdr:colOff>
      <xdr:row>43</xdr:row>
      <xdr:rowOff>154781</xdr:rowOff>
    </xdr:from>
    <xdr:to>
      <xdr:col>1</xdr:col>
      <xdr:colOff>2750344</xdr:colOff>
      <xdr:row>43</xdr:row>
      <xdr:rowOff>166688</xdr:rowOff>
    </xdr:to>
    <xdr:cxnSp macro="">
      <xdr:nvCxnSpPr>
        <xdr:cNvPr id="3" name="Conector recto 2">
          <a:extLst>
            <a:ext uri="{FF2B5EF4-FFF2-40B4-BE49-F238E27FC236}">
              <a16:creationId xmlns:a16="http://schemas.microsoft.com/office/drawing/2014/main" id="{2B0EEBA4-F712-4D97-A518-5FCE4965BAE7}"/>
            </a:ext>
          </a:extLst>
        </xdr:cNvPr>
        <xdr:cNvCxnSpPr/>
      </xdr:nvCxnSpPr>
      <xdr:spPr>
        <a:xfrm>
          <a:off x="214312" y="18033206"/>
          <a:ext cx="2536032" cy="119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638175</xdr:colOff>
      <xdr:row>43</xdr:row>
      <xdr:rowOff>133350</xdr:rowOff>
    </xdr:from>
    <xdr:to>
      <xdr:col>6</xdr:col>
      <xdr:colOff>240506</xdr:colOff>
      <xdr:row>43</xdr:row>
      <xdr:rowOff>133350</xdr:rowOff>
    </xdr:to>
    <xdr:cxnSp macro="">
      <xdr:nvCxnSpPr>
        <xdr:cNvPr id="4" name="Conector recto 3">
          <a:extLst>
            <a:ext uri="{FF2B5EF4-FFF2-40B4-BE49-F238E27FC236}">
              <a16:creationId xmlns:a16="http://schemas.microsoft.com/office/drawing/2014/main" id="{4CE79BD1-C352-41A8-841E-9FCF9F5A71A7}"/>
            </a:ext>
          </a:extLst>
        </xdr:cNvPr>
        <xdr:cNvCxnSpPr/>
      </xdr:nvCxnSpPr>
      <xdr:spPr>
        <a:xfrm>
          <a:off x="3990975" y="9763125"/>
          <a:ext cx="246935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371474</xdr:colOff>
      <xdr:row>0</xdr:row>
      <xdr:rowOff>85725</xdr:rowOff>
    </xdr:from>
    <xdr:to>
      <xdr:col>6</xdr:col>
      <xdr:colOff>819150</xdr:colOff>
      <xdr:row>6</xdr:row>
      <xdr:rowOff>85935</xdr:rowOff>
    </xdr:to>
    <xdr:pic>
      <xdr:nvPicPr>
        <xdr:cNvPr id="7" name="Imagen 6">
          <a:extLst>
            <a:ext uri="{FF2B5EF4-FFF2-40B4-BE49-F238E27FC236}">
              <a16:creationId xmlns:a16="http://schemas.microsoft.com/office/drawing/2014/main" id="{0E2B7E49-CDED-512F-B73A-42F15C70EFF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884" r="11913"/>
        <a:stretch>
          <a:fillRect/>
        </a:stretch>
      </xdr:blipFill>
      <xdr:spPr>
        <a:xfrm>
          <a:off x="5133974" y="85725"/>
          <a:ext cx="1905001" cy="1143210"/>
        </a:xfrm>
        <a:prstGeom prst="rect">
          <a:avLst/>
        </a:prstGeom>
      </xdr:spPr>
    </xdr:pic>
    <xdr:clientData/>
  </xdr:twoCellAnchor>
  <xdr:twoCellAnchor editAs="oneCell">
    <xdr:from>
      <xdr:col>1</xdr:col>
      <xdr:colOff>142876</xdr:colOff>
      <xdr:row>49</xdr:row>
      <xdr:rowOff>114299</xdr:rowOff>
    </xdr:from>
    <xdr:to>
      <xdr:col>6</xdr:col>
      <xdr:colOff>685801</xdr:colOff>
      <xdr:row>53</xdr:row>
      <xdr:rowOff>66674</xdr:rowOff>
    </xdr:to>
    <xdr:pic>
      <xdr:nvPicPr>
        <xdr:cNvPr id="9" name="Imagen 8">
          <a:extLst>
            <a:ext uri="{FF2B5EF4-FFF2-40B4-BE49-F238E27FC236}">
              <a16:creationId xmlns:a16="http://schemas.microsoft.com/office/drawing/2014/main" id="{99FB6BE7-E344-F677-E3AB-48018A5E7F4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2500" r="8452" b="38158"/>
        <a:stretch>
          <a:fillRect/>
        </a:stretch>
      </xdr:blipFill>
      <xdr:spPr>
        <a:xfrm>
          <a:off x="200026" y="10887074"/>
          <a:ext cx="6705600" cy="7143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9:F66"/>
  <sheetViews>
    <sheetView topLeftCell="A46" zoomScale="80" zoomScaleNormal="80" workbookViewId="0">
      <selection activeCell="A53" sqref="A53:E57"/>
    </sheetView>
  </sheetViews>
  <sheetFormatPr baseColWidth="10" defaultRowHeight="15" x14ac:dyDescent="0.25"/>
  <cols>
    <col min="1" max="1" width="55.7109375" customWidth="1"/>
    <col min="2" max="2" width="12.28515625" customWidth="1"/>
    <col min="3" max="3" width="15.140625" customWidth="1"/>
    <col min="4" max="4" width="14.140625" customWidth="1"/>
    <col min="5" max="5" width="18.5703125" customWidth="1"/>
  </cols>
  <sheetData>
    <row r="9" spans="1:5" x14ac:dyDescent="0.25">
      <c r="A9" s="73" t="s">
        <v>38</v>
      </c>
      <c r="B9" s="73"/>
      <c r="C9" s="73"/>
      <c r="D9" s="73"/>
      <c r="E9" s="73"/>
    </row>
    <row r="10" spans="1:5" ht="15.75" x14ac:dyDescent="0.25">
      <c r="A10" s="20"/>
      <c r="B10" s="20"/>
      <c r="C10" s="20"/>
      <c r="D10" s="20"/>
      <c r="E10" s="20"/>
    </row>
    <row r="11" spans="1:5" ht="15.75" x14ac:dyDescent="0.25">
      <c r="A11" s="20"/>
      <c r="B11" s="20"/>
      <c r="C11" s="20"/>
      <c r="D11" s="20"/>
      <c r="E11" s="20"/>
    </row>
    <row r="12" spans="1:5" ht="15.75" x14ac:dyDescent="0.25">
      <c r="A12" s="21"/>
      <c r="B12" s="19"/>
      <c r="C12" s="19"/>
      <c r="D12" s="19"/>
      <c r="E12" s="19"/>
    </row>
    <row r="13" spans="1:5" ht="15.75" x14ac:dyDescent="0.25">
      <c r="A13" s="1" t="s">
        <v>35</v>
      </c>
      <c r="B13" s="19"/>
      <c r="C13" s="19"/>
      <c r="D13" s="19"/>
      <c r="E13" s="19"/>
    </row>
    <row r="14" spans="1:5" ht="17.25" customHeight="1" x14ac:dyDescent="0.25">
      <c r="A14" s="1" t="s">
        <v>0</v>
      </c>
      <c r="B14" s="19"/>
      <c r="C14" s="19"/>
      <c r="D14" s="19"/>
      <c r="E14" s="19"/>
    </row>
    <row r="15" spans="1:5" ht="16.5" customHeight="1" x14ac:dyDescent="0.25">
      <c r="A15" s="21"/>
      <c r="B15" s="19"/>
      <c r="C15" s="19"/>
      <c r="D15" s="19"/>
      <c r="E15" s="19"/>
    </row>
    <row r="16" spans="1:5" ht="16.5" customHeight="1" x14ac:dyDescent="0.25">
      <c r="A16" s="21"/>
      <c r="B16" s="19"/>
      <c r="C16" s="19"/>
      <c r="D16" s="19"/>
      <c r="E16" s="19"/>
    </row>
    <row r="17" spans="1:6" ht="16.5" customHeight="1" x14ac:dyDescent="0.25">
      <c r="A17" s="74" t="s">
        <v>37</v>
      </c>
      <c r="B17" s="74"/>
      <c r="C17" s="74"/>
      <c r="D17" s="74"/>
      <c r="E17" s="74"/>
    </row>
    <row r="18" spans="1:6" ht="15.75" x14ac:dyDescent="0.25">
      <c r="A18" s="22"/>
      <c r="B18" s="19"/>
      <c r="C18" s="19"/>
      <c r="D18" s="19"/>
      <c r="E18" s="19"/>
    </row>
    <row r="19" spans="1:6" x14ac:dyDescent="0.25">
      <c r="A19" s="75" t="s">
        <v>36</v>
      </c>
      <c r="B19" s="75"/>
      <c r="C19" s="75"/>
      <c r="D19" s="75"/>
      <c r="E19" s="75"/>
    </row>
    <row r="20" spans="1:6" ht="15.75" x14ac:dyDescent="0.25">
      <c r="A20" s="1" t="s">
        <v>39</v>
      </c>
      <c r="B20" s="23"/>
      <c r="C20" s="23"/>
      <c r="D20" s="23"/>
      <c r="E20" s="19"/>
    </row>
    <row r="21" spans="1:6" x14ac:dyDescent="0.25">
      <c r="A21" s="76" t="s">
        <v>30</v>
      </c>
      <c r="B21" s="76"/>
      <c r="C21" s="76"/>
      <c r="D21" s="76"/>
      <c r="E21" s="76"/>
    </row>
    <row r="22" spans="1:6" ht="15.75" x14ac:dyDescent="0.25">
      <c r="A22" s="77"/>
      <c r="B22" s="77"/>
      <c r="C22" s="77"/>
      <c r="D22" s="77"/>
      <c r="E22" s="77"/>
    </row>
    <row r="23" spans="1:6" ht="15.75" x14ac:dyDescent="0.25">
      <c r="A23" s="24" t="s">
        <v>21</v>
      </c>
      <c r="B23" s="13" t="s">
        <v>29</v>
      </c>
      <c r="C23" s="13" t="s">
        <v>19</v>
      </c>
      <c r="D23" s="13" t="s">
        <v>26</v>
      </c>
      <c r="E23" s="13" t="s">
        <v>20</v>
      </c>
    </row>
    <row r="24" spans="1:6" ht="15.75" x14ac:dyDescent="0.25">
      <c r="A24" s="24"/>
      <c r="B24" s="13"/>
      <c r="C24" s="13"/>
      <c r="D24" s="13"/>
      <c r="E24" s="13"/>
    </row>
    <row r="25" spans="1:6" ht="127.5" customHeight="1" x14ac:dyDescent="0.25">
      <c r="A25" s="31" t="s">
        <v>42</v>
      </c>
      <c r="B25" s="32" t="s">
        <v>22</v>
      </c>
      <c r="C25" s="33">
        <v>4641.41</v>
      </c>
      <c r="D25" s="7">
        <v>105.69</v>
      </c>
      <c r="E25" s="7">
        <f>D25*C25</f>
        <v>490550.62289999996</v>
      </c>
    </row>
    <row r="26" spans="1:6" ht="23.25" customHeight="1" x14ac:dyDescent="0.25">
      <c r="A26" s="26"/>
      <c r="B26" s="27"/>
      <c r="C26" s="28"/>
      <c r="D26" s="25"/>
      <c r="E26" s="25"/>
    </row>
    <row r="27" spans="1:6" ht="19.5" customHeight="1" x14ac:dyDescent="0.25">
      <c r="A27" s="27"/>
      <c r="B27" s="27"/>
      <c r="C27" s="28"/>
      <c r="D27" s="3" t="s">
        <v>2</v>
      </c>
      <c r="E27" s="8">
        <f>SUM(E25:E26)</f>
        <v>490550.62289999996</v>
      </c>
    </row>
    <row r="28" spans="1:6" ht="19.5" customHeight="1" x14ac:dyDescent="0.25">
      <c r="A28" s="29"/>
      <c r="B28" s="29"/>
      <c r="C28" s="29"/>
      <c r="D28" s="3" t="s">
        <v>3</v>
      </c>
      <c r="E28" s="8">
        <f>E27*0.16</f>
        <v>78488.099663999994</v>
      </c>
    </row>
    <row r="29" spans="1:6" ht="19.5" customHeight="1" x14ac:dyDescent="0.25">
      <c r="A29" s="29"/>
      <c r="B29" s="29"/>
      <c r="C29" s="30"/>
      <c r="D29" s="3" t="s">
        <v>4</v>
      </c>
      <c r="E29" s="8">
        <f>SUM(E27:E28)</f>
        <v>569038.72256399994</v>
      </c>
      <c r="F29" s="2"/>
    </row>
    <row r="30" spans="1:6" ht="19.5" customHeight="1" x14ac:dyDescent="0.25">
      <c r="A30" s="29"/>
      <c r="B30" s="29"/>
      <c r="C30" s="30"/>
      <c r="D30" s="3"/>
      <c r="E30" s="8"/>
      <c r="F30" s="2"/>
    </row>
    <row r="31" spans="1:6" ht="69.75" customHeight="1" x14ac:dyDescent="0.25">
      <c r="A31" s="67" t="s">
        <v>34</v>
      </c>
      <c r="B31" s="67"/>
      <c r="C31" s="67"/>
      <c r="D31" s="67"/>
      <c r="E31" s="67"/>
      <c r="F31" s="2"/>
    </row>
    <row r="32" spans="1:6" ht="15.75" x14ac:dyDescent="0.25">
      <c r="A32" s="29"/>
      <c r="B32" s="29"/>
      <c r="C32" s="30"/>
      <c r="D32" s="3"/>
      <c r="E32" s="8"/>
      <c r="F32" s="2"/>
    </row>
    <row r="33" spans="1:6" ht="15.75" x14ac:dyDescent="0.25">
      <c r="A33" s="29"/>
      <c r="B33" s="29"/>
      <c r="C33" s="30"/>
      <c r="D33" s="3"/>
      <c r="E33" s="8"/>
      <c r="F33" s="2"/>
    </row>
    <row r="34" spans="1:6" ht="15.75" x14ac:dyDescent="0.25">
      <c r="A34" s="29"/>
      <c r="B34" s="29"/>
      <c r="C34" s="30"/>
      <c r="D34" s="3"/>
      <c r="E34" s="8"/>
      <c r="F34" s="2"/>
    </row>
    <row r="35" spans="1:6" ht="33" customHeight="1" x14ac:dyDescent="0.25">
      <c r="A35" s="3"/>
      <c r="B35" s="3"/>
      <c r="C35" s="18"/>
      <c r="D35" s="3"/>
      <c r="E35" s="3"/>
    </row>
    <row r="36" spans="1:6" x14ac:dyDescent="0.25">
      <c r="A36" s="78" t="s">
        <v>40</v>
      </c>
      <c r="B36" s="78"/>
      <c r="C36" s="78"/>
      <c r="D36" s="78"/>
      <c r="E36" s="78"/>
    </row>
    <row r="37" spans="1:6" ht="27.75" customHeight="1" x14ac:dyDescent="0.25">
      <c r="A37" s="79" t="s">
        <v>36</v>
      </c>
      <c r="B37" s="79"/>
      <c r="C37" s="79"/>
      <c r="D37" s="79"/>
      <c r="E37" s="79"/>
    </row>
    <row r="38" spans="1:6" ht="24.75" customHeight="1" x14ac:dyDescent="0.25">
      <c r="A38" s="80" t="s">
        <v>5</v>
      </c>
      <c r="B38" s="80"/>
      <c r="C38" s="80"/>
      <c r="D38" s="80"/>
      <c r="E38" s="80"/>
    </row>
    <row r="39" spans="1:6" ht="65.25" customHeight="1" x14ac:dyDescent="0.25">
      <c r="A39" s="67" t="s">
        <v>43</v>
      </c>
      <c r="B39" s="67"/>
      <c r="C39" s="67"/>
      <c r="D39" s="67"/>
      <c r="E39" s="67"/>
    </row>
    <row r="40" spans="1:6" ht="33" customHeight="1" x14ac:dyDescent="0.25">
      <c r="A40" s="71" t="s">
        <v>6</v>
      </c>
      <c r="B40" s="72"/>
      <c r="C40" s="72"/>
      <c r="D40" s="72"/>
      <c r="E40" s="72"/>
    </row>
    <row r="41" spans="1:6" ht="30.75" customHeight="1" x14ac:dyDescent="0.25">
      <c r="A41" s="67" t="s">
        <v>7</v>
      </c>
      <c r="B41" s="67"/>
      <c r="C41" s="67"/>
      <c r="D41" s="67"/>
      <c r="E41" s="67"/>
    </row>
    <row r="42" spans="1:6" ht="37.5" customHeight="1" x14ac:dyDescent="0.25">
      <c r="A42" s="69" t="s">
        <v>8</v>
      </c>
      <c r="B42" s="69"/>
      <c r="C42" s="69"/>
      <c r="D42" s="69"/>
      <c r="E42" s="69"/>
    </row>
    <row r="43" spans="1:6" ht="54" customHeight="1" x14ac:dyDescent="0.25">
      <c r="A43" s="69" t="s">
        <v>9</v>
      </c>
      <c r="B43" s="69"/>
      <c r="C43" s="69"/>
      <c r="D43" s="69"/>
      <c r="E43" s="69"/>
    </row>
    <row r="44" spans="1:6" ht="29.25" customHeight="1" x14ac:dyDescent="0.25">
      <c r="A44" s="69" t="s">
        <v>10</v>
      </c>
      <c r="B44" s="69"/>
      <c r="C44" s="69"/>
      <c r="D44" s="69"/>
      <c r="E44" s="69"/>
    </row>
    <row r="45" spans="1:6" ht="69.75" customHeight="1" x14ac:dyDescent="0.25">
      <c r="A45" s="67" t="s">
        <v>11</v>
      </c>
      <c r="B45" s="67"/>
      <c r="C45" s="67"/>
      <c r="D45" s="67"/>
      <c r="E45" s="67"/>
    </row>
    <row r="46" spans="1:6" ht="24.75" customHeight="1" x14ac:dyDescent="0.25">
      <c r="A46" s="67" t="s">
        <v>12</v>
      </c>
      <c r="B46" s="67"/>
      <c r="C46" s="67"/>
      <c r="D46" s="67"/>
      <c r="E46" s="67"/>
    </row>
    <row r="47" spans="1:6" ht="54" customHeight="1" x14ac:dyDescent="0.25">
      <c r="A47" s="67" t="s">
        <v>13</v>
      </c>
      <c r="B47" s="67"/>
      <c r="C47" s="67"/>
      <c r="D47" s="67"/>
      <c r="E47" s="67"/>
    </row>
    <row r="48" spans="1:6" ht="32.25" customHeight="1" x14ac:dyDescent="0.25">
      <c r="A48" s="67" t="s">
        <v>14</v>
      </c>
      <c r="B48" s="67"/>
      <c r="C48" s="67"/>
      <c r="D48" s="67"/>
      <c r="E48" s="68"/>
    </row>
    <row r="49" spans="1:5" ht="67.5" customHeight="1" x14ac:dyDescent="0.25">
      <c r="A49" s="69" t="s">
        <v>15</v>
      </c>
      <c r="B49" s="69"/>
      <c r="C49" s="69"/>
      <c r="D49" s="69"/>
      <c r="E49" s="69"/>
    </row>
    <row r="50" spans="1:5" x14ac:dyDescent="0.25">
      <c r="A50" s="67" t="s">
        <v>16</v>
      </c>
      <c r="B50" s="67"/>
      <c r="C50" s="67"/>
      <c r="D50" s="67"/>
      <c r="E50" s="67"/>
    </row>
    <row r="51" spans="1:5" x14ac:dyDescent="0.25">
      <c r="A51" s="6" t="s">
        <v>17</v>
      </c>
      <c r="B51" s="6"/>
      <c r="C51" s="17"/>
      <c r="D51" s="17"/>
      <c r="E51" s="17"/>
    </row>
    <row r="52" spans="1:5" x14ac:dyDescent="0.25">
      <c r="A52" s="6" t="s">
        <v>18</v>
      </c>
      <c r="B52" s="6"/>
      <c r="C52" s="17"/>
      <c r="D52" s="17"/>
      <c r="E52" s="17"/>
    </row>
    <row r="53" spans="1:5" x14ac:dyDescent="0.25">
      <c r="A53" s="5" t="s">
        <v>31</v>
      </c>
      <c r="B53" s="16"/>
      <c r="C53" s="70" t="s">
        <v>32</v>
      </c>
      <c r="D53" s="70"/>
      <c r="E53" s="70"/>
    </row>
    <row r="54" spans="1:5" x14ac:dyDescent="0.25">
      <c r="A54" s="6"/>
      <c r="B54" s="6"/>
      <c r="C54" s="17"/>
      <c r="D54" s="17"/>
      <c r="E54" s="17"/>
    </row>
    <row r="55" spans="1:5" x14ac:dyDescent="0.25">
      <c r="A55" s="6"/>
      <c r="B55" s="6"/>
      <c r="C55" s="17"/>
      <c r="D55" s="17"/>
      <c r="E55" s="17"/>
    </row>
    <row r="56" spans="1:5" x14ac:dyDescent="0.25">
      <c r="A56" s="16" t="s">
        <v>33</v>
      </c>
      <c r="B56" s="9"/>
      <c r="C56" s="17"/>
      <c r="D56" s="17"/>
      <c r="E56" s="17"/>
    </row>
    <row r="57" spans="1:5" x14ac:dyDescent="0.25">
      <c r="A57" s="10" t="s">
        <v>41</v>
      </c>
      <c r="B57" s="10"/>
      <c r="C57" s="17"/>
      <c r="D57" s="17"/>
      <c r="E57" s="17"/>
    </row>
    <row r="58" spans="1:5" x14ac:dyDescent="0.25">
      <c r="A58" s="10"/>
      <c r="B58" s="10"/>
      <c r="C58" s="17"/>
      <c r="D58" s="17"/>
      <c r="E58" s="17"/>
    </row>
    <row r="63" spans="1:5" x14ac:dyDescent="0.25">
      <c r="A63" s="4"/>
      <c r="B63" s="4"/>
    </row>
    <row r="64" spans="1:5" x14ac:dyDescent="0.25">
      <c r="A64" s="4"/>
      <c r="B64" s="4"/>
    </row>
    <row r="66" spans="1:2" x14ac:dyDescent="0.25">
      <c r="A66" s="2"/>
      <c r="B66" s="2"/>
    </row>
  </sheetData>
  <mergeCells count="22">
    <mergeCell ref="A50:E50"/>
    <mergeCell ref="C53:E53"/>
    <mergeCell ref="A40:E40"/>
    <mergeCell ref="A9:E9"/>
    <mergeCell ref="A17:E17"/>
    <mergeCell ref="A19:E19"/>
    <mergeCell ref="A21:E21"/>
    <mergeCell ref="A22:E22"/>
    <mergeCell ref="A49:E49"/>
    <mergeCell ref="A36:E36"/>
    <mergeCell ref="A37:E37"/>
    <mergeCell ref="A39:E39"/>
    <mergeCell ref="A38:E38"/>
    <mergeCell ref="A41:E41"/>
    <mergeCell ref="A42:E42"/>
    <mergeCell ref="A43:E43"/>
    <mergeCell ref="A31:E31"/>
    <mergeCell ref="A45:E45"/>
    <mergeCell ref="A46:E46"/>
    <mergeCell ref="A47:E47"/>
    <mergeCell ref="A48:E48"/>
    <mergeCell ref="A44:E44"/>
  </mergeCells>
  <phoneticPr fontId="9" type="noConversion"/>
  <pageMargins left="0.70866141732283472" right="0.70866141732283472" top="0.74803149606299213" bottom="0.74803149606299213" header="0.31496062992125984" footer="0.31496062992125984"/>
  <pageSetup paperSize="9" scale="75" fitToHeight="0" orientation="portrait" horizontalDpi="4294967293" r:id="rId1"/>
  <headerFooter>
    <oddHeader>&amp;R&amp;G</oddHeader>
    <oddFooter>&amp;C&amp;G</oddFooter>
  </headerFooter>
  <rowBreaks count="1" manualBreakCount="1">
    <brk id="34"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4:P54"/>
  <sheetViews>
    <sheetView tabSelected="1" topLeftCell="A13" zoomScaleNormal="100" zoomScalePageLayoutView="50" workbookViewId="0">
      <selection activeCell="P54" sqref="P54"/>
    </sheetView>
  </sheetViews>
  <sheetFormatPr baseColWidth="10" defaultRowHeight="15" x14ac:dyDescent="0.25"/>
  <cols>
    <col min="1" max="1" width="0.85546875" style="12" customWidth="1"/>
    <col min="2" max="2" width="49.42578125" customWidth="1"/>
    <col min="3" max="4" width="10.5703125" customWidth="1"/>
    <col min="5" max="5" width="10" customWidth="1"/>
    <col min="6" max="6" width="11.85546875" customWidth="1"/>
    <col min="7" max="7" width="12.85546875" customWidth="1"/>
  </cols>
  <sheetData>
    <row r="4" spans="2:7" x14ac:dyDescent="0.25">
      <c r="B4" s="15"/>
      <c r="C4" s="15"/>
      <c r="D4" s="15"/>
      <c r="E4" s="15"/>
      <c r="F4" s="15"/>
      <c r="G4" s="15"/>
    </row>
    <row r="5" spans="2:7" x14ac:dyDescent="0.25">
      <c r="B5" s="15"/>
      <c r="C5" s="15"/>
      <c r="D5" s="15"/>
      <c r="E5" s="15"/>
      <c r="F5" s="15"/>
      <c r="G5" s="15"/>
    </row>
    <row r="6" spans="2:7" x14ac:dyDescent="0.25">
      <c r="B6" s="15"/>
      <c r="C6" s="15"/>
      <c r="D6" s="15"/>
      <c r="E6" s="15"/>
      <c r="F6" s="15"/>
      <c r="G6" s="15"/>
    </row>
    <row r="7" spans="2:7" x14ac:dyDescent="0.25">
      <c r="B7" s="15"/>
      <c r="C7" s="15"/>
      <c r="D7" s="15"/>
      <c r="E7" s="15"/>
      <c r="F7" s="15"/>
      <c r="G7" s="15"/>
    </row>
    <row r="8" spans="2:7" x14ac:dyDescent="0.25">
      <c r="B8" s="15"/>
      <c r="C8" s="15"/>
      <c r="D8" s="15"/>
      <c r="E8" s="15"/>
      <c r="F8" s="15"/>
      <c r="G8" s="15"/>
    </row>
    <row r="9" spans="2:7" x14ac:dyDescent="0.25">
      <c r="B9" s="60" t="s">
        <v>55</v>
      </c>
      <c r="C9" s="60"/>
      <c r="D9" s="60"/>
      <c r="E9" s="60"/>
      <c r="F9" s="60"/>
      <c r="G9" s="60"/>
    </row>
    <row r="10" spans="2:7" x14ac:dyDescent="0.25">
      <c r="B10" s="34"/>
      <c r="C10" s="34"/>
      <c r="D10" s="34"/>
      <c r="E10" s="34"/>
      <c r="F10" s="34"/>
      <c r="G10" s="34"/>
    </row>
    <row r="11" spans="2:7" x14ac:dyDescent="0.25">
      <c r="B11" s="35" t="s">
        <v>54</v>
      </c>
      <c r="C11" s="35"/>
      <c r="D11" s="35"/>
      <c r="E11" s="36"/>
      <c r="F11" s="36"/>
      <c r="G11" s="36"/>
    </row>
    <row r="12" spans="2:7" x14ac:dyDescent="0.25">
      <c r="B12" s="35" t="s">
        <v>0</v>
      </c>
      <c r="C12" s="35"/>
      <c r="D12" s="35"/>
      <c r="E12" s="36"/>
      <c r="F12" s="36"/>
      <c r="G12" s="36"/>
    </row>
    <row r="13" spans="2:7" x14ac:dyDescent="0.25">
      <c r="B13" s="35"/>
      <c r="C13" s="35"/>
      <c r="D13" s="35"/>
      <c r="E13" s="36"/>
      <c r="F13" s="36"/>
      <c r="G13" s="36"/>
    </row>
    <row r="14" spans="2:7" x14ac:dyDescent="0.25">
      <c r="B14" s="61" t="s">
        <v>51</v>
      </c>
      <c r="C14" s="61"/>
      <c r="D14" s="61"/>
      <c r="E14" s="61"/>
      <c r="F14" s="61"/>
      <c r="G14" s="61"/>
    </row>
    <row r="15" spans="2:7" x14ac:dyDescent="0.25">
      <c r="B15" s="37"/>
      <c r="C15" s="37"/>
      <c r="D15" s="37"/>
      <c r="E15" s="37"/>
      <c r="F15" s="37"/>
      <c r="G15" s="37"/>
    </row>
    <row r="16" spans="2:7" x14ac:dyDescent="0.25">
      <c r="B16" s="37"/>
      <c r="C16" s="37"/>
      <c r="D16" s="37"/>
      <c r="E16" s="37"/>
      <c r="F16" s="37"/>
      <c r="G16" s="37"/>
    </row>
    <row r="17" spans="2:7" x14ac:dyDescent="0.25">
      <c r="B17" s="62"/>
      <c r="C17" s="62"/>
      <c r="D17" s="62"/>
      <c r="E17" s="62"/>
      <c r="F17" s="62"/>
      <c r="G17" s="62"/>
    </row>
    <row r="18" spans="2:7" ht="12.75" customHeight="1" x14ac:dyDescent="0.25">
      <c r="B18" s="38" t="s">
        <v>49</v>
      </c>
      <c r="C18" s="38"/>
      <c r="D18" s="38"/>
      <c r="E18" s="39"/>
      <c r="F18" s="39"/>
      <c r="G18" s="39"/>
    </row>
    <row r="19" spans="2:7" ht="13.5" customHeight="1" x14ac:dyDescent="0.25">
      <c r="B19" s="40" t="s">
        <v>1</v>
      </c>
      <c r="C19" s="40"/>
      <c r="D19" s="40"/>
      <c r="E19" s="39"/>
      <c r="F19" s="39"/>
      <c r="G19" s="39"/>
    </row>
    <row r="20" spans="2:7" ht="21.75" customHeight="1" x14ac:dyDescent="0.25">
      <c r="B20" s="63" t="s">
        <v>23</v>
      </c>
      <c r="C20" s="63"/>
      <c r="D20" s="63"/>
      <c r="E20" s="63"/>
      <c r="F20" s="63"/>
      <c r="G20" s="63"/>
    </row>
    <row r="21" spans="2:7" x14ac:dyDescent="0.25">
      <c r="B21" s="38" t="s">
        <v>21</v>
      </c>
      <c r="C21" s="38" t="s">
        <v>19</v>
      </c>
      <c r="D21" s="59" t="s">
        <v>29</v>
      </c>
      <c r="E21" s="38" t="s">
        <v>44</v>
      </c>
      <c r="F21" s="59" t="s">
        <v>45</v>
      </c>
      <c r="G21" s="59" t="s">
        <v>20</v>
      </c>
    </row>
    <row r="22" spans="2:7" x14ac:dyDescent="0.25">
      <c r="B22" s="38"/>
      <c r="C22" s="38"/>
      <c r="D22" s="38"/>
      <c r="E22" s="38"/>
      <c r="F22" s="37"/>
      <c r="G22" s="37"/>
    </row>
    <row r="23" spans="2:7" ht="39" x14ac:dyDescent="0.25">
      <c r="B23" s="42" t="s">
        <v>46</v>
      </c>
      <c r="C23" s="43">
        <v>70</v>
      </c>
      <c r="D23" s="43" t="s">
        <v>25</v>
      </c>
      <c r="E23" s="43" t="s">
        <v>50</v>
      </c>
      <c r="F23" s="44">
        <v>3725</v>
      </c>
      <c r="G23" s="44">
        <f>F23*C23</f>
        <v>260750</v>
      </c>
    </row>
    <row r="24" spans="2:7" ht="26.25" x14ac:dyDescent="0.25">
      <c r="B24" s="42" t="s">
        <v>47</v>
      </c>
      <c r="C24" s="43">
        <v>12</v>
      </c>
      <c r="D24" s="43" t="s">
        <v>25</v>
      </c>
      <c r="E24" s="43" t="s">
        <v>50</v>
      </c>
      <c r="F24" s="44">
        <v>4650.76</v>
      </c>
      <c r="G24" s="44">
        <f>F24*C24</f>
        <v>55809.120000000003</v>
      </c>
    </row>
    <row r="25" spans="2:7" x14ac:dyDescent="0.25">
      <c r="B25" s="45"/>
      <c r="C25" s="45"/>
      <c r="D25" s="45"/>
      <c r="E25" s="46"/>
      <c r="F25" s="36"/>
      <c r="G25" s="36"/>
    </row>
    <row r="26" spans="2:7" x14ac:dyDescent="0.25">
      <c r="B26" s="47"/>
      <c r="C26" s="47"/>
      <c r="D26" s="47"/>
      <c r="E26" s="48"/>
      <c r="F26" s="49"/>
      <c r="G26" s="49"/>
    </row>
    <row r="27" spans="2:7" x14ac:dyDescent="0.25">
      <c r="B27" s="50"/>
      <c r="C27" s="50"/>
      <c r="D27" s="50"/>
      <c r="E27" s="48"/>
      <c r="F27" s="51"/>
      <c r="G27" s="49"/>
    </row>
    <row r="28" spans="2:7" x14ac:dyDescent="0.25">
      <c r="B28" s="50"/>
      <c r="C28" s="50"/>
      <c r="D28" s="50"/>
      <c r="E28" s="39"/>
      <c r="F28" s="50" t="s">
        <v>2</v>
      </c>
      <c r="G28" s="52">
        <f>G23+G24</f>
        <v>316559.12</v>
      </c>
    </row>
    <row r="29" spans="2:7" x14ac:dyDescent="0.25">
      <c r="B29" s="50"/>
      <c r="C29" s="50"/>
      <c r="D29" s="50"/>
      <c r="E29" s="50"/>
      <c r="F29" s="50" t="s">
        <v>3</v>
      </c>
      <c r="G29" s="52">
        <f>G28*16%</f>
        <v>50649.459199999998</v>
      </c>
    </row>
    <row r="30" spans="2:7" x14ac:dyDescent="0.25">
      <c r="B30" s="50"/>
      <c r="C30" s="50"/>
      <c r="D30" s="50"/>
      <c r="E30" s="53"/>
      <c r="F30" s="50" t="s">
        <v>4</v>
      </c>
      <c r="G30" s="52">
        <f>G28+G29</f>
        <v>367208.57919999998</v>
      </c>
    </row>
    <row r="31" spans="2:7" x14ac:dyDescent="0.25">
      <c r="B31" s="50"/>
      <c r="C31" s="50"/>
      <c r="D31" s="50"/>
      <c r="E31" s="53"/>
      <c r="F31" s="50"/>
      <c r="G31" s="52"/>
    </row>
    <row r="32" spans="2:7" x14ac:dyDescent="0.25">
      <c r="B32" s="35" t="s">
        <v>24</v>
      </c>
      <c r="C32" s="35"/>
      <c r="D32" s="35"/>
      <c r="E32" s="36"/>
      <c r="F32" s="36"/>
      <c r="G32" s="36"/>
    </row>
    <row r="33" spans="2:16" ht="29.25" customHeight="1" x14ac:dyDescent="0.25">
      <c r="B33" s="63" t="s">
        <v>53</v>
      </c>
      <c r="C33" s="63"/>
      <c r="D33" s="63"/>
      <c r="E33" s="63"/>
      <c r="F33" s="63"/>
      <c r="G33" s="63"/>
    </row>
    <row r="34" spans="2:16" ht="30.75" customHeight="1" x14ac:dyDescent="0.25">
      <c r="B34" s="63" t="s">
        <v>56</v>
      </c>
      <c r="C34" s="63"/>
      <c r="D34" s="63"/>
      <c r="E34" s="63"/>
      <c r="F34" s="63"/>
      <c r="G34" s="63"/>
    </row>
    <row r="35" spans="2:16" ht="15" customHeight="1" x14ac:dyDescent="0.25">
      <c r="B35" s="63" t="s">
        <v>27</v>
      </c>
      <c r="C35" s="63"/>
      <c r="D35" s="63"/>
      <c r="E35" s="63"/>
      <c r="F35" s="63"/>
      <c r="G35" s="63"/>
    </row>
    <row r="36" spans="2:16" ht="18" customHeight="1" x14ac:dyDescent="0.25">
      <c r="B36" s="63" t="s">
        <v>28</v>
      </c>
      <c r="C36" s="63"/>
      <c r="D36" s="63"/>
      <c r="E36" s="63"/>
      <c r="F36" s="63"/>
      <c r="G36" s="63"/>
    </row>
    <row r="37" spans="2:16" ht="81" customHeight="1" x14ac:dyDescent="0.25">
      <c r="B37" s="63" t="s">
        <v>48</v>
      </c>
      <c r="C37" s="63"/>
      <c r="D37" s="63"/>
      <c r="E37" s="63"/>
      <c r="F37" s="63"/>
      <c r="G37" s="63"/>
    </row>
    <row r="38" spans="2:16" ht="17.25" customHeight="1" x14ac:dyDescent="0.25">
      <c r="B38" s="41"/>
      <c r="C38" s="41"/>
      <c r="D38" s="41"/>
      <c r="E38" s="41"/>
      <c r="F38" s="41"/>
      <c r="G38" s="41"/>
    </row>
    <row r="39" spans="2:16" ht="17.25" customHeight="1" x14ac:dyDescent="0.25">
      <c r="B39" s="41"/>
      <c r="C39" s="41"/>
      <c r="D39" s="41"/>
      <c r="E39" s="41"/>
      <c r="F39" s="41"/>
      <c r="G39" s="41"/>
    </row>
    <row r="40" spans="2:16" x14ac:dyDescent="0.25">
      <c r="B40" s="36"/>
      <c r="C40" s="36"/>
      <c r="D40" s="36"/>
      <c r="E40" s="36"/>
      <c r="F40" s="36"/>
      <c r="G40" s="36"/>
      <c r="I40" s="11"/>
    </row>
    <row r="41" spans="2:16" x14ac:dyDescent="0.25">
      <c r="B41" s="54" t="s">
        <v>31</v>
      </c>
      <c r="C41" s="55"/>
      <c r="D41" s="55"/>
      <c r="E41" s="66" t="s">
        <v>32</v>
      </c>
      <c r="F41" s="66"/>
      <c r="G41" s="66"/>
    </row>
    <row r="42" spans="2:16" x14ac:dyDescent="0.25">
      <c r="B42" s="40"/>
      <c r="C42" s="40"/>
      <c r="D42" s="40"/>
      <c r="E42" s="56"/>
      <c r="F42" s="56"/>
      <c r="G42" s="56"/>
    </row>
    <row r="43" spans="2:16" x14ac:dyDescent="0.25">
      <c r="B43" s="40"/>
      <c r="C43" s="40"/>
      <c r="D43" s="40"/>
      <c r="E43" s="56"/>
      <c r="F43" s="56"/>
      <c r="G43" s="56"/>
    </row>
    <row r="44" spans="2:16" x14ac:dyDescent="0.25">
      <c r="B44" s="55" t="s">
        <v>33</v>
      </c>
      <c r="C44" s="57"/>
      <c r="D44" s="57"/>
      <c r="E44" s="56"/>
      <c r="F44" s="56"/>
      <c r="G44" s="56"/>
    </row>
    <row r="45" spans="2:16" x14ac:dyDescent="0.25">
      <c r="B45" s="58" t="s">
        <v>52</v>
      </c>
      <c r="C45" s="58"/>
      <c r="D45" s="58"/>
      <c r="E45" s="56"/>
      <c r="F45" s="56"/>
      <c r="G45" s="56"/>
    </row>
    <row r="46" spans="2:16" x14ac:dyDescent="0.25">
      <c r="B46" s="58"/>
      <c r="C46" s="58"/>
      <c r="D46" s="58"/>
      <c r="E46" s="39"/>
      <c r="F46" s="39"/>
      <c r="G46" s="39"/>
    </row>
    <row r="47" spans="2:16" x14ac:dyDescent="0.25">
      <c r="B47" s="64"/>
      <c r="C47" s="64"/>
      <c r="D47" s="64"/>
      <c r="E47" s="65"/>
      <c r="F47" s="65"/>
      <c r="G47" s="65"/>
      <c r="H47" s="14"/>
      <c r="I47" s="14"/>
      <c r="J47" s="14"/>
      <c r="K47" s="14"/>
      <c r="L47" s="14"/>
      <c r="M47" s="14"/>
      <c r="N47" s="14"/>
      <c r="O47" s="14"/>
      <c r="P47" s="14"/>
    </row>
    <row r="48" spans="2:16" x14ac:dyDescent="0.25">
      <c r="B48" s="65"/>
      <c r="C48" s="65"/>
      <c r="D48" s="65"/>
      <c r="E48" s="65"/>
      <c r="F48" s="65"/>
      <c r="G48" s="65"/>
      <c r="H48" s="14"/>
      <c r="I48" s="14"/>
      <c r="J48" s="14"/>
      <c r="K48" s="14"/>
      <c r="L48" s="14"/>
      <c r="M48" s="14"/>
      <c r="N48" s="14"/>
      <c r="O48" s="14"/>
      <c r="P48" s="14"/>
    </row>
    <row r="49" spans="1:16" x14ac:dyDescent="0.25">
      <c r="B49" s="65"/>
      <c r="C49" s="65"/>
      <c r="D49" s="65"/>
      <c r="E49" s="65"/>
      <c r="F49" s="65"/>
      <c r="G49" s="65"/>
      <c r="H49" s="14"/>
      <c r="I49" s="14"/>
      <c r="J49" s="14"/>
      <c r="K49" s="14"/>
      <c r="L49" s="14"/>
      <c r="M49" s="14"/>
      <c r="N49" s="14"/>
      <c r="O49" s="14"/>
      <c r="P49" s="14"/>
    </row>
    <row r="50" spans="1:16" x14ac:dyDescent="0.25">
      <c r="A50" s="12">
        <v>4</v>
      </c>
      <c r="B50" s="65"/>
      <c r="C50" s="65"/>
      <c r="D50" s="65"/>
      <c r="E50" s="65"/>
      <c r="F50" s="65"/>
      <c r="G50" s="65"/>
      <c r="H50" s="14"/>
      <c r="I50" s="14"/>
      <c r="J50" s="14"/>
      <c r="K50" s="14"/>
      <c r="L50" s="14"/>
      <c r="M50" s="14"/>
      <c r="N50" s="14"/>
      <c r="O50" s="14"/>
      <c r="P50" s="14"/>
    </row>
    <row r="51" spans="1:16" x14ac:dyDescent="0.25">
      <c r="B51" s="14"/>
      <c r="C51" s="14"/>
      <c r="D51" s="14"/>
      <c r="E51" s="14"/>
      <c r="F51" s="14"/>
      <c r="G51" s="14"/>
      <c r="H51" s="14"/>
      <c r="I51" s="14"/>
      <c r="J51" s="14"/>
      <c r="K51" s="14"/>
      <c r="L51" s="14"/>
      <c r="M51" s="14"/>
      <c r="N51" s="14"/>
      <c r="O51" s="14"/>
      <c r="P51" s="14"/>
    </row>
    <row r="52" spans="1:16" x14ac:dyDescent="0.25">
      <c r="B52" s="14"/>
      <c r="C52" s="14"/>
      <c r="D52" s="14"/>
      <c r="E52" s="14"/>
      <c r="F52" s="14"/>
      <c r="G52" s="14"/>
      <c r="H52" s="14"/>
      <c r="I52" s="14"/>
      <c r="J52" s="14"/>
      <c r="K52" s="14"/>
      <c r="L52" s="14"/>
      <c r="M52" s="14"/>
      <c r="N52" s="14"/>
      <c r="O52" s="14"/>
      <c r="P52" s="14"/>
    </row>
    <row r="53" spans="1:16" x14ac:dyDescent="0.25">
      <c r="B53" s="14"/>
      <c r="C53" s="14"/>
      <c r="D53" s="14"/>
      <c r="E53" s="14"/>
      <c r="F53" s="14"/>
      <c r="G53" s="14"/>
      <c r="H53" s="14"/>
      <c r="I53" s="14"/>
      <c r="J53" s="14"/>
      <c r="K53" s="14"/>
      <c r="L53" s="14"/>
      <c r="M53" s="14"/>
      <c r="N53" s="14"/>
      <c r="O53" s="14"/>
      <c r="P53" s="14"/>
    </row>
    <row r="54" spans="1:16" x14ac:dyDescent="0.25">
      <c r="B54" s="14"/>
      <c r="C54" s="14"/>
      <c r="D54" s="14"/>
      <c r="E54" s="14"/>
      <c r="F54" s="14"/>
      <c r="G54" s="14"/>
      <c r="H54" s="14"/>
      <c r="I54" s="14"/>
      <c r="J54" s="14"/>
      <c r="K54" s="14"/>
      <c r="L54" s="14"/>
      <c r="M54" s="14"/>
      <c r="N54" s="14"/>
      <c r="O54" s="14"/>
      <c r="P54" s="14"/>
    </row>
  </sheetData>
  <mergeCells count="11">
    <mergeCell ref="B47:G50"/>
    <mergeCell ref="E41:G41"/>
    <mergeCell ref="B33:G33"/>
    <mergeCell ref="B34:G34"/>
    <mergeCell ref="B35:G35"/>
    <mergeCell ref="B36:G36"/>
    <mergeCell ref="B9:G9"/>
    <mergeCell ref="B14:G14"/>
    <mergeCell ref="B17:G17"/>
    <mergeCell ref="B20:G20"/>
    <mergeCell ref="B37:G37"/>
  </mergeCells>
  <pageMargins left="0.7" right="0.7" top="0.75" bottom="0.75" header="0.3" footer="0.3"/>
  <pageSetup paperSize="9" scale="7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Gráficos</vt:lpstr>
      </vt:variant>
      <vt:variant>
        <vt:i4>1</vt:i4>
      </vt:variant>
    </vt:vector>
  </HeadingPairs>
  <TitlesOfParts>
    <vt:vector size="3" baseType="lpstr">
      <vt:lpstr>SUMINISTRO Y APLICACION</vt:lpstr>
      <vt:lpstr>SUMINISTRO</vt:lpstr>
      <vt:lpstr>Gráfico1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2026-04-29T17:03:42Z</cp:lastPrinted>
  <dcterms:created xsi:type="dcterms:W3CDTF">2020-12-14T19:54:01Z</dcterms:created>
  <dcterms:modified xsi:type="dcterms:W3CDTF">2026-08-14T16:14:07Z</dcterms:modified>
</cp:coreProperties>
</file>