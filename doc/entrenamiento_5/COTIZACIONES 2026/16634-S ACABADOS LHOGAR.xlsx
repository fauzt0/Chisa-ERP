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5FD0C40-8298-4B9B-B6DE-37C704CC9B89}"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1" i="3" l="1"/>
  <c r="F40" i="3"/>
  <c r="F39" i="3"/>
  <c r="F38" i="3"/>
  <c r="F37" i="3"/>
  <c r="F35" i="3"/>
  <c r="F34" i="3"/>
  <c r="F33" i="3"/>
  <c r="F32" i="3"/>
  <c r="F31" i="3"/>
  <c r="F30" i="3"/>
  <c r="F26" i="3"/>
  <c r="F46" i="3" s="1"/>
  <c r="F47" i="3" s="1"/>
  <c r="F36" i="3"/>
  <c r="F29" i="3"/>
  <c r="F28" i="3"/>
  <c r="F27" i="3"/>
  <c r="E19" i="1"/>
  <c r="E18" i="1" l="1"/>
  <c r="E21" i="1" l="1"/>
  <c r="E22" i="1" l="1"/>
  <c r="E23" i="1" l="1"/>
  <c r="F48" i="3" l="1"/>
</calcChain>
</file>

<file path=xl/sharedStrings.xml><?xml version="1.0" encoding="utf-8"?>
<sst xmlns="http://schemas.openxmlformats.org/spreadsheetml/2006/main" count="101" uniqueCount="79">
  <si>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</si>
  <si>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</si>
  <si>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</si>
  <si>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</si>
  <si>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</si>
  <si>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</si>
  <si>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</si>
  <si>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</si>
  <si>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</si>
  <si>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</si>
  <si>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</si>
  <si>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</si>
  <si>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</si>
  <si>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</si>
  <si>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</si>
  <si>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</si>
  <si>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</si>
  <si>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</si>
  <si>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</si>
  <si>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</si>
  <si>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</si>
  <si>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</si>
  <si>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</si>
  <si>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</si>
  <si>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</si>
  <si>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</si>
  <si>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</si>
  <si>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</si>
  <si>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</si>
  <si>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</si>
  <si>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</si>
  <si>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</si>
  <si>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</si>
  <si>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</si>
  <si>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</si>
  <si>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</si>
  <si>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</si>
  <si>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</si>
  <si>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</si>
  <si>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</si>
  <si>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</si>
  <si>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</si>
  <si>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</si>
  <si>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</si>
  <si>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</si>
  <si>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CIUDAD DE MEXICO A 31 DE JULIO DEL 2026</t>
  </si>
  <si>
    <t>CONSTRUCTORA: ACABADOS LHOGAR</t>
  </si>
  <si>
    <t xml:space="preserve">PRESENTAMOS A SU AMABLE CONSIDERACIÓN EL PRESUPUESTO DE 21,515.96 M2 DE SUMINISTRO DE LOS SIGUIENTES MATERIALES: </t>
  </si>
  <si>
    <t>TAMBOS</t>
  </si>
  <si>
    <t>1.-ARENA SILICA (220M2)</t>
  </si>
  <si>
    <t>2.-SELLADOR INICIAL (900M2)</t>
  </si>
  <si>
    <t>3.- PRAIMER GLASS REF S.M.A. (850 M2)</t>
  </si>
  <si>
    <t>4.-CHISA GLASS REF. BLANCO OSTION(60 M2)</t>
  </si>
  <si>
    <t>5.-CHISA GLASS REF. ESPARRAGO(60 M2)</t>
  </si>
  <si>
    <t>6.-CHISA GLASS REF. LONCHERA(60 M2)</t>
  </si>
  <si>
    <t>7.-CHISA GLASS REF. DIKKENS(60 M2)</t>
  </si>
  <si>
    <t>8.-CHISA GLASS REF. TURRON(60 M2)</t>
  </si>
  <si>
    <t>9.-CHISA GLASS REF. ESPECIA(60 M2)</t>
  </si>
  <si>
    <t>10.-CHISA GLASS REF. MELON(60 M2)</t>
  </si>
  <si>
    <t>11.-VITROGLASS ECOLOGICO (1800 M2)</t>
  </si>
  <si>
    <t>AT´N: LHOGAR ACABADOS</t>
  </si>
  <si>
    <t>OBRA: HOSPITAL DEL IMSS EN SAN LUIS RIO COLORADO</t>
  </si>
  <si>
    <t>PZAS</t>
  </si>
  <si>
    <t>PZA</t>
  </si>
  <si>
    <t>COMPRESOR CON CAPACIDAD DE 30LBRS CONTINUAS, MANGUERA DE 10 MTRS, CONEXIONES RAPIDAS Y PISTOLA PARA APLICAR EL RECUBRIMIENTO.</t>
  </si>
  <si>
    <t xml:space="preserve">12.- RODILLOS (REND. 250M2 </t>
  </si>
  <si>
    <t>13.- BROCHAS (REND. 350M2)</t>
  </si>
  <si>
    <t>14.- LIJAS MEDIANAS 30M2)</t>
  </si>
  <si>
    <t>15.- MASKING TAPE (REND. 12.5M2)</t>
  </si>
  <si>
    <t>16- ROLLOS DE PAPEL ( 250M2)</t>
  </si>
  <si>
    <t xml:space="preserve">17.-  KIT DE APLICACIÓN DE CHISA, QUE CONSISTE EN: </t>
  </si>
  <si>
    <t>PRES. REF. 16634-S/2026CG</t>
  </si>
  <si>
    <t xml:space="preserve">                                               ACEPTO</t>
  </si>
  <si>
    <t xml:space="preserve">                                                                      ATENTAMENTE</t>
  </si>
  <si>
    <t xml:space="preserve">                        ____________________________________                                                                                                                            _____________________________________________</t>
  </si>
  <si>
    <t xml:space="preserve">                                                                                   HAPA SOLUCIONES INTEGRALES EN RECUBRIMIENTOS</t>
  </si>
  <si>
    <t xml:space="preserve">                                    ACABADOS LHOGAR</t>
  </si>
  <si>
    <t>UNIDAD</t>
  </si>
  <si>
    <r>
      <t xml:space="preserve">PRECIO  U.                </t>
    </r>
    <r>
      <rPr>
        <sz val="11"/>
        <color theme="1"/>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</si>
</sst>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4" formatCode="_-&quot;$&quot;* #,##0.00_-;\-&quot;$&quot;* #,##0.00_-;_-&quot;$&quot;* &quot;-&quot;??_-;_-@_-"/>
    <numFmt numFmtId="167" formatCode="_-&quot;$&quot;* #,##0.00_-;\-&quot;$&quot;* #,##0.00_-;_-&quot;$&quot;* &quot;-&quot;??_-;_-@_-"/>
    <numFmt numFmtId="169" formatCode="&quot;$&quot;#,##0.00"/>
  </numFmts>
  <fonts count="17"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
      <b/>
      <u/>
      <sz val="10"/>
      <color theme="1"/>
      <name val="Times New Roman"/>
      <family val="1"/>
    </font>
    <font>
      <sz val="10"/>
      <color theme="1"/>
      <name val="Times New Roman"/>
      <family val="1"/>
    </font>
    <font>
      <b/>
      <sz val="11"/>
      <color theme="1"/>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11">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67" fontId="5" fillId="0" borderId="0" applyFont="0" applyFill="0" applyBorder="0" applyAlignment="0" applyProtection="0"/>
  </cellStyleXfs>
  <cellXfs count="9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xf numFmtId="44" fontId="1" fillId="0" borderId="0" xfId="1" applyNumberFormat="1" applyFont="1" applyAlignment="1">
      <alignment horizontal="center" wrapText="1"/>
    </xf>
    <xf numFmtId="0" fontId="0" fillId="0" borderId="0" xfId="0"/>
    <xf numFmtId="0" fontId="0" fillId="0" borderId="0" xfId="0" applyAlignment="1">
      <alignment horizontal="left"/>
    </xf>
    <xf numFmtId="0" fontId="0" fillId="0" borderId="0" xfId="0" applyAlignment="1">
      <alignment horizontal="right" vertical="top"/>
    </xf>
    <xf numFmtId="0" fontId="4" fillId="0" borderId="0" xfId="0" applyFont="1" applyAlignment="1">
      <alignment horizontal="left" vertical="top" wrapText="1"/>
    </xf>
    <xf numFmtId="0" fontId="1" fillId="0" borderId="0" xfId="0" applyFont="1" applyAlignment="1">
      <alignment horizontal="left" vertical="top" wrapText="1"/>
    </xf>
    <xf numFmtId="167" fontId="10" fillId="0" borderId="0" xfId="0" applyNumberFormat="1" applyFont="1"/>
    <xf numFmtId="0" fontId="10" fillId="0" borderId="0" xfId="0" applyFont="1" applyAlignment="1">
      <alignment horizontal="center" vertical="center" wrapText="1"/>
    </xf>
    <xf numFmtId="0" fontId="9" fillId="0" borderId="0" xfId="0" applyFont="1" applyAlignment="1">
      <alignment horizontal="justify" vertical="center" wrapText="1"/>
    </xf>
    <xf numFmtId="44" fontId="1" fillId="0" borderId="0" xfId="1" applyNumberFormat="1" applyFont="1" applyAlignment="1">
      <alignment horizontal="right" wrapText="1"/>
    </xf>
    <xf numFmtId="0" fontId="0" fillId="0" borderId="0" xfId="0"/>
    <xf numFmtId="0" fontId="0" fillId="0" borderId="0" xfId="0" applyAlignment="1">
      <alignment horizontal="left"/>
    </xf>
    <xf numFmtId="0" fontId="0" fillId="0" borderId="0" xfId="0" applyAlignment="1">
      <alignment horizontal="right" vertical="top"/>
    </xf>
    <xf numFmtId="0" fontId="0" fillId="0" borderId="0" xfId="0"/>
    <xf numFmtId="0" fontId="2" fillId="0" borderId="0" xfId="0" applyFont="1" applyAlignment="1">
      <alignment vertical="center"/>
    </xf>
    <xf numFmtId="0" fontId="0" fillId="0" borderId="0" xfId="0" applyAlignment="1">
      <alignment horizontal="left"/>
    </xf>
    <xf numFmtId="0" fontId="0" fillId="0" borderId="0" xfId="0" applyAlignment="1">
      <alignment horizontal="right" vertical="top"/>
    </xf>
    <xf numFmtId="0" fontId="2" fillId="0" borderId="0" xfId="0" applyFont="1" applyAlignment="1">
      <alignment horizontal="right" vertical="center"/>
    </xf>
    <xf numFmtId="0" fontId="1" fillId="0" borderId="0" xfId="0" applyFont="1"/>
    <xf numFmtId="0" fontId="13" fillId="0" borderId="0" xfId="0" applyFont="1" applyAlignment="1">
      <alignment horizontal="justify" vertical="center" wrapText="1"/>
    </xf>
    <xf numFmtId="0" fontId="14" fillId="0" borderId="0" xfId="0" applyFont="1" applyAlignment="1">
      <alignment horizontal="center" vertical="center" wrapText="1"/>
    </xf>
    <xf numFmtId="0" fontId="14" fillId="0" borderId="0" xfId="0" applyFont="1" applyAlignment="1">
      <alignment horizontal="center" vertical="top" wrapText="1"/>
    </xf>
    <xf numFmtId="167" fontId="14" fillId="0" borderId="0" xfId="0" applyNumberFormat="1" applyFont="1" applyAlignment="1">
      <alignment horizontal="justify" vertical="center" wrapText="1"/>
    </xf>
    <xf numFmtId="169" fontId="14" fillId="0" borderId="0" xfId="110" applyNumberFormat="1" applyFont="1" applyAlignment="1">
      <alignment horizontal="right" vertical="center" wrapText="1"/>
    </xf>
    <xf numFmtId="44" fontId="14" fillId="0" borderId="0" xfId="0" applyNumberFormat="1" applyFont="1" applyAlignment="1">
      <alignment horizontal="right" wrapText="1"/>
    </xf>
    <xf numFmtId="44" fontId="14" fillId="0" borderId="0" xfId="0" applyNumberFormat="1" applyFont="1" applyAlignment="1">
      <alignment horizontal="right"/>
    </xf>
    <xf numFmtId="0" fontId="4" fillId="0" borderId="0" xfId="0" applyFont="1" applyAlignment="1">
      <alignment horizontal="justify" vertical="center" wrapText="1"/>
    </xf>
    <xf numFmtId="0" fontId="0" fillId="0" borderId="0" xfId="0" applyAlignment="1"/>
    <xf numFmtId="0" fontId="15" fillId="0" borderId="0" xfId="0" applyFont="1" applyAlignment="1">
      <alignment horizontal="center"/>
    </xf>
    <xf numFmtId="0" fontId="0" fillId="0" borderId="0" xfId="0" applyAlignment="1"/>
    <xf numFmtId="0" fontId="0" fillId="0" borderId="0" xfId="0" applyAlignment="1">
      <alignment horizontal="right" vertical="center"/>
    </xf>
    <xf numFmtId="0" fontId="1" fillId="0" borderId="0" xfId="0" applyFont="1" applyAlignment="1">
      <alignment horizontal="right"/>
    </xf>
    <xf numFmtId="0" fontId="0" fillId="0" borderId="0" xfId="0" applyAlignment="1">
      <alignment horizontal="right"/>
    </xf>
  </cellXfs>
  <cellStyles count="111">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16" xfId="110" xr:uid="{E55F807A-B118-41B5-AFE2-834E840EA3BA}"/>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457200</xdr:colOff>
      <xdr:row>2</xdr:row>
      <xdr:rowOff>66675</xdr:rowOff>
    </xdr:from>
    <xdr:to>
      <xdr:col>5</xdr:col>
      <xdr:colOff>1266825</xdr:colOff>
      <xdr:row>7</xdr:row>
      <xdr:rowOff>28575</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447675"/>
          <a:ext cx="3838575" cy="12001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0"/>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36</v>
      </c>
      <c r="B4" s="45"/>
      <c r="C4" s="45"/>
      <c r="D4" s="45"/>
      <c r="E4" s="45"/>
      <c r="F4" s="6"/>
    </row>
    <row r="5" spans="1:8" ht="12" customHeight="1" x14ac:dyDescent="0.25">
      <c r="A5" s="34"/>
      <c r="B5" s="34"/>
      <c r="C5" s="34"/>
      <c r="D5" s="34"/>
      <c r="E5" s="34"/>
      <c r="F5" s="6"/>
    </row>
    <row r="6" spans="1:8" ht="12" customHeight="1" x14ac:dyDescent="0.25">
      <c r="A6" s="1" t="s">
        <v>34</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63" t="s">
        <v>35</v>
      </c>
      <c r="B11" s="63"/>
      <c r="C11" s="63"/>
      <c r="D11" s="63"/>
      <c r="E11" s="63"/>
      <c r="F11" s="37"/>
    </row>
    <row r="12" spans="1:8" ht="12" customHeight="1" x14ac:dyDescent="0.25">
      <c r="A12" s="39"/>
      <c r="B12" s="35"/>
      <c r="C12" s="35"/>
      <c r="D12" s="35"/>
      <c r="E12" s="35"/>
      <c r="F12" s="35"/>
    </row>
    <row r="13" spans="1:8" ht="12" customHeight="1" x14ac:dyDescent="0.25">
      <c r="A13" s="37" t="s">
        <v>37</v>
      </c>
      <c r="B13" s="37"/>
      <c r="C13" s="37"/>
      <c r="D13" s="37"/>
      <c r="E13" s="37"/>
      <c r="F13" s="37"/>
    </row>
    <row r="14" spans="1:8" ht="12" customHeight="1" x14ac:dyDescent="0.25">
      <c r="A14" s="1" t="s">
        <v>38</v>
      </c>
      <c r="B14" s="36"/>
      <c r="C14" s="36"/>
      <c r="D14" s="36"/>
      <c r="E14" s="35"/>
      <c r="F14" s="35"/>
    </row>
    <row r="15" spans="1:8" ht="12" customHeight="1" x14ac:dyDescent="0.25">
      <c r="A15" s="8" t="s">
        <v>1</v>
      </c>
      <c r="B15" s="21"/>
      <c r="C15" s="21"/>
      <c r="D15" s="21"/>
      <c r="E15" s="20"/>
    </row>
    <row r="16" spans="1:8" ht="12" customHeight="1" x14ac:dyDescent="0.25">
      <c r="A16" s="58" t="s">
        <v>31</v>
      </c>
      <c r="B16" s="58"/>
      <c r="C16" s="58"/>
      <c r="D16" s="58"/>
      <c r="E16" s="58"/>
      <c r="F16" s="3"/>
      <c r="G16" s="3"/>
      <c r="H16" s="3"/>
    </row>
    <row r="17" spans="1:8" ht="21.75" customHeight="1" x14ac:dyDescent="0.25">
      <c r="A17" s="18" t="s">
        <v>20</v>
      </c>
      <c r="B17" s="25" t="s">
        <v>29</v>
      </c>
      <c r="C17" s="25" t="s">
        <v>18</v>
      </c>
      <c r="D17" s="25" t="s">
        <v>25</v>
      </c>
      <c r="E17" s="25" t="s">
        <v>19</v>
      </c>
      <c r="F17" s="2"/>
      <c r="G17" s="2"/>
      <c r="H17" s="2"/>
    </row>
    <row r="18" spans="1:8" ht="191.25" customHeight="1" x14ac:dyDescent="0.25">
      <c r="A18" s="30" t="s">
        <v>33</v>
      </c>
      <c r="B18" s="31" t="s">
        <v>21</v>
      </c>
      <c r="C18" s="32">
        <v>3500</v>
      </c>
      <c r="D18" s="22">
        <v>110</v>
      </c>
      <c r="E18" s="10">
        <f t="shared" ref="E18" si="0">C18*D18</f>
        <v>385000</v>
      </c>
      <c r="F18" s="2"/>
      <c r="G18" s="2"/>
      <c r="H18" s="2"/>
    </row>
    <row r="19" spans="1:8" ht="183" customHeight="1" x14ac:dyDescent="0.25">
      <c r="A19" s="38" t="s">
        <v>39</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6" t="s">
        <v>42</v>
      </c>
      <c r="B26" s="56"/>
      <c r="C26" s="56"/>
      <c r="D26" s="56"/>
      <c r="E26" s="56"/>
      <c r="F26" s="11"/>
      <c r="G26" s="11"/>
    </row>
    <row r="27" spans="1:8" ht="18" customHeight="1" x14ac:dyDescent="0.25">
      <c r="A27" s="61" t="s">
        <v>37</v>
      </c>
      <c r="B27" s="62"/>
      <c r="C27" s="62"/>
      <c r="D27" s="62"/>
      <c r="E27" s="62"/>
      <c r="F27" s="5"/>
      <c r="G27" s="11"/>
    </row>
    <row r="28" spans="1:8" ht="12" customHeight="1" x14ac:dyDescent="0.25">
      <c r="A28" s="59" t="s">
        <v>5</v>
      </c>
      <c r="B28" s="59"/>
      <c r="C28" s="59"/>
      <c r="D28" s="59"/>
      <c r="E28" s="59"/>
      <c r="F28" s="5"/>
      <c r="G28" s="11"/>
    </row>
    <row r="29" spans="1:8" ht="69" customHeight="1" x14ac:dyDescent="0.25">
      <c r="A29" s="55" t="s">
        <v>41</v>
      </c>
      <c r="B29" s="55"/>
      <c r="C29" s="55"/>
      <c r="D29" s="55"/>
      <c r="E29" s="55"/>
      <c r="F29" s="5"/>
      <c r="G29" s="11"/>
    </row>
    <row r="30" spans="1:8" ht="15" customHeight="1" x14ac:dyDescent="0.25">
      <c r="A30" s="59" t="s">
        <v>6</v>
      </c>
      <c r="B30" s="59"/>
      <c r="C30" s="59"/>
      <c r="D30" s="59"/>
      <c r="E30" s="59"/>
      <c r="F30" s="5"/>
    </row>
    <row r="31" spans="1:8" ht="33.75" customHeight="1" x14ac:dyDescent="0.25">
      <c r="A31" s="55" t="s">
        <v>7</v>
      </c>
      <c r="B31" s="55"/>
      <c r="C31" s="55"/>
      <c r="D31" s="55"/>
      <c r="E31" s="55"/>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5" t="s">
        <v>11</v>
      </c>
      <c r="B35" s="55"/>
      <c r="C35" s="55"/>
      <c r="D35" s="55"/>
      <c r="E35" s="55"/>
    </row>
    <row r="36" spans="1:6" ht="21.75" customHeight="1" x14ac:dyDescent="0.25">
      <c r="A36" s="55" t="s">
        <v>12</v>
      </c>
      <c r="B36" s="55"/>
      <c r="C36" s="55"/>
      <c r="D36" s="55"/>
      <c r="E36" s="55"/>
    </row>
    <row r="37" spans="1:6" ht="44.25" customHeight="1" x14ac:dyDescent="0.25">
      <c r="A37" s="55" t="s">
        <v>13</v>
      </c>
      <c r="B37" s="55"/>
      <c r="C37" s="55"/>
      <c r="D37" s="55"/>
      <c r="E37" s="55"/>
    </row>
    <row r="38" spans="1:6" ht="25.5" customHeight="1" x14ac:dyDescent="0.25">
      <c r="A38" s="55" t="s">
        <v>14</v>
      </c>
      <c r="B38" s="55"/>
      <c r="C38" s="55"/>
      <c r="D38" s="55"/>
      <c r="E38" s="55"/>
    </row>
    <row r="39" spans="1:6" ht="68.25" customHeight="1" x14ac:dyDescent="0.25">
      <c r="A39" s="57" t="s">
        <v>15</v>
      </c>
      <c r="B39" s="57"/>
      <c r="C39" s="57"/>
      <c r="D39" s="57"/>
      <c r="E39" s="57"/>
    </row>
    <row r="40" spans="1:6" ht="15" customHeight="1" x14ac:dyDescent="0.25">
      <c r="A40" s="55" t="s">
        <v>16</v>
      </c>
      <c r="B40" s="55"/>
      <c r="C40" s="55"/>
      <c r="D40" s="55"/>
      <c r="E40" s="55"/>
    </row>
    <row r="41" spans="1:6" ht="22.5" customHeight="1" x14ac:dyDescent="0.25">
      <c r="A41" s="8" t="s">
        <v>17</v>
      </c>
      <c r="B41" s="21"/>
      <c r="C41" s="21"/>
      <c r="D41" s="21"/>
      <c r="E41" s="20"/>
    </row>
    <row r="42" spans="1:6" ht="24" customHeight="1" x14ac:dyDescent="0.25">
      <c r="A42" s="26" t="s">
        <v>22</v>
      </c>
      <c r="B42" s="54" t="s">
        <v>30</v>
      </c>
      <c r="C42" s="54"/>
      <c r="D42" s="54"/>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32</v>
      </c>
      <c r="B45" s="21"/>
      <c r="C45" s="21"/>
      <c r="D45" s="21"/>
      <c r="E45" s="20"/>
    </row>
    <row r="46" spans="1:6" x14ac:dyDescent="0.25">
      <c r="A46" s="27" t="s">
        <v>40</v>
      </c>
      <c r="B46" s="28"/>
      <c r="C46" s="28"/>
      <c r="D46" s="28"/>
      <c r="E46" s="29"/>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74"/>
  <sheetViews>
    <sheetView tabSelected="1" topLeftCell="A32" zoomScaleNormal="100" zoomScalePageLayoutView="50" workbookViewId="0">
      <selection activeCell="B5" sqref="B5"/>
    </sheetView>
  </sheetViews>
  <sheetFormatPr baseColWidth="10" defaultRowHeight="15" x14ac:dyDescent="0.25"/>
  <cols>
    <col min="1" max="1" width="11.140625" style="15" customWidth="1"/>
    <col min="2" max="2" width="52.140625" customWidth="1"/>
    <col min="3" max="6" width="22.7109375" customWidth="1"/>
  </cols>
  <sheetData>
    <row r="4" spans="1:8" x14ac:dyDescent="0.25">
      <c r="B4" s="20"/>
      <c r="C4" s="20"/>
      <c r="D4" s="20"/>
      <c r="E4" s="20"/>
      <c r="F4" s="20"/>
    </row>
    <row r="5" spans="1:8" x14ac:dyDescent="0.25">
      <c r="B5" s="20"/>
      <c r="C5" s="20"/>
      <c r="D5" s="20"/>
      <c r="E5" s="20"/>
      <c r="F5" s="20"/>
    </row>
    <row r="6" spans="1:8" ht="34.5" customHeight="1" x14ac:dyDescent="0.25">
      <c r="B6" s="20"/>
      <c r="C6" s="20"/>
      <c r="D6" s="20"/>
      <c r="E6" s="20"/>
      <c r="F6" s="20"/>
    </row>
    <row r="7" spans="1:8" s="77" customFormat="1" ht="18" customHeight="1" x14ac:dyDescent="0.25">
      <c r="A7" s="80"/>
      <c r="B7" s="82"/>
      <c r="C7" s="82"/>
      <c r="D7" s="82"/>
      <c r="E7" s="82"/>
      <c r="F7" s="82"/>
    </row>
    <row r="8" spans="1:8" s="77" customFormat="1" ht="18" customHeight="1" x14ac:dyDescent="0.25">
      <c r="A8" s="80"/>
      <c r="B8" s="82"/>
      <c r="C8" s="82"/>
      <c r="D8" s="82"/>
      <c r="E8" s="82"/>
      <c r="F8" s="82"/>
    </row>
    <row r="9" spans="1:8" x14ac:dyDescent="0.25">
      <c r="B9" s="95" t="s">
        <v>45</v>
      </c>
      <c r="C9" s="96"/>
      <c r="D9" s="96"/>
      <c r="E9" s="96"/>
      <c r="F9" s="96"/>
      <c r="G9" s="93"/>
      <c r="H9" s="93"/>
    </row>
    <row r="11" spans="1:8" ht="21.75" customHeight="1" x14ac:dyDescent="0.25">
      <c r="B11" s="1"/>
      <c r="C11" s="20"/>
      <c r="D11" s="20"/>
      <c r="E11" s="20"/>
      <c r="F11" s="20"/>
    </row>
    <row r="12" spans="1:8" x14ac:dyDescent="0.25">
      <c r="B12" s="1" t="s">
        <v>46</v>
      </c>
      <c r="C12" s="20"/>
      <c r="D12" s="20"/>
      <c r="E12" s="20"/>
      <c r="F12" s="42"/>
    </row>
    <row r="13" spans="1:8" x14ac:dyDescent="0.25">
      <c r="B13" s="1" t="s">
        <v>0</v>
      </c>
      <c r="C13" s="20"/>
      <c r="D13" s="20"/>
      <c r="E13" s="20"/>
      <c r="F13" s="20"/>
    </row>
    <row r="14" spans="1:8" s="77" customFormat="1" x14ac:dyDescent="0.25">
      <c r="A14" s="80"/>
      <c r="B14" s="78"/>
      <c r="C14" s="82"/>
      <c r="D14" s="82"/>
      <c r="E14" s="82"/>
      <c r="F14" s="82"/>
    </row>
    <row r="15" spans="1:8" ht="21.75" customHeight="1" x14ac:dyDescent="0.25">
      <c r="B15" s="52" t="s">
        <v>60</v>
      </c>
      <c r="C15" s="94"/>
      <c r="D15" s="94"/>
      <c r="E15" s="94"/>
      <c r="F15" s="94"/>
      <c r="G15" s="93"/>
      <c r="H15" s="93"/>
    </row>
    <row r="16" spans="1:8" s="77" customFormat="1" ht="21.75" customHeight="1" x14ac:dyDescent="0.25">
      <c r="A16" s="80"/>
      <c r="B16" s="81"/>
      <c r="C16" s="81"/>
      <c r="D16" s="81"/>
      <c r="E16" s="81"/>
      <c r="F16" s="81"/>
    </row>
    <row r="17" spans="2:6" ht="21" customHeight="1" x14ac:dyDescent="0.25">
      <c r="B17" s="53" t="s">
        <v>61</v>
      </c>
      <c r="C17" s="53"/>
      <c r="D17" s="53"/>
      <c r="E17" s="53"/>
      <c r="F17" s="53"/>
    </row>
    <row r="18" spans="2:6" ht="21" customHeight="1" x14ac:dyDescent="0.25">
      <c r="B18" s="7" t="s">
        <v>71</v>
      </c>
      <c r="C18" s="21"/>
      <c r="D18" s="21"/>
      <c r="E18" s="21"/>
      <c r="F18" s="20"/>
    </row>
    <row r="19" spans="2:6" ht="30.75" customHeight="1" x14ac:dyDescent="0.25">
      <c r="B19" s="7"/>
      <c r="C19" s="21"/>
      <c r="D19" s="21"/>
      <c r="E19" s="21"/>
      <c r="F19" s="20"/>
    </row>
    <row r="20" spans="2:6" ht="25.5" customHeight="1" x14ac:dyDescent="0.25">
      <c r="B20" s="49" t="s">
        <v>47</v>
      </c>
      <c r="C20" s="49"/>
      <c r="D20" s="49"/>
      <c r="E20" s="49"/>
      <c r="F20" s="49"/>
    </row>
    <row r="21" spans="2:6" ht="31.5" customHeight="1" x14ac:dyDescent="0.25">
      <c r="B21" s="7"/>
      <c r="C21" s="21"/>
      <c r="D21" s="21"/>
      <c r="E21" s="21"/>
      <c r="F21" s="20"/>
    </row>
    <row r="22" spans="2:6" x14ac:dyDescent="0.25">
      <c r="B22" s="92" t="s">
        <v>20</v>
      </c>
      <c r="C22" s="92" t="s">
        <v>77</v>
      </c>
      <c r="D22" s="92" t="s">
        <v>18</v>
      </c>
      <c r="E22" s="92" t="s">
        <v>78</v>
      </c>
      <c r="F22" s="92" t="s">
        <v>19</v>
      </c>
    </row>
    <row r="23" spans="2:6" x14ac:dyDescent="0.25">
      <c r="B23" s="41"/>
      <c r="C23" s="41"/>
      <c r="D23" s="41"/>
      <c r="E23" s="41"/>
      <c r="F23" s="41"/>
    </row>
    <row r="24" spans="2:6" x14ac:dyDescent="0.25">
      <c r="B24" s="41"/>
      <c r="C24" s="41"/>
      <c r="D24" s="41"/>
      <c r="E24" s="41"/>
      <c r="F24" s="41"/>
    </row>
    <row r="25" spans="2:6" x14ac:dyDescent="0.25">
      <c r="B25" s="7"/>
      <c r="C25" s="7"/>
      <c r="D25" s="17"/>
      <c r="E25" s="17"/>
      <c r="F25" s="17"/>
    </row>
    <row r="26" spans="2:6" x14ac:dyDescent="0.25">
      <c r="B26" s="40" t="s">
        <v>49</v>
      </c>
      <c r="C26" s="24" t="s">
        <v>48</v>
      </c>
      <c r="D26" s="5">
        <v>98</v>
      </c>
      <c r="E26" s="64">
        <v>11886.4</v>
      </c>
      <c r="F26" s="73">
        <f t="shared" ref="F26" si="0">D26*E26</f>
        <v>1164867.2</v>
      </c>
    </row>
    <row r="27" spans="2:6" ht="15.75" customHeight="1" x14ac:dyDescent="0.25">
      <c r="B27" s="40" t="s">
        <v>50</v>
      </c>
      <c r="C27" s="24" t="s">
        <v>48</v>
      </c>
      <c r="D27" s="5">
        <v>24</v>
      </c>
      <c r="E27" s="64">
        <v>9073.7000000000007</v>
      </c>
      <c r="F27" s="73">
        <f t="shared" ref="F27:F41" si="1">D27*E27</f>
        <v>217768.80000000002</v>
      </c>
    </row>
    <row r="28" spans="2:6" ht="15.75" customHeight="1" x14ac:dyDescent="0.25">
      <c r="B28" s="40" t="s">
        <v>51</v>
      </c>
      <c r="C28" s="24" t="s">
        <v>48</v>
      </c>
      <c r="D28" s="24">
        <v>25</v>
      </c>
      <c r="E28" s="64">
        <v>10281.799999999999</v>
      </c>
      <c r="F28" s="73">
        <f t="shared" si="1"/>
        <v>257044.99999999997</v>
      </c>
    </row>
    <row r="29" spans="2:6" ht="15.75" customHeight="1" x14ac:dyDescent="0.25">
      <c r="B29" s="40" t="s">
        <v>52</v>
      </c>
      <c r="C29" s="24" t="s">
        <v>24</v>
      </c>
      <c r="D29" s="5">
        <v>293</v>
      </c>
      <c r="E29" s="64">
        <v>4797.13</v>
      </c>
      <c r="F29" s="73">
        <f t="shared" si="1"/>
        <v>1405559.09</v>
      </c>
    </row>
    <row r="30" spans="2:6" ht="15.75" customHeight="1" x14ac:dyDescent="0.25">
      <c r="B30" s="40" t="s">
        <v>53</v>
      </c>
      <c r="C30" s="24" t="s">
        <v>24</v>
      </c>
      <c r="D30" s="5">
        <v>6</v>
      </c>
      <c r="E30" s="64">
        <v>4797.13</v>
      </c>
      <c r="F30" s="73">
        <f t="shared" ref="F30:F33" si="2">D30*E30</f>
        <v>28782.78</v>
      </c>
    </row>
    <row r="31" spans="2:6" ht="15.75" customHeight="1" x14ac:dyDescent="0.25">
      <c r="B31" s="40" t="s">
        <v>54</v>
      </c>
      <c r="C31" s="24" t="s">
        <v>24</v>
      </c>
      <c r="D31" s="5">
        <v>13</v>
      </c>
      <c r="E31" s="64">
        <v>4797.13</v>
      </c>
      <c r="F31" s="73">
        <f t="shared" si="2"/>
        <v>62362.69</v>
      </c>
    </row>
    <row r="32" spans="2:6" ht="15.75" customHeight="1" x14ac:dyDescent="0.25">
      <c r="B32" s="40" t="s">
        <v>55</v>
      </c>
      <c r="C32" s="24" t="s">
        <v>24</v>
      </c>
      <c r="D32" s="5">
        <v>2</v>
      </c>
      <c r="E32" s="64">
        <v>4797.13</v>
      </c>
      <c r="F32" s="73">
        <f t="shared" si="2"/>
        <v>9594.26</v>
      </c>
    </row>
    <row r="33" spans="1:8" ht="15.75" customHeight="1" x14ac:dyDescent="0.25">
      <c r="B33" s="40" t="s">
        <v>56</v>
      </c>
      <c r="C33" s="24" t="s">
        <v>24</v>
      </c>
      <c r="D33" s="5">
        <v>19</v>
      </c>
      <c r="E33" s="64">
        <v>4797.13</v>
      </c>
      <c r="F33" s="73">
        <f t="shared" si="2"/>
        <v>91145.47</v>
      </c>
    </row>
    <row r="34" spans="1:8" ht="15.75" customHeight="1" x14ac:dyDescent="0.25">
      <c r="B34" s="40" t="s">
        <v>57</v>
      </c>
      <c r="C34" s="24" t="s">
        <v>24</v>
      </c>
      <c r="D34" s="5">
        <v>8</v>
      </c>
      <c r="E34" s="64">
        <v>4797.13</v>
      </c>
      <c r="F34" s="73">
        <f t="shared" ref="F34" si="3">D34*E34</f>
        <v>38377.040000000001</v>
      </c>
    </row>
    <row r="35" spans="1:8" ht="15.75" customHeight="1" x14ac:dyDescent="0.25">
      <c r="B35" s="40" t="s">
        <v>58</v>
      </c>
      <c r="C35" s="24" t="s">
        <v>24</v>
      </c>
      <c r="D35" s="5">
        <v>19</v>
      </c>
      <c r="E35" s="64">
        <v>4797.13</v>
      </c>
      <c r="F35" s="73">
        <f t="shared" ref="F35" si="4">D35*E35</f>
        <v>91145.47</v>
      </c>
    </row>
    <row r="36" spans="1:8" ht="15.75" customHeight="1" x14ac:dyDescent="0.25">
      <c r="B36" s="40" t="s">
        <v>59</v>
      </c>
      <c r="C36" s="24" t="s">
        <v>48</v>
      </c>
      <c r="D36" s="24">
        <v>12</v>
      </c>
      <c r="E36" s="64">
        <v>50235.7</v>
      </c>
      <c r="F36" s="73">
        <f t="shared" si="1"/>
        <v>602828.39999999991</v>
      </c>
    </row>
    <row r="37" spans="1:8" x14ac:dyDescent="0.25">
      <c r="B37" s="83" t="s">
        <v>65</v>
      </c>
      <c r="C37" s="84" t="s">
        <v>62</v>
      </c>
      <c r="D37" s="85">
        <v>86</v>
      </c>
      <c r="E37" s="88">
        <v>76.400000000000006</v>
      </c>
      <c r="F37" s="73">
        <f t="shared" si="1"/>
        <v>6570.4000000000005</v>
      </c>
      <c r="H37" s="14"/>
    </row>
    <row r="38" spans="1:8" x14ac:dyDescent="0.25">
      <c r="B38" s="83" t="s">
        <v>66</v>
      </c>
      <c r="C38" s="84" t="s">
        <v>62</v>
      </c>
      <c r="D38" s="85">
        <v>61</v>
      </c>
      <c r="E38" s="88">
        <v>64.2</v>
      </c>
      <c r="F38" s="73">
        <f t="shared" si="1"/>
        <v>3916.2000000000003</v>
      </c>
      <c r="H38" s="14"/>
    </row>
    <row r="39" spans="1:8" s="65" customFormat="1" x14ac:dyDescent="0.25">
      <c r="A39" s="67"/>
      <c r="B39" s="83" t="s">
        <v>67</v>
      </c>
      <c r="C39" s="84" t="s">
        <v>62</v>
      </c>
      <c r="D39" s="85">
        <v>717</v>
      </c>
      <c r="E39" s="88">
        <v>19.3</v>
      </c>
      <c r="F39" s="73">
        <f t="shared" si="1"/>
        <v>13838.1</v>
      </c>
      <c r="H39" s="66"/>
    </row>
    <row r="40" spans="1:8" s="74" customFormat="1" x14ac:dyDescent="0.25">
      <c r="A40" s="76"/>
      <c r="B40" s="83" t="s">
        <v>68</v>
      </c>
      <c r="C40" s="84" t="s">
        <v>62</v>
      </c>
      <c r="D40" s="85">
        <v>1721.2</v>
      </c>
      <c r="E40" s="88">
        <v>18.2</v>
      </c>
      <c r="F40" s="73">
        <f t="shared" si="1"/>
        <v>31325.84</v>
      </c>
      <c r="H40" s="75"/>
    </row>
    <row r="41" spans="1:8" s="74" customFormat="1" x14ac:dyDescent="0.25">
      <c r="A41" s="76"/>
      <c r="B41" s="83" t="s">
        <v>69</v>
      </c>
      <c r="C41" s="84" t="s">
        <v>62</v>
      </c>
      <c r="D41" s="85">
        <v>86</v>
      </c>
      <c r="E41" s="88">
        <v>740.33</v>
      </c>
      <c r="F41" s="73">
        <f t="shared" si="1"/>
        <v>63668.380000000005</v>
      </c>
      <c r="H41" s="75"/>
    </row>
    <row r="42" spans="1:8" s="74" customFormat="1" ht="18.75" customHeight="1" x14ac:dyDescent="0.25">
      <c r="A42" s="76"/>
      <c r="B42" s="90" t="s">
        <v>70</v>
      </c>
      <c r="C42" s="84" t="s">
        <v>63</v>
      </c>
      <c r="D42" s="85">
        <v>1</v>
      </c>
      <c r="E42" s="89">
        <v>12569.9</v>
      </c>
      <c r="F42" s="89">
        <v>12569.9</v>
      </c>
      <c r="H42" s="75"/>
    </row>
    <row r="43" spans="1:8" s="74" customFormat="1" ht="33.75" x14ac:dyDescent="0.25">
      <c r="A43" s="76"/>
      <c r="B43" s="72" t="s">
        <v>64</v>
      </c>
      <c r="C43" s="84"/>
      <c r="D43" s="85"/>
      <c r="E43" s="86"/>
      <c r="F43" s="87"/>
      <c r="H43" s="75"/>
    </row>
    <row r="44" spans="1:8" s="77" customFormat="1" ht="24" customHeight="1" x14ac:dyDescent="0.25">
      <c r="A44" s="80"/>
      <c r="B44" s="72"/>
      <c r="C44" s="84"/>
      <c r="D44" s="85"/>
      <c r="E44" s="86"/>
      <c r="F44" s="87"/>
      <c r="H44" s="79"/>
    </row>
    <row r="45" spans="1:8" s="65" customFormat="1" ht="24" customHeight="1" x14ac:dyDescent="0.25">
      <c r="A45" s="67"/>
      <c r="B45" s="68"/>
      <c r="C45" s="69"/>
      <c r="D45" s="71"/>
      <c r="E45" s="70"/>
      <c r="F45" s="70"/>
      <c r="H45" s="66"/>
    </row>
    <row r="46" spans="1:8" ht="15.75" customHeight="1" x14ac:dyDescent="0.25">
      <c r="B46" s="4"/>
      <c r="C46" s="4"/>
      <c r="D46" s="21"/>
      <c r="E46" s="4" t="s">
        <v>2</v>
      </c>
      <c r="F46" s="11">
        <f>SUM(F26:F43)</f>
        <v>4101365.0199999996</v>
      </c>
    </row>
    <row r="47" spans="1:8" ht="15.75" customHeight="1" x14ac:dyDescent="0.25">
      <c r="B47" s="4"/>
      <c r="C47" s="4"/>
      <c r="D47" s="4"/>
      <c r="E47" s="4" t="s">
        <v>3</v>
      </c>
      <c r="F47" s="11">
        <f>F46*16%</f>
        <v>656218.40319999994</v>
      </c>
    </row>
    <row r="48" spans="1:8" ht="15.75" customHeight="1" x14ac:dyDescent="0.25">
      <c r="B48" s="4"/>
      <c r="C48" s="4"/>
      <c r="D48" s="16"/>
      <c r="E48" s="4" t="s">
        <v>4</v>
      </c>
      <c r="F48" s="11">
        <f>SUM(F46:F47)</f>
        <v>4757583.4231999991</v>
      </c>
    </row>
    <row r="49" spans="2:15" ht="41.25" customHeight="1" x14ac:dyDescent="0.25">
      <c r="B49" s="4"/>
      <c r="C49" s="4"/>
      <c r="D49" s="16"/>
      <c r="E49" s="4"/>
      <c r="F49" s="11"/>
    </row>
    <row r="50" spans="2:15" x14ac:dyDescent="0.25">
      <c r="B50" s="50" t="s">
        <v>23</v>
      </c>
      <c r="C50" s="51"/>
      <c r="D50" s="51"/>
      <c r="E50" s="51"/>
      <c r="F50" s="51"/>
    </row>
    <row r="51" spans="2:15" x14ac:dyDescent="0.25">
      <c r="B51" s="1"/>
      <c r="C51" s="1"/>
      <c r="D51" s="20"/>
      <c r="E51" s="20"/>
      <c r="F51" s="20"/>
    </row>
    <row r="52" spans="2:15" ht="27.75" customHeight="1" x14ac:dyDescent="0.25">
      <c r="B52" s="49" t="s">
        <v>26</v>
      </c>
      <c r="C52" s="49"/>
      <c r="D52" s="49"/>
      <c r="E52" s="49"/>
      <c r="F52" s="49"/>
    </row>
    <row r="53" spans="2:15" x14ac:dyDescent="0.25">
      <c r="B53" s="49" t="s">
        <v>27</v>
      </c>
      <c r="C53" s="49"/>
      <c r="D53" s="49"/>
      <c r="E53" s="49"/>
      <c r="F53" s="49"/>
      <c r="G53" s="19"/>
      <c r="H53" s="19"/>
      <c r="I53" s="19"/>
      <c r="J53" s="19"/>
      <c r="K53" s="19"/>
      <c r="L53" s="19"/>
      <c r="M53" s="19"/>
      <c r="N53" s="19"/>
      <c r="O53" s="19"/>
    </row>
    <row r="54" spans="2:15" x14ac:dyDescent="0.25">
      <c r="B54" s="49" t="s">
        <v>44</v>
      </c>
      <c r="C54" s="49"/>
      <c r="D54" s="49"/>
      <c r="E54" s="49"/>
      <c r="F54" s="49"/>
      <c r="G54" s="19"/>
      <c r="H54" s="19"/>
      <c r="I54" s="19"/>
      <c r="J54" s="19"/>
      <c r="K54" s="19"/>
      <c r="L54" s="19"/>
      <c r="M54" s="19"/>
      <c r="N54" s="19"/>
      <c r="O54" s="19"/>
    </row>
    <row r="55" spans="2:15" x14ac:dyDescent="0.25">
      <c r="B55" s="49" t="s">
        <v>28</v>
      </c>
      <c r="C55" s="49"/>
      <c r="D55" s="49"/>
      <c r="E55" s="49"/>
      <c r="F55" s="49"/>
      <c r="G55" s="19"/>
      <c r="H55" s="19"/>
      <c r="I55" s="19"/>
      <c r="J55" s="19"/>
      <c r="K55" s="19"/>
      <c r="L55" s="19"/>
      <c r="M55" s="19"/>
      <c r="N55" s="19"/>
      <c r="O55" s="19"/>
    </row>
    <row r="56" spans="2:15" ht="72" customHeight="1" x14ac:dyDescent="0.25">
      <c r="B56" s="49" t="s">
        <v>43</v>
      </c>
      <c r="C56" s="49"/>
      <c r="D56" s="49"/>
      <c r="E56" s="49"/>
      <c r="F56" s="49"/>
      <c r="G56" s="19"/>
      <c r="H56" s="19"/>
      <c r="I56" s="19"/>
      <c r="J56" s="19"/>
      <c r="K56" s="19"/>
      <c r="L56" s="19"/>
      <c r="M56" s="19"/>
      <c r="N56" s="19"/>
      <c r="O56" s="19"/>
    </row>
    <row r="57" spans="2:15" ht="24.75" customHeight="1" x14ac:dyDescent="0.25">
      <c r="B57" s="38"/>
      <c r="C57" s="38"/>
      <c r="D57" s="38"/>
      <c r="E57" s="38"/>
      <c r="F57" s="38"/>
      <c r="G57" s="19"/>
      <c r="H57" s="19"/>
      <c r="I57" s="19"/>
      <c r="J57" s="19"/>
      <c r="K57" s="19"/>
      <c r="L57" s="19"/>
      <c r="M57" s="19"/>
      <c r="N57" s="19"/>
      <c r="O57" s="19"/>
    </row>
    <row r="58" spans="2:15" ht="24.75" customHeight="1" x14ac:dyDescent="0.25">
      <c r="B58" s="38"/>
      <c r="C58" s="38"/>
      <c r="D58" s="38"/>
      <c r="E58" s="38"/>
      <c r="F58" s="38"/>
      <c r="G58" s="19"/>
      <c r="H58" s="19"/>
      <c r="I58" s="19"/>
      <c r="J58" s="19"/>
      <c r="K58" s="19"/>
      <c r="L58" s="19"/>
      <c r="M58" s="19"/>
      <c r="N58" s="19"/>
      <c r="O58" s="19"/>
    </row>
    <row r="59" spans="2:15" ht="24.75" customHeight="1" x14ac:dyDescent="0.25">
      <c r="B59" s="38"/>
      <c r="C59" s="38"/>
      <c r="D59" s="38"/>
      <c r="E59" s="38"/>
      <c r="F59" s="38"/>
      <c r="G59" s="19"/>
      <c r="H59" s="19"/>
      <c r="I59" s="19"/>
      <c r="J59" s="19"/>
      <c r="K59" s="19"/>
      <c r="L59" s="19"/>
      <c r="M59" s="19"/>
      <c r="N59" s="19"/>
      <c r="O59" s="19"/>
    </row>
    <row r="60" spans="2:15" x14ac:dyDescent="0.25">
      <c r="B60" s="20"/>
      <c r="C60" s="20"/>
      <c r="D60" s="20"/>
      <c r="E60" s="20"/>
      <c r="F60" s="20"/>
      <c r="G60" s="19"/>
      <c r="H60" s="19"/>
      <c r="I60" s="19"/>
      <c r="J60" s="19"/>
      <c r="K60" s="19"/>
      <c r="L60" s="19"/>
      <c r="M60" s="19"/>
      <c r="N60" s="19"/>
      <c r="O60" s="19"/>
    </row>
    <row r="61" spans="2:15" x14ac:dyDescent="0.25">
      <c r="B61" s="6" t="s">
        <v>72</v>
      </c>
      <c r="C61" s="6"/>
      <c r="D61" s="48" t="s">
        <v>73</v>
      </c>
      <c r="E61" s="48"/>
      <c r="F61" s="48"/>
      <c r="G61" s="19"/>
      <c r="H61" s="19"/>
      <c r="I61" s="19"/>
      <c r="J61" s="19"/>
      <c r="K61" s="19"/>
      <c r="L61" s="19"/>
      <c r="M61" s="19"/>
      <c r="N61" s="19"/>
      <c r="O61" s="19"/>
    </row>
    <row r="62" spans="2:15" x14ac:dyDescent="0.25">
      <c r="B62" s="8"/>
      <c r="C62" s="8"/>
      <c r="D62" s="21"/>
      <c r="E62" s="21"/>
      <c r="F62" s="21"/>
      <c r="G62" s="19"/>
      <c r="H62" s="19"/>
      <c r="I62" s="19"/>
      <c r="J62" s="19"/>
      <c r="K62" s="19"/>
      <c r="L62" s="19"/>
      <c r="M62" s="19"/>
      <c r="N62" s="19"/>
      <c r="O62" s="19"/>
    </row>
    <row r="63" spans="2:15" x14ac:dyDescent="0.25">
      <c r="B63" s="8"/>
      <c r="C63" s="8"/>
      <c r="D63" s="21"/>
      <c r="E63" s="21"/>
      <c r="F63" s="21"/>
      <c r="G63" s="19"/>
      <c r="H63" s="19"/>
      <c r="I63" s="19"/>
      <c r="J63" s="19"/>
      <c r="K63" s="19"/>
      <c r="L63" s="19"/>
      <c r="M63" s="19"/>
      <c r="N63" s="19"/>
      <c r="O63" s="19"/>
    </row>
    <row r="64" spans="2:15" x14ac:dyDescent="0.25">
      <c r="B64" s="12" t="s">
        <v>74</v>
      </c>
      <c r="C64" s="12"/>
      <c r="D64" s="21"/>
      <c r="E64" s="21"/>
      <c r="F64" s="21"/>
    </row>
    <row r="65" spans="2:7" x14ac:dyDescent="0.25">
      <c r="B65" s="23" t="s">
        <v>76</v>
      </c>
      <c r="C65" s="43" t="s">
        <v>75</v>
      </c>
      <c r="D65" s="44"/>
      <c r="E65" s="44"/>
      <c r="F65" s="44"/>
      <c r="G65" s="91"/>
    </row>
    <row r="66" spans="2:7" x14ac:dyDescent="0.25">
      <c r="B66" s="13"/>
      <c r="C66" s="13"/>
      <c r="D66" s="21"/>
      <c r="E66" s="21"/>
      <c r="F66" s="21"/>
    </row>
    <row r="67" spans="2:7" x14ac:dyDescent="0.25">
      <c r="B67" s="46"/>
      <c r="C67" s="46"/>
      <c r="D67" s="47"/>
      <c r="E67" s="47"/>
      <c r="F67" s="47"/>
    </row>
    <row r="68" spans="2:7" x14ac:dyDescent="0.25">
      <c r="B68" s="47"/>
      <c r="C68" s="47"/>
      <c r="D68" s="47"/>
      <c r="E68" s="47"/>
      <c r="F68" s="47"/>
    </row>
    <row r="69" spans="2:7" x14ac:dyDescent="0.25">
      <c r="B69" s="47"/>
      <c r="C69" s="47"/>
      <c r="D69" s="47"/>
      <c r="E69" s="47"/>
      <c r="F69" s="47"/>
    </row>
    <row r="70" spans="2:7" x14ac:dyDescent="0.25">
      <c r="B70" s="47"/>
      <c r="C70" s="47"/>
      <c r="D70" s="47"/>
      <c r="E70" s="47"/>
      <c r="F70" s="47"/>
    </row>
    <row r="71" spans="2:7" x14ac:dyDescent="0.25">
      <c r="B71" s="19"/>
      <c r="C71" s="19"/>
      <c r="D71" s="19"/>
      <c r="E71" s="19"/>
      <c r="F71" s="19"/>
    </row>
    <row r="72" spans="2:7" x14ac:dyDescent="0.25">
      <c r="B72" s="19"/>
      <c r="C72" s="19"/>
      <c r="D72" s="19"/>
      <c r="E72" s="19"/>
      <c r="F72" s="19"/>
    </row>
    <row r="73" spans="2:7" x14ac:dyDescent="0.25">
      <c r="B73" s="19"/>
      <c r="C73" s="19"/>
      <c r="D73" s="19"/>
      <c r="E73" s="19"/>
      <c r="F73" s="19"/>
    </row>
    <row r="74" spans="2:7" x14ac:dyDescent="0.25">
      <c r="B74" s="19"/>
      <c r="C74" s="19"/>
      <c r="D74" s="19"/>
      <c r="E74" s="19"/>
      <c r="F74" s="19"/>
    </row>
  </sheetData>
  <mergeCells count="13">
    <mergeCell ref="B9:F9"/>
    <mergeCell ref="B67:F70"/>
    <mergeCell ref="D61:F61"/>
    <mergeCell ref="B52:F52"/>
    <mergeCell ref="B53:F53"/>
    <mergeCell ref="B54:F54"/>
    <mergeCell ref="B55:F55"/>
    <mergeCell ref="B56:F56"/>
    <mergeCell ref="B50:F50"/>
    <mergeCell ref="B15:F15"/>
    <mergeCell ref="B17:F17"/>
    <mergeCell ref="B20:F20"/>
    <mergeCell ref="C65:G65"/>
  </mergeCells>
  <pageMargins left="0.7" right="0.7" top="0.75" bottom="0.75" header="0.3" footer="0.3"/>
  <pageSetup scale="5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2026-08-03T16:58:13Z</cp:lastPrinted>
  <dcterms:created xsi:type="dcterms:W3CDTF">2020-12-14T19:54:01Z</dcterms:created>
  <dcterms:modified xsi:type="dcterms:W3CDTF">2026-08-03T16:59:14Z</dcterms:modified>
</cp:coreProperties>
</file>