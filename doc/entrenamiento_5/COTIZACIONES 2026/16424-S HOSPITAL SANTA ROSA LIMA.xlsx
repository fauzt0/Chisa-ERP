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C695F4A-8C32-4274-9F9D-9FBEF07D5A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30" i="3" l="1"/>
  <c r="F29" i="3"/>
  <c r="F28" i="3"/>
  <c r="F34" i="3" l="1"/>
  <c r="D21" i="1"/>
  <c r="D22" i="1" s="1"/>
  <c r="F35" i="3" l="1"/>
  <c r="F36" i="3" s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<sst xmlns="http://schemas.openxmlformats.org/spreadsheetml/2006/main" count="71" uniqueCount="62">
  <si>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</si>
  <si>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</si>
  <si>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</si>
  <si>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</si>
  <si>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</si>
  <si>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</si>
  <si>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</si>
  <si>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</si>
  <si>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</si>
  <si>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</si>
  <si>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</si>
  <si>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</si>
  <si>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</si>
  <si>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</si>
  <si>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</si>
  <si>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</si>
  <si>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</si>
  <si>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</si>
  <si>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</si>
  <si>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</si>
  <si>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</si>
  <si>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</si>
  <si>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</si>
  <si>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</si>
  <si>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</si>
  <si>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</si>
  <si>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</si>
  <si>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</si>
  <si>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</si>
  <si>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</si>
  <si>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</si>
  <si>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</si>
  <si>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</si>
  <si>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</si>
  <si>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</si>
  <si>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</si>
  <si>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</si>
  <si>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</si>
  <si>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</si>
  <si>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</si>
  <si>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</si>
  <si>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</si>
  <si>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</si>
  <si>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</si>
  <si>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</si>
  <si>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</si>
  <si>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</si>
  <si>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</si>
  <si>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</si>
  <si>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</si>
  <si>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</si>
  <si>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</si>
  <si>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 xml:space="preserve">
</t>
  </si>
  <si>
    <t>CIUDAD DE MEXICO A 23 DE FEBRERO DEL 2026</t>
  </si>
  <si>
    <t>3.- CHISA GLASS REF. S.M.A (REND. 55-60M2)</t>
  </si>
  <si>
    <t>AT´N: DIANA LUCIA URIBE</t>
  </si>
  <si>
    <t>OBRA: HOSPITAL SANTA ROSA LIMA</t>
  </si>
  <si>
    <t>PRES. REF. 16424-S/2026CG</t>
  </si>
  <si>
    <t xml:space="preserve">1.- SELLADOR INICIAL  (REND. 90M2) </t>
  </si>
  <si>
    <t xml:space="preserve">2.- PRAIMER GLASS REF. S.M.A (REND. 85M2) </t>
  </si>
  <si>
    <t>4.- VITROGLASS REF. S.M.A (REND. 180M2)</t>
  </si>
  <si>
    <r>
      <t xml:space="preserve">                            DIANA LUCIA URIBE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</si>
</sst>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0"/>
      <c r="B1" s="61"/>
      <c r="C1" s="61"/>
      <c r="D1" s="61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2" t="s">
        <v>40</v>
      </c>
      <c r="B13" s="63"/>
      <c r="C13" s="63"/>
      <c r="D13" s="63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8" t="s">
        <v>32</v>
      </c>
      <c r="B16" s="58"/>
      <c r="C16" s="58"/>
      <c r="D16" s="58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9" t="s">
        <v>6</v>
      </c>
      <c r="B26" s="59"/>
      <c r="C26" s="59"/>
      <c r="D26" s="59"/>
      <c r="E26" s="5"/>
      <c r="F26" s="11"/>
    </row>
    <row r="27" spans="1:7" ht="57" customHeight="1" x14ac:dyDescent="0.25">
      <c r="A27" s="55" t="s">
        <v>35</v>
      </c>
      <c r="B27" s="55"/>
      <c r="C27" s="55"/>
      <c r="D27" s="55"/>
      <c r="E27" s="5"/>
      <c r="F27" s="11"/>
    </row>
    <row r="28" spans="1:7" ht="15" customHeight="1" x14ac:dyDescent="0.25">
      <c r="A28" s="59" t="s">
        <v>7</v>
      </c>
      <c r="B28" s="59"/>
      <c r="C28" s="59"/>
      <c r="D28" s="59"/>
      <c r="E28" s="5"/>
    </row>
    <row r="29" spans="1:7" ht="33.75" customHeight="1" x14ac:dyDescent="0.25">
      <c r="A29" s="55" t="s">
        <v>8</v>
      </c>
      <c r="B29" s="55"/>
      <c r="C29" s="55"/>
      <c r="D29" s="55"/>
    </row>
    <row r="30" spans="1:7" ht="51" customHeight="1" x14ac:dyDescent="0.25">
      <c r="A30" s="58" t="s">
        <v>9</v>
      </c>
      <c r="B30" s="58"/>
      <c r="C30" s="58"/>
      <c r="D30" s="58"/>
    </row>
    <row r="31" spans="1:7" ht="57" customHeight="1" x14ac:dyDescent="0.25">
      <c r="A31" s="58" t="s">
        <v>10</v>
      </c>
      <c r="B31" s="58"/>
      <c r="C31" s="58"/>
      <c r="D31" s="58"/>
    </row>
    <row r="32" spans="1:7" ht="25.5" customHeight="1" x14ac:dyDescent="0.25">
      <c r="A32" s="58" t="s">
        <v>11</v>
      </c>
      <c r="B32" s="58"/>
      <c r="C32" s="58"/>
      <c r="D32" s="58"/>
      <c r="E32" s="5"/>
    </row>
    <row r="33" spans="1:4" ht="72" customHeight="1" x14ac:dyDescent="0.25">
      <c r="A33" s="55" t="s">
        <v>12</v>
      </c>
      <c r="B33" s="55"/>
      <c r="C33" s="55"/>
      <c r="D33" s="55"/>
    </row>
    <row r="34" spans="1:4" ht="27.75" customHeight="1" x14ac:dyDescent="0.25">
      <c r="A34" s="55" t="s">
        <v>13</v>
      </c>
      <c r="B34" s="55"/>
      <c r="C34" s="55"/>
      <c r="D34" s="55"/>
    </row>
    <row r="35" spans="1:4" ht="61.5" customHeight="1" x14ac:dyDescent="0.25">
      <c r="A35" s="55" t="s">
        <v>14</v>
      </c>
      <c r="B35" s="55"/>
      <c r="C35" s="55"/>
      <c r="D35" s="55"/>
    </row>
    <row r="36" spans="1:4" ht="25.5" customHeight="1" x14ac:dyDescent="0.25">
      <c r="A36" s="55" t="s">
        <v>15</v>
      </c>
      <c r="B36" s="55"/>
      <c r="C36" s="55"/>
      <c r="D36" s="55"/>
    </row>
    <row r="37" spans="1:4" ht="68.25" customHeight="1" x14ac:dyDescent="0.25">
      <c r="A37" s="58" t="s">
        <v>16</v>
      </c>
      <c r="B37" s="58"/>
      <c r="C37" s="58"/>
      <c r="D37" s="58"/>
    </row>
    <row r="38" spans="1:4" ht="29.25" customHeight="1" x14ac:dyDescent="0.25">
      <c r="A38" s="55" t="s">
        <v>17</v>
      </c>
      <c r="B38" s="55"/>
      <c r="C38" s="55"/>
      <c r="D38" s="5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3" t="s">
        <v>31</v>
      </c>
      <c r="C40" s="53"/>
      <c r="D40" s="5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37" zoomScaleNormal="100" zoomScalePageLayoutView="50" workbookViewId="0">
      <selection activeCell="A54" sqref="A54:XFD54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4" t="s">
        <v>53</v>
      </c>
      <c r="C8" s="54"/>
      <c r="D8" s="54"/>
      <c r="E8" s="54"/>
      <c r="F8" s="54"/>
    </row>
    <row r="9" spans="2:6" x14ac:dyDescent="0.25">
      <c r="B9" s="25"/>
      <c r="C9" s="25"/>
      <c r="D9" s="25"/>
      <c r="E9" s="25"/>
      <c r="F9" s="25"/>
    </row>
    <row r="10" spans="2:6" ht="14.25" customHeight="1" x14ac:dyDescent="0.25">
      <c r="B10" s="42" t="s">
        <v>52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50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56" t="s">
        <v>55</v>
      </c>
      <c r="C15" s="56"/>
      <c r="D15" s="56"/>
      <c r="E15" s="56"/>
      <c r="F15" s="56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61" t="s">
        <v>56</v>
      </c>
      <c r="C17" s="61"/>
      <c r="D17" s="61"/>
      <c r="E17" s="61"/>
      <c r="F17" s="61"/>
    </row>
    <row r="18" spans="2:6" ht="12.75" customHeight="1" x14ac:dyDescent="0.25">
      <c r="B18" s="8" t="s">
        <v>57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18" customHeight="1" x14ac:dyDescent="0.25">
      <c r="B20" s="67" t="s">
        <v>49</v>
      </c>
      <c r="C20" s="67"/>
      <c r="D20" s="67"/>
      <c r="E20" s="67"/>
      <c r="F20" s="67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50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50"/>
      <c r="C24" s="8"/>
      <c r="D24" s="18"/>
      <c r="E24" s="18"/>
      <c r="F24" s="17"/>
    </row>
    <row r="25" spans="2:6" x14ac:dyDescent="0.25">
      <c r="B25" s="50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40" t="s">
        <v>58</v>
      </c>
      <c r="C27" s="39" t="s">
        <v>46</v>
      </c>
      <c r="D27" s="38">
        <v>1</v>
      </c>
      <c r="E27" s="41">
        <v>907.37</v>
      </c>
      <c r="F27" s="45">
        <f t="shared" ref="F27" si="0">D27*E27</f>
        <v>907.37</v>
      </c>
    </row>
    <row r="28" spans="2:6" x14ac:dyDescent="0.25">
      <c r="B28" s="40" t="s">
        <v>59</v>
      </c>
      <c r="C28" s="39" t="s">
        <v>46</v>
      </c>
      <c r="D28" s="38">
        <v>1</v>
      </c>
      <c r="E28" s="41">
        <v>1028.18</v>
      </c>
      <c r="F28" s="41">
        <f>D28*E28</f>
        <v>1028.18</v>
      </c>
    </row>
    <row r="29" spans="2:6" x14ac:dyDescent="0.25">
      <c r="B29" s="40" t="s">
        <v>54</v>
      </c>
      <c r="C29" s="39" t="s">
        <v>46</v>
      </c>
      <c r="D29" s="38">
        <v>1</v>
      </c>
      <c r="E29" s="41">
        <v>4797.13</v>
      </c>
      <c r="F29" s="41">
        <f t="shared" ref="F29:F30" si="1">D29*E29</f>
        <v>4797.13</v>
      </c>
    </row>
    <row r="30" spans="2:6" x14ac:dyDescent="0.25">
      <c r="B30" s="40" t="s">
        <v>60</v>
      </c>
      <c r="C30" s="39" t="s">
        <v>46</v>
      </c>
      <c r="D30" s="38">
        <v>1</v>
      </c>
      <c r="E30" s="41">
        <v>5023.57</v>
      </c>
      <c r="F30" s="41">
        <f t="shared" si="1"/>
        <v>5023.57</v>
      </c>
    </row>
    <row r="31" spans="2:6" x14ac:dyDescent="0.25">
      <c r="B31" s="40"/>
      <c r="C31" s="39"/>
      <c r="D31" s="38"/>
      <c r="E31" s="41"/>
      <c r="F31" s="41"/>
    </row>
    <row r="32" spans="2:6" x14ac:dyDescent="0.25">
      <c r="B32" s="49"/>
      <c r="C32" s="39"/>
      <c r="D32" s="38"/>
      <c r="E32" s="41"/>
      <c r="F32" s="41"/>
    </row>
    <row r="33" spans="2:8" x14ac:dyDescent="0.25">
      <c r="B33" s="40"/>
      <c r="C33" s="39"/>
      <c r="D33" s="38"/>
      <c r="E33" s="41"/>
      <c r="F33" s="41"/>
    </row>
    <row r="34" spans="2:8" ht="19.5" customHeight="1" x14ac:dyDescent="0.25">
      <c r="B34" s="4"/>
      <c r="C34" s="4"/>
      <c r="D34" s="16"/>
      <c r="E34" s="4" t="s">
        <v>3</v>
      </c>
      <c r="F34" s="48">
        <f>SUM(F27:F33)</f>
        <v>11756.25</v>
      </c>
    </row>
    <row r="35" spans="2:8" ht="17.25" customHeight="1" x14ac:dyDescent="0.25">
      <c r="B35" s="4"/>
      <c r="C35" s="4"/>
      <c r="D35" s="16"/>
      <c r="E35" s="4" t="s">
        <v>44</v>
      </c>
      <c r="F35" s="48">
        <f>F34*16%</f>
        <v>1881</v>
      </c>
    </row>
    <row r="36" spans="2:8" ht="15" customHeight="1" x14ac:dyDescent="0.25">
      <c r="B36" s="4"/>
      <c r="C36" s="4"/>
      <c r="D36" s="16"/>
      <c r="E36" s="52" t="s">
        <v>45</v>
      </c>
      <c r="F36" s="48">
        <f>F34+F35</f>
        <v>13637.25</v>
      </c>
    </row>
    <row r="37" spans="2:8" ht="15" customHeight="1" x14ac:dyDescent="0.25">
      <c r="B37" s="4"/>
      <c r="C37" s="4"/>
      <c r="D37" s="16"/>
      <c r="E37" s="52"/>
      <c r="F37" s="48"/>
    </row>
    <row r="38" spans="2:8" ht="14.25" customHeight="1" x14ac:dyDescent="0.25">
      <c r="B38" s="4"/>
      <c r="C38" s="4"/>
      <c r="D38" s="16"/>
      <c r="E38" s="4"/>
      <c r="F38" s="11"/>
    </row>
    <row r="39" spans="2:8" ht="14.25" customHeight="1" x14ac:dyDescent="0.25">
      <c r="B39" s="59" t="s">
        <v>23</v>
      </c>
      <c r="C39" s="68"/>
      <c r="D39" s="68"/>
      <c r="E39" s="68"/>
      <c r="F39" s="68"/>
    </row>
    <row r="40" spans="2:8" ht="14.25" customHeight="1" x14ac:dyDescent="0.25">
      <c r="B40" s="23"/>
      <c r="C40" s="43"/>
      <c r="D40" s="43"/>
      <c r="E40" s="43"/>
      <c r="F40" s="43"/>
    </row>
    <row r="41" spans="2:8" ht="13.5" customHeight="1" x14ac:dyDescent="0.25">
      <c r="B41" s="67" t="s">
        <v>26</v>
      </c>
      <c r="C41" s="67"/>
      <c r="D41" s="67"/>
      <c r="E41" s="67"/>
      <c r="F41" s="67"/>
      <c r="H41" s="14"/>
    </row>
    <row r="42" spans="2:8" ht="13.5" customHeight="1" x14ac:dyDescent="0.25">
      <c r="B42" s="67" t="s">
        <v>27</v>
      </c>
      <c r="C42" s="67"/>
      <c r="D42" s="67"/>
      <c r="E42" s="67"/>
      <c r="F42" s="67"/>
    </row>
    <row r="43" spans="2:8" ht="13.5" customHeight="1" x14ac:dyDescent="0.25">
      <c r="B43" s="67" t="s">
        <v>28</v>
      </c>
      <c r="C43" s="67"/>
      <c r="D43" s="67"/>
      <c r="E43" s="67"/>
      <c r="F43" s="67"/>
    </row>
    <row r="44" spans="2:8" ht="13.5" customHeight="1" x14ac:dyDescent="0.25">
      <c r="B44" s="67" t="s">
        <v>29</v>
      </c>
      <c r="C44" s="67"/>
      <c r="D44" s="67"/>
      <c r="E44" s="67"/>
      <c r="F44" s="67"/>
    </row>
    <row r="45" spans="2:8" ht="13.5" customHeight="1" x14ac:dyDescent="0.25">
      <c r="B45" s="67" t="s">
        <v>30</v>
      </c>
      <c r="C45" s="67"/>
      <c r="D45" s="67"/>
      <c r="E45" s="67"/>
      <c r="F45" s="67"/>
    </row>
    <row r="46" spans="2:8" ht="13.5" customHeight="1" x14ac:dyDescent="0.25">
      <c r="B46" s="33"/>
      <c r="C46" s="33"/>
      <c r="D46" s="33"/>
      <c r="E46" s="33"/>
      <c r="F46" s="33"/>
    </row>
    <row r="47" spans="2:8" x14ac:dyDescent="0.25">
      <c r="B47" s="20"/>
      <c r="C47" s="20"/>
      <c r="D47" s="20"/>
      <c r="E47" s="20"/>
      <c r="F47" s="20"/>
    </row>
    <row r="48" spans="2:8" ht="12" customHeight="1" x14ac:dyDescent="0.25">
      <c r="B48" s="18" t="s">
        <v>48</v>
      </c>
      <c r="C48" s="36"/>
      <c r="D48" s="66" t="s">
        <v>47</v>
      </c>
      <c r="E48" s="66"/>
      <c r="F48" s="66"/>
    </row>
    <row r="49" spans="2:15" ht="12" customHeight="1" x14ac:dyDescent="0.25">
      <c r="B49" s="18"/>
      <c r="C49" s="36"/>
      <c r="D49" s="44"/>
      <c r="E49" s="44"/>
      <c r="F49" s="44"/>
    </row>
    <row r="50" spans="2:15" ht="15" customHeight="1" x14ac:dyDescent="0.25">
      <c r="B50" s="9"/>
      <c r="C50" s="9"/>
      <c r="D50" s="21"/>
      <c r="E50" s="21"/>
      <c r="F50" s="21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5" customHeight="1" x14ac:dyDescent="0.25">
      <c r="B51" s="35"/>
      <c r="C51" s="46" t="s">
        <v>51</v>
      </c>
      <c r="D51" s="47"/>
      <c r="E51" s="47"/>
      <c r="F51" s="47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51" t="s">
        <v>61</v>
      </c>
      <c r="C52" s="34"/>
      <c r="D52" s="34"/>
      <c r="E52" s="34"/>
      <c r="F52" s="34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64" t="s">
        <v>24</v>
      </c>
      <c r="C53" s="64"/>
      <c r="D53" s="65"/>
      <c r="E53" s="65"/>
      <c r="F53" s="65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64"/>
      <c r="C54" s="64"/>
      <c r="D54" s="65"/>
      <c r="E54" s="65"/>
      <c r="F54" s="65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64"/>
      <c r="C55" s="64"/>
      <c r="D55" s="65"/>
      <c r="E55" s="65"/>
      <c r="F55" s="65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65"/>
      <c r="C56" s="65"/>
      <c r="D56" s="65"/>
      <c r="E56" s="65"/>
      <c r="F56" s="65"/>
    </row>
    <row r="57" spans="2:15" x14ac:dyDescent="0.25">
      <c r="B57" s="65"/>
      <c r="C57" s="65"/>
      <c r="D57" s="65"/>
      <c r="E57" s="65"/>
      <c r="F57" s="65"/>
    </row>
    <row r="58" spans="2:15" x14ac:dyDescent="0.25">
      <c r="B58" s="65"/>
      <c r="C58" s="65"/>
      <c r="D58" s="65"/>
      <c r="E58" s="65"/>
      <c r="F58" s="65"/>
    </row>
    <row r="59" spans="2:15" x14ac:dyDescent="0.25">
      <c r="B59" s="19"/>
      <c r="C59" s="19"/>
      <c r="D59" s="19"/>
      <c r="E59" s="19"/>
      <c r="F59" s="19"/>
    </row>
    <row r="60" spans="2:15" x14ac:dyDescent="0.25">
      <c r="B60" s="19"/>
      <c r="C60" s="19"/>
      <c r="D60" s="19"/>
      <c r="E60" s="19"/>
      <c r="F60" s="19"/>
    </row>
    <row r="61" spans="2:15" x14ac:dyDescent="0.25">
      <c r="B61" s="19"/>
      <c r="C61" s="19"/>
      <c r="D61" s="19"/>
      <c r="E61" s="19"/>
      <c r="F61" s="19"/>
    </row>
    <row r="62" spans="2:15" x14ac:dyDescent="0.25">
      <c r="B62" s="19"/>
      <c r="C62" s="19"/>
      <c r="D62" s="19"/>
      <c r="E62" s="19"/>
      <c r="F62" s="19"/>
    </row>
  </sheetData>
  <mergeCells count="12">
    <mergeCell ref="B8:F8"/>
    <mergeCell ref="B15:F15"/>
    <mergeCell ref="B17:F17"/>
    <mergeCell ref="B20:F20"/>
    <mergeCell ref="B45:F45"/>
    <mergeCell ref="B39:F39"/>
    <mergeCell ref="B53:F58"/>
    <mergeCell ref="D48:F48"/>
    <mergeCell ref="B41:F41"/>
    <mergeCell ref="B42:F42"/>
    <mergeCell ref="B43:F43"/>
    <mergeCell ref="B44:F44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2026-02-23T21:30:31Z</cp:lastPrinted>
  <dcterms:created xsi:type="dcterms:W3CDTF">2020-12-14T19:54:01Z</dcterms:created>
  <dcterms:modified xsi:type="dcterms:W3CDTF">2026-02-23T21:31:06Z</dcterms:modified>
</cp:coreProperties>
</file>