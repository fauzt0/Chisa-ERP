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8_{3DDDD28F-BBDD-49C7-ABCB-D8075B7D64F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3" l="1"/>
  <c r="F27" i="3"/>
  <c r="F26" i="3"/>
  <c r="F25" i="3"/>
  <c r="F31" i="3" s="1"/>
  <c r="D21" i="1" l="1"/>
  <c r="D22" i="1" s="1"/>
  <c r="F33" i="3" l="1"/>
  <c r="F34" i="3" l="1"/>
  <c r="F35" i="3" s="1"/>
</calcChain>
</file>

<file path=xl/sharedStrings.xml><?xml version="1.0" encoding="utf-8"?>
<sst xmlns="http://schemas.openxmlformats.org/spreadsheetml/2006/main" count="99" uniqueCount="80">
  <si>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</si>
  <si>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</si>
  <si>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</si>
  <si>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</si>
  <si>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</si>
  <si>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</si>
  <si>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</si>
  <si>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</si>
  <si>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</si>
  <si>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</si>
  <si>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</si>
  <si>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</si>
  <si>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</si>
  <si>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</si>
  <si>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</si>
  <si>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</si>
  <si>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</si>
  <si>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</si>
  <si>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</si>
  <si>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</si>
  <si>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</si>
  <si>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</si>
  <si>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</si>
  <si>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</si>
  <si>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</si>
  <si>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</si>
  <si>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</si>
  <si>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</si>
  <si>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</si>
  <si>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</si>
  <si>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</si>
  <si>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</si>
  <si>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</si>
  <si>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</si>
  <si>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</si>
  <si>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</si>
  <si>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</si>
  <si>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</si>
  <si>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</si>
  <si>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</si>
  <si>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</si>
  <si>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</si>
  <si>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</si>
  <si>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</si>
  <si>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</si>
  <si>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</si>
  <si>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</si>
  <si>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</si>
  <si>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</si>
  <si>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</si>
  <si>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 xml:space="preserve">                                   TIO BEN </t>
  </si>
  <si>
    <t xml:space="preserve">                                         CHISA RECUBRIMIENTOS, S.A DE C.V</t>
  </si>
  <si>
    <t>DESC 5%</t>
  </si>
  <si>
    <t>SUB TOTAL</t>
  </si>
  <si>
    <t>CIUDAD DE MEXICO A 31 DE JULIO DEL 2026</t>
  </si>
  <si>
    <t>CONSTRUCTORA: ACABADOS LHOGAR</t>
  </si>
  <si>
    <t>AT´N: LHOGAR ACABADOS</t>
  </si>
  <si>
    <t>OBRA: HOSPITAL DEL IMSS EN SAN LUIS RIO COLORADO</t>
  </si>
  <si>
    <t>PRES. REF. 16634-S/2026CG</t>
  </si>
  <si>
    <t>1.-ARENA SILICA (220M2)</t>
  </si>
  <si>
    <t>TAMBOS</t>
  </si>
  <si>
    <t>2.-SELLADOR INICIAL (900M2)</t>
  </si>
  <si>
    <t>3.- PRAIMER GLASS REF S.M.A. (850 M2)</t>
  </si>
  <si>
    <t>4.-CHISA GLASS REF. BLANCO OSTION(60 M2)</t>
  </si>
  <si>
    <t>5.-CHISA GLASS REF. ESPARRAGO(60 M2)</t>
  </si>
  <si>
    <t>6.-CHISA GLASS REF. LONCHERA(60 M2)</t>
  </si>
  <si>
    <t>7.-CHISA GLASS REF. DIKKENS(60 M2)</t>
  </si>
  <si>
    <t>8.-CHISA GLASS REF. TURRON(60 M2)</t>
  </si>
  <si>
    <t>9.-CHISA GLASS REF. ESPECIA(60 M2)</t>
  </si>
  <si>
    <t>10.-CHISA GLASS REF. MELON(60 M2)</t>
  </si>
  <si>
    <t>11.-VITROGLASS ECOLOGICO (1800 M2)</t>
  </si>
  <si>
    <t xml:space="preserve">12.- RODILLOS (REND. 250M2 </t>
  </si>
  <si>
    <t>PZAS</t>
  </si>
  <si>
    <t>13.- BROCHAS (REND. 350M2)</t>
  </si>
  <si>
    <t>14.- LIJAS MEDIANAS 30M2)</t>
  </si>
  <si>
    <t>15.- MASKING TAPE (REND. 12.5M2)</t>
  </si>
  <si>
    <t>16- ROLLOS DE PAPEL ( 250M2)</t>
  </si>
  <si>
    <t xml:space="preserve">17.-  KIT DE APLICACIÓN DE CHISA, QUE CONSISTE EN: </t>
  </si>
  <si>
    <t>PZA</t>
  </si>
  <si>
    <t>COMPRESOR CON CAPACIDAD DE 30LBRS CONTINUAS, MANGUERA DE 10 MTRS, CONEXIONES RAPIDAS Y PISTOLA PARA APLICAR EL RECUBRIMIENTO.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</si>
</sst>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1" fillId="0" borderId="0" xfId="13" applyFont="1" applyAlignment="1">
      <alignment vertical="center" wrapText="1"/>
    </xf>
    <xf numFmtId="0" fontId="4" fillId="0" borderId="0" xfId="0" applyFont="1" applyAlignment="1">
      <alignment horizontal="justify" wrapText="1"/>
    </xf>
    <xf numFmtId="0" fontId="12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justify" vertical="center" wrapText="1"/>
    </xf>
  </cellXfs>
  <cellStyles count="14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  <cellStyle name="Normal 2" xfId="13" xr:uid="{84023B4F-638C-463A-804A-C1CD3C890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4"/>
      <c r="B1" s="55"/>
      <c r="C1" s="55"/>
      <c r="D1" s="55"/>
    </row>
    <row r="2" spans="1:7" ht="12" customHeight="1" x14ac:dyDescent="0.25">
      <c r="A2" s="19"/>
      <c r="B2" s="19"/>
      <c r="C2" s="19"/>
      <c r="D2" s="19"/>
    </row>
    <row r="3" spans="1:7" ht="12" customHeight="1" x14ac:dyDescent="0.25">
      <c r="A3" s="19"/>
      <c r="B3" s="19"/>
      <c r="C3" s="19"/>
      <c r="D3" s="19"/>
    </row>
    <row r="4" spans="1:7" ht="12" customHeight="1" x14ac:dyDescent="0.25">
      <c r="A4" s="47" t="s">
        <v>36</v>
      </c>
      <c r="B4" s="47"/>
      <c r="C4" s="47"/>
      <c r="D4" s="47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19"/>
      <c r="C6" s="19"/>
      <c r="D6" s="19"/>
    </row>
    <row r="7" spans="1:7" ht="12" customHeight="1" x14ac:dyDescent="0.25">
      <c r="A7" s="1" t="s">
        <v>0</v>
      </c>
      <c r="B7" s="19"/>
      <c r="C7" s="19"/>
      <c r="D7" s="19"/>
    </row>
    <row r="8" spans="1:7" ht="12" customHeight="1" x14ac:dyDescent="0.25">
      <c r="A8" s="1"/>
      <c r="B8" s="19"/>
      <c r="C8" s="19"/>
      <c r="D8" s="19"/>
    </row>
    <row r="9" spans="1:7" ht="12" customHeight="1" x14ac:dyDescent="0.25">
      <c r="A9" s="1" t="s">
        <v>1</v>
      </c>
      <c r="B9" s="19"/>
      <c r="C9" s="19"/>
      <c r="D9" s="19"/>
      <c r="E9" s="1"/>
      <c r="F9" s="1"/>
      <c r="G9" s="1"/>
    </row>
    <row r="10" spans="1:7" ht="12" customHeight="1" x14ac:dyDescent="0.25">
      <c r="A10" s="50" t="s">
        <v>37</v>
      </c>
      <c r="B10" s="50"/>
      <c r="C10" s="50"/>
      <c r="D10" s="50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9"/>
      <c r="C12" s="19"/>
      <c r="D12" s="19"/>
    </row>
    <row r="13" spans="1:7" ht="15.75" customHeight="1" x14ac:dyDescent="0.25">
      <c r="A13" s="56" t="s">
        <v>39</v>
      </c>
      <c r="B13" s="57"/>
      <c r="C13" s="57"/>
      <c r="D13" s="57"/>
    </row>
    <row r="14" spans="1:7" ht="12" customHeight="1" x14ac:dyDescent="0.25">
      <c r="A14" s="7" t="s">
        <v>38</v>
      </c>
      <c r="B14" s="20"/>
      <c r="C14" s="20"/>
      <c r="D14" s="20"/>
    </row>
    <row r="15" spans="1:7" ht="12" customHeight="1" x14ac:dyDescent="0.25">
      <c r="A15" s="8" t="s">
        <v>2</v>
      </c>
      <c r="B15" s="20"/>
      <c r="C15" s="20"/>
      <c r="D15" s="20"/>
    </row>
    <row r="16" spans="1:7" ht="12" customHeight="1" x14ac:dyDescent="0.25">
      <c r="A16" s="52" t="s">
        <v>31</v>
      </c>
      <c r="B16" s="52"/>
      <c r="C16" s="52"/>
      <c r="D16" s="52"/>
      <c r="E16" s="3"/>
      <c r="F16" s="3"/>
      <c r="G16" s="3"/>
    </row>
    <row r="17" spans="1:7" ht="21.75" customHeight="1" x14ac:dyDescent="0.25">
      <c r="A17" s="27" t="s">
        <v>32</v>
      </c>
      <c r="B17" s="23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6" t="s">
        <v>33</v>
      </c>
      <c r="B18" s="32" t="s">
        <v>42</v>
      </c>
      <c r="C18" s="21">
        <v>27794.639999999999</v>
      </c>
      <c r="D18" s="21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1"/>
      <c r="D19" s="21"/>
    </row>
    <row r="20" spans="1:7" ht="18.75" customHeight="1" x14ac:dyDescent="0.25">
      <c r="A20" s="4"/>
      <c r="B20" s="29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30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1" t="s">
        <v>40</v>
      </c>
      <c r="B25" s="51"/>
      <c r="C25" s="51"/>
      <c r="D25" s="51"/>
      <c r="E25" s="10"/>
      <c r="F25" s="10"/>
    </row>
    <row r="26" spans="1:7" ht="12" customHeight="1" x14ac:dyDescent="0.25">
      <c r="A26" s="53" t="s">
        <v>6</v>
      </c>
      <c r="B26" s="53"/>
      <c r="C26" s="53"/>
      <c r="D26" s="53"/>
      <c r="E26" s="5"/>
      <c r="F26" s="10"/>
    </row>
    <row r="27" spans="1:7" ht="57" customHeight="1" x14ac:dyDescent="0.25">
      <c r="A27" s="49" t="s">
        <v>34</v>
      </c>
      <c r="B27" s="49"/>
      <c r="C27" s="49"/>
      <c r="D27" s="49"/>
      <c r="E27" s="5"/>
      <c r="F27" s="10"/>
    </row>
    <row r="28" spans="1:7" ht="15" customHeight="1" x14ac:dyDescent="0.25">
      <c r="A28" s="53" t="s">
        <v>7</v>
      </c>
      <c r="B28" s="53"/>
      <c r="C28" s="53"/>
      <c r="D28" s="53"/>
      <c r="E28" s="5"/>
    </row>
    <row r="29" spans="1:7" ht="33.75" customHeight="1" x14ac:dyDescent="0.25">
      <c r="A29" s="49" t="s">
        <v>8</v>
      </c>
      <c r="B29" s="49"/>
      <c r="C29" s="49"/>
      <c r="D29" s="49"/>
    </row>
    <row r="30" spans="1:7" ht="51" customHeight="1" x14ac:dyDescent="0.25">
      <c r="A30" s="52" t="s">
        <v>9</v>
      </c>
      <c r="B30" s="52"/>
      <c r="C30" s="52"/>
      <c r="D30" s="52"/>
    </row>
    <row r="31" spans="1:7" ht="57" customHeight="1" x14ac:dyDescent="0.25">
      <c r="A31" s="52" t="s">
        <v>10</v>
      </c>
      <c r="B31" s="52"/>
      <c r="C31" s="52"/>
      <c r="D31" s="52"/>
    </row>
    <row r="32" spans="1:7" ht="25.5" customHeight="1" x14ac:dyDescent="0.25">
      <c r="A32" s="52" t="s">
        <v>11</v>
      </c>
      <c r="B32" s="52"/>
      <c r="C32" s="52"/>
      <c r="D32" s="52"/>
      <c r="E32" s="5"/>
    </row>
    <row r="33" spans="1:4" ht="72" customHeight="1" x14ac:dyDescent="0.25">
      <c r="A33" s="49" t="s">
        <v>12</v>
      </c>
      <c r="B33" s="49"/>
      <c r="C33" s="49"/>
      <c r="D33" s="49"/>
    </row>
    <row r="34" spans="1:4" ht="27.75" customHeight="1" x14ac:dyDescent="0.25">
      <c r="A34" s="49" t="s">
        <v>13</v>
      </c>
      <c r="B34" s="49"/>
      <c r="C34" s="49"/>
      <c r="D34" s="49"/>
    </row>
    <row r="35" spans="1:4" ht="61.5" customHeight="1" x14ac:dyDescent="0.25">
      <c r="A35" s="49" t="s">
        <v>14</v>
      </c>
      <c r="B35" s="49"/>
      <c r="C35" s="49"/>
      <c r="D35" s="49"/>
    </row>
    <row r="36" spans="1:4" ht="25.5" customHeight="1" x14ac:dyDescent="0.25">
      <c r="A36" s="49" t="s">
        <v>15</v>
      </c>
      <c r="B36" s="49"/>
      <c r="C36" s="49"/>
      <c r="D36" s="49"/>
    </row>
    <row r="37" spans="1:4" ht="68.25" customHeight="1" x14ac:dyDescent="0.25">
      <c r="A37" s="52" t="s">
        <v>16</v>
      </c>
      <c r="B37" s="52"/>
      <c r="C37" s="52"/>
      <c r="D37" s="52"/>
    </row>
    <row r="38" spans="1:4" ht="29.25" customHeight="1" x14ac:dyDescent="0.25">
      <c r="A38" s="49" t="s">
        <v>17</v>
      </c>
      <c r="B38" s="49"/>
      <c r="C38" s="49"/>
      <c r="D38" s="49"/>
    </row>
    <row r="39" spans="1:4" ht="22.5" customHeight="1" x14ac:dyDescent="0.25">
      <c r="A39" s="8" t="s">
        <v>18</v>
      </c>
      <c r="B39" s="20"/>
      <c r="C39" s="20"/>
      <c r="D39" s="20"/>
    </row>
    <row r="40" spans="1:4" ht="24" customHeight="1" x14ac:dyDescent="0.25">
      <c r="A40" s="24" t="s">
        <v>22</v>
      </c>
      <c r="B40" s="48" t="s">
        <v>30</v>
      </c>
      <c r="C40" s="48"/>
      <c r="D40" s="48"/>
    </row>
    <row r="41" spans="1:4" ht="19.5" customHeight="1" x14ac:dyDescent="0.25">
      <c r="A41" s="8"/>
      <c r="B41" s="20"/>
      <c r="C41" s="20"/>
      <c r="D41" s="20"/>
    </row>
    <row r="42" spans="1:4" ht="17.25" customHeight="1" x14ac:dyDescent="0.25">
      <c r="A42" s="8"/>
      <c r="B42" s="20"/>
      <c r="C42" s="20"/>
      <c r="D42" s="20"/>
    </row>
    <row r="43" spans="1:4" x14ac:dyDescent="0.25">
      <c r="A43" s="11" t="s">
        <v>35</v>
      </c>
      <c r="B43" s="20"/>
      <c r="C43" s="20"/>
      <c r="D43" s="20"/>
    </row>
    <row r="44" spans="1:4" x14ac:dyDescent="0.25">
      <c r="A44" s="12" t="s">
        <v>41</v>
      </c>
      <c r="B44" s="20"/>
      <c r="C44" s="20"/>
      <c r="D44" s="20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70"/>
  <sheetViews>
    <sheetView tabSelected="1" topLeftCell="A18" zoomScaleNormal="100" zoomScalePageLayoutView="50" workbookViewId="0">
      <selection activeCell="B23" sqref="B23:D45"/>
    </sheetView>
  </sheetViews>
  <sheetFormatPr baseColWidth="10" defaultRowHeight="15" x14ac:dyDescent="0.25"/>
  <cols>
    <col min="1" max="1" width="5.85546875" style="14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19"/>
      <c r="C4" s="19"/>
      <c r="D4" s="19"/>
      <c r="E4" s="19"/>
      <c r="F4" s="19"/>
    </row>
    <row r="5" spans="2:6" x14ac:dyDescent="0.25">
      <c r="B5" s="19"/>
      <c r="C5" s="19"/>
      <c r="D5" s="19"/>
      <c r="E5" s="19"/>
      <c r="F5" s="19"/>
    </row>
    <row r="6" spans="2:6" x14ac:dyDescent="0.25">
      <c r="B6" s="19"/>
      <c r="C6" s="19"/>
      <c r="D6" s="19"/>
      <c r="E6" s="19"/>
      <c r="F6" s="19"/>
    </row>
    <row r="7" spans="2:6" x14ac:dyDescent="0.25">
      <c r="B7" s="19"/>
      <c r="C7" s="19"/>
      <c r="D7" s="19"/>
      <c r="E7" s="19"/>
      <c r="F7" s="19"/>
    </row>
    <row r="8" spans="2:6" x14ac:dyDescent="0.25">
      <c r="B8" s="19"/>
      <c r="C8" s="19"/>
      <c r="D8" s="19"/>
      <c r="E8" s="19"/>
      <c r="F8" s="19"/>
    </row>
    <row r="9" spans="2:6" x14ac:dyDescent="0.25">
      <c r="B9" s="47" t="s">
        <v>54</v>
      </c>
      <c r="C9" s="47"/>
      <c r="D9" s="47"/>
      <c r="E9" s="47"/>
      <c r="F9" s="47"/>
    </row>
    <row r="10" spans="2:6" x14ac:dyDescent="0.25">
      <c r="B10" s="1"/>
      <c r="C10" s="19"/>
      <c r="D10" s="19"/>
      <c r="E10" s="19"/>
      <c r="F10" s="19"/>
    </row>
    <row r="11" spans="2:6" x14ac:dyDescent="0.25">
      <c r="B11" s="1" t="s">
        <v>55</v>
      </c>
      <c r="C11" s="19"/>
      <c r="D11" s="19"/>
      <c r="E11" s="19"/>
      <c r="F11" s="58"/>
    </row>
    <row r="12" spans="2:6" x14ac:dyDescent="0.25">
      <c r="B12" s="1" t="s">
        <v>0</v>
      </c>
      <c r="C12" s="19"/>
      <c r="D12" s="19"/>
      <c r="E12" s="19"/>
      <c r="F12" s="19"/>
    </row>
    <row r="13" spans="2:6" x14ac:dyDescent="0.25">
      <c r="B13" s="1"/>
      <c r="C13" s="19"/>
      <c r="D13" s="19"/>
      <c r="E13" s="19"/>
      <c r="F13" s="19"/>
    </row>
    <row r="14" spans="2:6" x14ac:dyDescent="0.25">
      <c r="B14" s="50" t="s">
        <v>56</v>
      </c>
      <c r="C14" s="50"/>
      <c r="D14" s="50"/>
      <c r="E14" s="50"/>
      <c r="F14" s="50"/>
    </row>
    <row r="15" spans="2:6" x14ac:dyDescent="0.25">
      <c r="B15" s="16"/>
      <c r="C15" s="16"/>
      <c r="D15" s="16"/>
      <c r="E15" s="16"/>
      <c r="F15" s="16"/>
    </row>
    <row r="16" spans="2:6" x14ac:dyDescent="0.25">
      <c r="B16" s="55" t="s">
        <v>57</v>
      </c>
      <c r="C16" s="55"/>
      <c r="D16" s="55"/>
      <c r="E16" s="55"/>
      <c r="F16" s="55"/>
    </row>
    <row r="17" spans="2:6" x14ac:dyDescent="0.25">
      <c r="B17" s="7" t="s">
        <v>58</v>
      </c>
      <c r="C17" s="20"/>
      <c r="D17" s="20"/>
      <c r="E17" s="20"/>
      <c r="F17" s="19"/>
    </row>
    <row r="18" spans="2:6" x14ac:dyDescent="0.25">
      <c r="B18" s="7"/>
      <c r="C18" s="20"/>
      <c r="D18" s="20"/>
      <c r="E18" s="20"/>
      <c r="F18" s="19"/>
    </row>
    <row r="19" spans="2:6" ht="12.75" customHeight="1" x14ac:dyDescent="0.25">
      <c r="B19" s="7"/>
      <c r="C19" s="7"/>
      <c r="D19" s="20"/>
      <c r="E19" s="20"/>
      <c r="F19" s="20"/>
    </row>
    <row r="20" spans="2:6" ht="13.5" customHeight="1" x14ac:dyDescent="0.25">
      <c r="B20" s="8" t="s">
        <v>2</v>
      </c>
      <c r="C20" s="8"/>
      <c r="D20" s="20"/>
      <c r="E20" s="20"/>
      <c r="F20" s="20"/>
    </row>
    <row r="21" spans="2:6" ht="18" customHeight="1" x14ac:dyDescent="0.25">
      <c r="B21" s="44" t="s">
        <v>48</v>
      </c>
      <c r="C21" s="44"/>
      <c r="D21" s="44"/>
      <c r="E21" s="44"/>
      <c r="F21" s="44"/>
    </row>
    <row r="22" spans="2:6" ht="18" customHeight="1" x14ac:dyDescent="0.25">
      <c r="B22" s="33"/>
      <c r="C22" s="33"/>
      <c r="D22" s="33"/>
      <c r="E22" s="33"/>
      <c r="F22" s="33"/>
    </row>
    <row r="23" spans="2:6" x14ac:dyDescent="0.25">
      <c r="B23" s="40" t="s">
        <v>21</v>
      </c>
      <c r="C23" s="40"/>
      <c r="D23" s="40" t="s">
        <v>19</v>
      </c>
      <c r="E23" s="17" t="s">
        <v>24</v>
      </c>
      <c r="F23" s="16" t="s">
        <v>20</v>
      </c>
    </row>
    <row r="24" spans="2:6" x14ac:dyDescent="0.25">
      <c r="B24" s="40"/>
      <c r="C24" s="40"/>
      <c r="D24" s="40"/>
      <c r="E24" s="16"/>
      <c r="F24" s="16"/>
    </row>
    <row r="25" spans="2:6" x14ac:dyDescent="0.25">
      <c r="B25" s="40"/>
      <c r="C25" s="40"/>
      <c r="D25" s="40"/>
      <c r="E25" s="39">
        <v>2610.87</v>
      </c>
      <c r="F25" s="39">
        <f>D25*E25</f>
        <v>0</v>
      </c>
    </row>
    <row r="26" spans="2:6" x14ac:dyDescent="0.25">
      <c r="B26" s="7"/>
      <c r="C26" s="7"/>
      <c r="D26" s="16"/>
      <c r="E26" s="39">
        <v>1028.18</v>
      </c>
      <c r="F26" s="39">
        <f t="shared" ref="F26:F28" si="0">D26*E26</f>
        <v>0</v>
      </c>
    </row>
    <row r="27" spans="2:6" x14ac:dyDescent="0.25">
      <c r="B27" s="59" t="s">
        <v>59</v>
      </c>
      <c r="C27" s="37" t="s">
        <v>60</v>
      </c>
      <c r="D27" s="5">
        <v>98</v>
      </c>
      <c r="E27" s="39">
        <v>4797.13</v>
      </c>
      <c r="F27" s="39">
        <f t="shared" si="0"/>
        <v>470118.74</v>
      </c>
    </row>
    <row r="28" spans="2:6" x14ac:dyDescent="0.25">
      <c r="B28" s="59" t="s">
        <v>61</v>
      </c>
      <c r="C28" s="37" t="s">
        <v>60</v>
      </c>
      <c r="D28" s="5">
        <v>24</v>
      </c>
      <c r="E28" s="39">
        <v>5023.57</v>
      </c>
      <c r="F28" s="39">
        <f t="shared" si="0"/>
        <v>120565.68</v>
      </c>
    </row>
    <row r="29" spans="2:6" x14ac:dyDescent="0.25">
      <c r="B29" s="59" t="s">
        <v>62</v>
      </c>
      <c r="C29" s="37" t="s">
        <v>60</v>
      </c>
      <c r="D29" s="37">
        <v>25</v>
      </c>
      <c r="E29" s="39"/>
      <c r="F29" s="39"/>
    </row>
    <row r="30" spans="2:6" x14ac:dyDescent="0.25">
      <c r="B30" s="59" t="s">
        <v>63</v>
      </c>
      <c r="C30" s="37" t="s">
        <v>45</v>
      </c>
      <c r="D30" s="5">
        <v>293</v>
      </c>
      <c r="E30" s="39"/>
      <c r="F30" s="39"/>
    </row>
    <row r="31" spans="2:6" x14ac:dyDescent="0.25">
      <c r="B31" s="59" t="s">
        <v>64</v>
      </c>
      <c r="C31" s="37" t="s">
        <v>45</v>
      </c>
      <c r="D31" s="5">
        <v>6</v>
      </c>
      <c r="E31" s="4" t="s">
        <v>3</v>
      </c>
      <c r="F31" s="10">
        <f>SUM(F25:F30)</f>
        <v>590684.41999999993</v>
      </c>
    </row>
    <row r="32" spans="2:6" x14ac:dyDescent="0.25">
      <c r="B32" s="59" t="s">
        <v>65</v>
      </c>
      <c r="C32" s="37" t="s">
        <v>45</v>
      </c>
      <c r="D32" s="5">
        <v>13</v>
      </c>
      <c r="E32" s="4" t="s">
        <v>52</v>
      </c>
      <c r="F32" s="10">
        <v>803.53</v>
      </c>
    </row>
    <row r="33" spans="2:6" x14ac:dyDescent="0.25">
      <c r="B33" s="59" t="s">
        <v>66</v>
      </c>
      <c r="C33" s="37" t="s">
        <v>45</v>
      </c>
      <c r="D33" s="5">
        <v>2</v>
      </c>
      <c r="E33" s="4" t="s">
        <v>53</v>
      </c>
      <c r="F33" s="10">
        <f>F31-F32</f>
        <v>589880.8899999999</v>
      </c>
    </row>
    <row r="34" spans="2:6" x14ac:dyDescent="0.25">
      <c r="B34" s="59" t="s">
        <v>67</v>
      </c>
      <c r="C34" s="37" t="s">
        <v>45</v>
      </c>
      <c r="D34" s="5">
        <v>19</v>
      </c>
      <c r="E34" s="4" t="s">
        <v>43</v>
      </c>
      <c r="F34" s="10">
        <f>F33*16%</f>
        <v>94380.942399999985</v>
      </c>
    </row>
    <row r="35" spans="2:6" x14ac:dyDescent="0.25">
      <c r="B35" s="59" t="s">
        <v>68</v>
      </c>
      <c r="C35" s="37" t="s">
        <v>45</v>
      </c>
      <c r="D35" s="5">
        <v>8</v>
      </c>
      <c r="E35" s="4" t="s">
        <v>44</v>
      </c>
      <c r="F35" s="10">
        <f>F33+F34</f>
        <v>684261.83239999984</v>
      </c>
    </row>
    <row r="36" spans="2:6" x14ac:dyDescent="0.25">
      <c r="B36" s="59" t="s">
        <v>69</v>
      </c>
      <c r="C36" s="37" t="s">
        <v>45</v>
      </c>
      <c r="D36" s="5">
        <v>19</v>
      </c>
      <c r="E36" s="4"/>
      <c r="F36" s="10"/>
    </row>
    <row r="37" spans="2:6" x14ac:dyDescent="0.25">
      <c r="B37" s="59" t="s">
        <v>70</v>
      </c>
      <c r="C37" s="37" t="s">
        <v>60</v>
      </c>
      <c r="D37" s="37">
        <v>12</v>
      </c>
      <c r="E37" s="4"/>
      <c r="F37" s="10"/>
    </row>
    <row r="38" spans="2:6" x14ac:dyDescent="0.25">
      <c r="B38" s="60" t="s">
        <v>71</v>
      </c>
      <c r="C38" s="61" t="s">
        <v>72</v>
      </c>
      <c r="D38" s="62">
        <v>86</v>
      </c>
      <c r="E38" s="4"/>
      <c r="F38" s="10"/>
    </row>
    <row r="39" spans="2:6" x14ac:dyDescent="0.25">
      <c r="B39" s="60" t="s">
        <v>73</v>
      </c>
      <c r="C39" s="61" t="s">
        <v>72</v>
      </c>
      <c r="D39" s="62">
        <v>61</v>
      </c>
      <c r="E39" s="4"/>
      <c r="F39" s="10"/>
    </row>
    <row r="40" spans="2:6" x14ac:dyDescent="0.25">
      <c r="B40" s="60" t="s">
        <v>74</v>
      </c>
      <c r="C40" s="61" t="s">
        <v>72</v>
      </c>
      <c r="D40" s="62">
        <v>717</v>
      </c>
      <c r="E40" s="4"/>
      <c r="F40" s="10"/>
    </row>
    <row r="41" spans="2:6" x14ac:dyDescent="0.25">
      <c r="B41" s="60" t="s">
        <v>75</v>
      </c>
      <c r="C41" s="61" t="s">
        <v>72</v>
      </c>
      <c r="D41" s="62">
        <v>1721.2</v>
      </c>
      <c r="E41" s="4"/>
      <c r="F41" s="10"/>
    </row>
    <row r="42" spans="2:6" x14ac:dyDescent="0.25">
      <c r="B42" s="60" t="s">
        <v>76</v>
      </c>
      <c r="C42" s="61" t="s">
        <v>72</v>
      </c>
      <c r="D42" s="62">
        <v>86</v>
      </c>
      <c r="E42" s="4"/>
      <c r="F42" s="10"/>
    </row>
    <row r="43" spans="2:6" x14ac:dyDescent="0.25">
      <c r="B43" s="38" t="s">
        <v>77</v>
      </c>
      <c r="C43" s="61" t="s">
        <v>78</v>
      </c>
      <c r="D43" s="62">
        <v>1</v>
      </c>
      <c r="E43" s="4"/>
      <c r="F43" s="10"/>
    </row>
    <row r="44" spans="2:6" ht="33.75" x14ac:dyDescent="0.25">
      <c r="B44" s="63" t="s">
        <v>79</v>
      </c>
      <c r="C44" s="61"/>
      <c r="D44" s="62"/>
      <c r="E44" s="4"/>
      <c r="F44" s="10"/>
    </row>
    <row r="45" spans="2:6" x14ac:dyDescent="0.25">
      <c r="B45" s="63"/>
      <c r="C45" s="61"/>
      <c r="D45" s="62"/>
      <c r="E45" s="4"/>
      <c r="F45" s="10"/>
    </row>
    <row r="46" spans="2:6" x14ac:dyDescent="0.25">
      <c r="B46" s="4"/>
      <c r="C46" s="4"/>
      <c r="D46" s="15"/>
      <c r="E46" s="4"/>
      <c r="F46" s="10"/>
    </row>
    <row r="47" spans="2:6" ht="27.75" customHeight="1" x14ac:dyDescent="0.25">
      <c r="B47" s="44" t="s">
        <v>25</v>
      </c>
      <c r="C47" s="44"/>
      <c r="D47" s="44"/>
      <c r="E47" s="44"/>
      <c r="F47" s="44"/>
    </row>
    <row r="48" spans="2:6" ht="17.25" customHeight="1" x14ac:dyDescent="0.25">
      <c r="B48" s="44" t="s">
        <v>26</v>
      </c>
      <c r="C48" s="44"/>
      <c r="D48" s="44"/>
      <c r="E48" s="44"/>
      <c r="F48" s="44"/>
    </row>
    <row r="49" spans="2:15" ht="15" customHeight="1" x14ac:dyDescent="0.25">
      <c r="B49" s="44" t="s">
        <v>27</v>
      </c>
      <c r="C49" s="44"/>
      <c r="D49" s="44"/>
      <c r="E49" s="44"/>
      <c r="F49" s="44"/>
    </row>
    <row r="50" spans="2:15" ht="18" customHeight="1" x14ac:dyDescent="0.25">
      <c r="B50" s="44" t="s">
        <v>28</v>
      </c>
      <c r="C50" s="44"/>
      <c r="D50" s="44"/>
      <c r="E50" s="44"/>
      <c r="F50" s="44"/>
    </row>
    <row r="51" spans="2:15" ht="96.75" customHeight="1" x14ac:dyDescent="0.25">
      <c r="B51" s="44" t="s">
        <v>29</v>
      </c>
      <c r="C51" s="44"/>
      <c r="D51" s="44"/>
      <c r="E51" s="44"/>
      <c r="F51" s="44"/>
    </row>
    <row r="52" spans="2:15" ht="14.25" customHeight="1" x14ac:dyDescent="0.25">
      <c r="B52" s="33"/>
      <c r="C52" s="33"/>
      <c r="D52" s="33"/>
      <c r="E52" s="33"/>
      <c r="F52" s="33"/>
    </row>
    <row r="53" spans="2:15" ht="14.25" customHeight="1" x14ac:dyDescent="0.25">
      <c r="B53" s="33"/>
      <c r="C53" s="33"/>
      <c r="D53" s="33"/>
      <c r="E53" s="33"/>
      <c r="F53" s="33"/>
    </row>
    <row r="54" spans="2:15" x14ac:dyDescent="0.25">
      <c r="B54" s="19"/>
      <c r="C54" s="19"/>
      <c r="D54" s="19"/>
      <c r="E54" s="19"/>
      <c r="F54" s="19"/>
      <c r="H54" s="13"/>
    </row>
    <row r="55" spans="2:15" x14ac:dyDescent="0.25">
      <c r="B55" s="17" t="s">
        <v>47</v>
      </c>
      <c r="C55" s="36"/>
      <c r="D55" s="43" t="s">
        <v>46</v>
      </c>
      <c r="E55" s="43"/>
      <c r="F55" s="43"/>
    </row>
    <row r="56" spans="2:15" x14ac:dyDescent="0.25">
      <c r="B56" s="8"/>
      <c r="C56" s="8"/>
      <c r="D56" s="20"/>
      <c r="E56" s="20"/>
      <c r="F56" s="20"/>
    </row>
    <row r="57" spans="2:15" x14ac:dyDescent="0.25">
      <c r="B57" s="8"/>
      <c r="C57" s="8"/>
      <c r="D57" s="20"/>
      <c r="E57" s="20"/>
      <c r="F57" s="20"/>
    </row>
    <row r="58" spans="2:15" x14ac:dyDescent="0.25">
      <c r="B58" s="11" t="s">
        <v>49</v>
      </c>
      <c r="C58" s="11"/>
      <c r="D58" s="11"/>
      <c r="E58" s="11"/>
      <c r="F58" s="11"/>
    </row>
    <row r="59" spans="2:15" ht="15" customHeight="1" x14ac:dyDescent="0.25">
      <c r="B59" s="35" t="s">
        <v>50</v>
      </c>
      <c r="C59" s="45" t="s">
        <v>51</v>
      </c>
      <c r="D59" s="46"/>
      <c r="E59" s="46"/>
      <c r="F59" s="46"/>
      <c r="G59" s="46"/>
    </row>
    <row r="60" spans="2:15" x14ac:dyDescent="0.25">
      <c r="B60" s="22"/>
      <c r="C60" s="34"/>
      <c r="D60" s="34"/>
      <c r="E60" s="34"/>
      <c r="F60" s="34"/>
    </row>
    <row r="61" spans="2:15" x14ac:dyDescent="0.25">
      <c r="B61" s="22"/>
      <c r="C61" s="34"/>
      <c r="D61" s="34"/>
      <c r="E61" s="34"/>
      <c r="F61" s="34"/>
    </row>
    <row r="62" spans="2:15" x14ac:dyDescent="0.25">
      <c r="B62" s="12"/>
      <c r="C62" s="12"/>
      <c r="D62" s="20"/>
      <c r="E62" s="20"/>
      <c r="F62" s="20"/>
    </row>
    <row r="63" spans="2:15" x14ac:dyDescent="0.25">
      <c r="B63" s="41" t="s">
        <v>23</v>
      </c>
      <c r="C63" s="41"/>
      <c r="D63" s="42"/>
      <c r="E63" s="42"/>
      <c r="F63" s="42"/>
      <c r="G63" s="18"/>
      <c r="H63" s="18"/>
      <c r="I63" s="18"/>
      <c r="J63" s="18"/>
      <c r="K63" s="18"/>
      <c r="L63" s="18"/>
      <c r="M63" s="18"/>
      <c r="N63" s="18"/>
      <c r="O63" s="18"/>
    </row>
    <row r="64" spans="2:15" x14ac:dyDescent="0.25">
      <c r="B64" s="42"/>
      <c r="C64" s="42"/>
      <c r="D64" s="42"/>
      <c r="E64" s="42"/>
      <c r="F64" s="42"/>
      <c r="G64" s="18"/>
      <c r="H64" s="18"/>
      <c r="I64" s="18"/>
      <c r="J64" s="18"/>
      <c r="K64" s="18"/>
      <c r="L64" s="18"/>
      <c r="M64" s="18"/>
      <c r="N64" s="18"/>
      <c r="O64" s="18"/>
    </row>
    <row r="65" spans="2:15" x14ac:dyDescent="0.25">
      <c r="B65" s="42"/>
      <c r="C65" s="42"/>
      <c r="D65" s="42"/>
      <c r="E65" s="42"/>
      <c r="F65" s="42"/>
      <c r="G65" s="18"/>
      <c r="H65" s="18"/>
      <c r="I65" s="18"/>
      <c r="J65" s="18"/>
      <c r="K65" s="18"/>
      <c r="L65" s="18"/>
      <c r="M65" s="18"/>
      <c r="N65" s="18"/>
      <c r="O65" s="18"/>
    </row>
    <row r="66" spans="2:15" x14ac:dyDescent="0.25">
      <c r="B66" s="42"/>
      <c r="C66" s="42"/>
      <c r="D66" s="42"/>
      <c r="E66" s="42"/>
      <c r="F66" s="42"/>
      <c r="G66" s="18"/>
      <c r="H66" s="18"/>
      <c r="I66" s="18"/>
      <c r="J66" s="18"/>
      <c r="K66" s="18"/>
      <c r="L66" s="18"/>
      <c r="M66" s="18"/>
      <c r="N66" s="18"/>
      <c r="O66" s="18"/>
    </row>
    <row r="67" spans="2:15" x14ac:dyDescent="0.2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2:15" x14ac:dyDescent="0.2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2:15" x14ac:dyDescent="0.2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2:15" x14ac:dyDescent="0.2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</sheetData>
  <mergeCells count="12">
    <mergeCell ref="B9:F9"/>
    <mergeCell ref="B16:F16"/>
    <mergeCell ref="B21:F21"/>
    <mergeCell ref="B51:F51"/>
    <mergeCell ref="B14:F14"/>
    <mergeCell ref="B63:F66"/>
    <mergeCell ref="D55:F55"/>
    <mergeCell ref="B47:F47"/>
    <mergeCell ref="B48:F48"/>
    <mergeCell ref="B49:F49"/>
    <mergeCell ref="B50:F50"/>
    <mergeCell ref="C59:G59"/>
  </mergeCells>
  <pageMargins left="0.7" right="0.7" top="0.75" bottom="0.75" header="0.3" footer="0.3"/>
  <pageSetup paperSize="9" scale="68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2026-08-03T16:45:16Z</cp:lastPrinted>
  <dcterms:created xsi:type="dcterms:W3CDTF">2020-12-14T19:54:01Z</dcterms:created>
  <dcterms:modified xsi:type="dcterms:W3CDTF">2026-08-03T16:48:17Z</dcterms:modified>
</cp:coreProperties>
</file>