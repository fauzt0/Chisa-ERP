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348BE24-C4E5-477D-84EC-C90AEECEA6B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36" i="3"/>
  <c r="F35" i="3"/>
  <c r="F30" i="3"/>
  <c r="F29" i="3"/>
  <c r="F27" i="3"/>
  <c r="F28" i="3"/>
  <c r="F33" i="3" s="1"/>
  <c r="D21" i="1" l="1"/>
  <c r="D22" i="1" s="1"/>
</calcChain>
</file>

<file path=xl/sharedStrings.xml><?xml version="1.0" encoding="utf-8"?>
<sst xmlns="http://schemas.openxmlformats.org/spreadsheetml/2006/main" count="74" uniqueCount="65">
  <si>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</si>
  <si>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</si>
  <si>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</si>
  <si>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</si>
  <si>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</si>
  <si>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</si>
  <si>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</si>
  <si>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</si>
  <si>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</si>
  <si>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</si>
  <si>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</si>
  <si>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</si>
  <si>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</si>
  <si>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</si>
  <si>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</si>
  <si>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</si>
  <si>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</si>
  <si>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</si>
  <si>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</si>
  <si>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</si>
  <si>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</si>
  <si>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</si>
  <si>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</si>
  <si>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</si>
  <si>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</si>
  <si>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</si>
  <si>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</si>
  <si>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</si>
  <si>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</si>
  <si>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</si>
  <si>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</si>
  <si>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</si>
  <si>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</si>
  <si>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</si>
  <si>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</si>
  <si>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</si>
  <si>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</si>
  <si>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</si>
  <si>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</si>
  <si>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</si>
  <si>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</si>
  <si>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</si>
  <si>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</si>
  <si>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</si>
  <si>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</si>
  <si>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</si>
  <si>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</si>
  <si>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</si>
  <si>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</si>
  <si>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</si>
  <si>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</si>
  <si>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</si>
  <si>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</si>
  <si>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>CIUDAD DE MEXICO A 16 DE ABRIL DEL 2026</t>
  </si>
  <si>
    <t>OBRA: MANTENIMIENTO HGZ 10 MANZANILLO,COL</t>
  </si>
  <si>
    <t>PRES. REF. 16495-S/2026CG</t>
  </si>
  <si>
    <t xml:space="preserve">1.- MORTERO PLASTICO MALLA 350-400 (REND. 16M2) </t>
  </si>
  <si>
    <t xml:space="preserve">2.- SELLADOR INICIAL (REND. 90M2) </t>
  </si>
  <si>
    <t>3.- SHELL HARD (CASCARA DE NARANJA) (REND 20-25M2)</t>
  </si>
  <si>
    <t>4.- VITROGLASS REF. S.M.A (REND. 180-190M2)</t>
  </si>
  <si>
    <t xml:space="preserve">                        CESAR CERVANTES</t>
  </si>
  <si>
    <t>CONSTRUCTORA: GALBHER SA DE CV</t>
  </si>
  <si>
    <t>AT´N: GALBHER SA DE CV</t>
  </si>
  <si>
    <t xml:space="preserve">ENVIO 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</si>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</sst>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44" fontId="1" fillId="0" borderId="0" xfId="26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61">
    <cellStyle name="Moneda" xfId="1" builtinId="4"/>
    <cellStyle name="Moneda 10" xfId="26" xr:uid="{11296B4D-1C83-4EA4-8A52-0BBF4D7DF9BC}"/>
    <cellStyle name="Moneda 11" xfId="42" xr:uid="{2EAC30AA-C943-4E47-BF68-3EFD833B430B}"/>
    <cellStyle name="Moneda 12" xfId="25" xr:uid="{6DF6E868-078D-40E3-A765-ABDFB021FFBC}"/>
    <cellStyle name="Moneda 13" xfId="44" xr:uid="{CAE0EF65-EAFF-4BF8-BCC0-9523BD0554A0}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2 2 2" xfId="24" xr:uid="{93A80F1E-2F0A-4739-8998-799271EA85D5}"/>
    <cellStyle name="Moneda 2 2 3" xfId="18" xr:uid="{E1694A00-5639-42BB-886E-60FB21DAE952}"/>
    <cellStyle name="Moneda 2 2 3 2" xfId="60" xr:uid="{C480851A-02DB-4CD4-B61F-E6C63A942BCF}"/>
    <cellStyle name="Moneda 2 2 4" xfId="41" xr:uid="{6B973A20-4143-4922-9E99-B16788740791}"/>
    <cellStyle name="Moneda 2 2 5" xfId="31" xr:uid="{DD8EFB3F-7A39-4B46-AF27-BA31F6EE49E2}"/>
    <cellStyle name="Moneda 2 2 6" xfId="49" xr:uid="{57049600-8986-4901-BFDB-9142F81E6498}"/>
    <cellStyle name="Moneda 2 3" xfId="9" xr:uid="{141B7262-18B4-4FC7-8131-5FA971AC7662}"/>
    <cellStyle name="Moneda 2 3 2" xfId="21" xr:uid="{AE9E1AED-4EE8-4CB4-B7E5-5E669DA93488}"/>
    <cellStyle name="Moneda 2 4" xfId="15" xr:uid="{E605E03F-E144-486E-A788-2B408600BB72}"/>
    <cellStyle name="Moneda 2 4 2" xfId="54" xr:uid="{C148C171-2699-4E13-AE98-A4D154C3D724}"/>
    <cellStyle name="Moneda 2 5" xfId="34" xr:uid="{04E35C62-4B66-41E2-8031-8877887AE8D0}"/>
    <cellStyle name="Moneda 2 5 2" xfId="57" xr:uid="{FB97A1D0-2954-4183-BBB3-D59A72650664}"/>
    <cellStyle name="Moneda 2 6" xfId="37" xr:uid="{4E9A0947-E5F5-49C8-B61A-19297638010A}"/>
    <cellStyle name="Moneda 2 7" xfId="28" xr:uid="{940C0622-2892-4E26-ABBA-357DAD0D52E9}"/>
    <cellStyle name="Moneda 2 8" xfId="43" xr:uid="{8E4342F3-C6BE-452F-AFFE-B76B5DD0C784}"/>
    <cellStyle name="Moneda 2 9" xfId="46" xr:uid="{42840C56-2F40-4F55-AE9C-81780A6C3909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2 2 2" xfId="23" xr:uid="{BD77A226-8060-4D59-9506-56AC67DA18B4}"/>
    <cellStyle name="Moneda 3 2 3" xfId="17" xr:uid="{1F239727-954A-4B13-909C-9FB3B09BFC78}"/>
    <cellStyle name="Moneda 3 2 3 2" xfId="59" xr:uid="{CDACBF1C-C9E1-4A92-B473-4122E0744E80}"/>
    <cellStyle name="Moneda 3 2 4" xfId="40" xr:uid="{5DE4A3BF-124E-4754-9B87-94CDE2A4F1A2}"/>
    <cellStyle name="Moneda 3 2 5" xfId="30" xr:uid="{9C563D53-C42D-4E98-9D62-916BDD79F7F7}"/>
    <cellStyle name="Moneda 3 2 6" xfId="48" xr:uid="{D2B6EE8C-8476-444F-8D6C-89FC3473C790}"/>
    <cellStyle name="Moneda 3 3" xfId="8" xr:uid="{5B2736B1-B215-4774-9C64-3D0EA68FFA38}"/>
    <cellStyle name="Moneda 3 3 2" xfId="20" xr:uid="{D64591E9-ED38-405B-8F2B-94D8D0683805}"/>
    <cellStyle name="Moneda 3 4" xfId="14" xr:uid="{3B39382F-D697-4B5B-8AD3-3BA9184EFC97}"/>
    <cellStyle name="Moneda 3 4 2" xfId="56" xr:uid="{1FB9B6EB-FBED-470F-BEAD-D91B35FA8525}"/>
    <cellStyle name="Moneda 3 5" xfId="36" xr:uid="{237B09AC-756C-49CE-882F-C928A909A363}"/>
    <cellStyle name="Moneda 3 6" xfId="27" xr:uid="{45BC755B-0423-4ABB-9A49-56CF5E642DBB}"/>
    <cellStyle name="Moneda 3 7" xfId="45" xr:uid="{59AA556D-05BE-4F1C-AF31-4CE935671695}"/>
    <cellStyle name="Moneda 4" xfId="4" xr:uid="{B22E587E-BDF3-423E-A826-5C51B4AD70C8}"/>
    <cellStyle name="Moneda 4 2" xfId="10" xr:uid="{5CEB0C48-2E7A-4308-B9A3-BFB973B08EE8}"/>
    <cellStyle name="Moneda 4 2 2" xfId="22" xr:uid="{81A340E9-2217-4140-9800-74F93AD927E8}"/>
    <cellStyle name="Moneda 4 3" xfId="16" xr:uid="{11FC3289-4ACE-4E79-A1E0-2CCA47AA3CEB}"/>
    <cellStyle name="Moneda 4 3 2" xfId="58" xr:uid="{D19295B4-3317-422F-BE5E-8C3A3E77B305}"/>
    <cellStyle name="Moneda 4 4" xfId="38" xr:uid="{0EC777C6-A209-4EA8-8409-E3FC5144DE88}"/>
    <cellStyle name="Moneda 4 5" xfId="29" xr:uid="{B4E54C89-6933-4F24-8FDA-5204A3FF8D76}"/>
    <cellStyle name="Moneda 4 6" xfId="47" xr:uid="{3F6660B5-6A27-478D-847A-0A307F861B08}"/>
    <cellStyle name="Moneda 5" xfId="7" xr:uid="{63303DA7-CF9D-47B0-8BE4-65AD59A06A8B}"/>
    <cellStyle name="Moneda 5 2" xfId="19" xr:uid="{6F1CE09B-1925-4B73-868B-DB47F6A5AAC7}"/>
    <cellStyle name="Moneda 5 2 2" xfId="52" xr:uid="{F3AD2899-B563-4146-959F-574A40CD6566}"/>
    <cellStyle name="Moneda 5 3" xfId="39" xr:uid="{334AE0B5-8A70-44B7-8411-2596CE61614F}"/>
    <cellStyle name="Moneda 5 4" xfId="50" xr:uid="{758E73DB-2EA6-4419-BF0F-F0490053FA7E}"/>
    <cellStyle name="Moneda 6" xfId="13" xr:uid="{D0160E02-B12A-4F11-B22D-21C627C8D4D8}"/>
    <cellStyle name="Moneda 6 2" xfId="51" xr:uid="{93357CEB-C121-48B1-8F7B-C566DB48D245}"/>
    <cellStyle name="Moneda 7" xfId="32" xr:uid="{E05F8B14-7D78-4320-A62D-5C3B87C80BEF}"/>
    <cellStyle name="Moneda 7 2" xfId="53" xr:uid="{3BFC20A2-5AA3-4E6D-9BDC-0C986217BCF2}"/>
    <cellStyle name="Moneda 8" xfId="33" xr:uid="{D2B9AFE8-3BBA-496F-A200-893ECFD2FD3C}"/>
    <cellStyle name="Moneda 8 2" xfId="55" xr:uid="{B4A7AAD3-69F7-4D86-B4CC-57842D1FE4F5}"/>
    <cellStyle name="Moneda 9" xfId="35" xr:uid="{5BCDF126-AF71-4928-BB49-34B1F4D4E96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3"/>
      <c r="B1" s="64"/>
      <c r="C1" s="64"/>
      <c r="D1" s="6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3" t="s">
        <v>37</v>
      </c>
      <c r="B4" s="53"/>
      <c r="C4" s="53"/>
      <c r="D4" s="5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0" t="s">
        <v>38</v>
      </c>
      <c r="B10" s="60"/>
      <c r="C10" s="60"/>
      <c r="D10" s="6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5" t="s">
        <v>40</v>
      </c>
      <c r="B13" s="66"/>
      <c r="C13" s="66"/>
      <c r="D13" s="6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1" t="s">
        <v>41</v>
      </c>
      <c r="B25" s="61"/>
      <c r="C25" s="61"/>
      <c r="D25" s="61"/>
      <c r="E25" s="11"/>
      <c r="F25" s="11"/>
    </row>
    <row r="26" spans="1:7" ht="12" customHeight="1" x14ac:dyDescent="0.25">
      <c r="A26" s="56" t="s">
        <v>6</v>
      </c>
      <c r="B26" s="56"/>
      <c r="C26" s="56"/>
      <c r="D26" s="56"/>
      <c r="E26" s="5"/>
      <c r="F26" s="11"/>
    </row>
    <row r="27" spans="1:7" ht="57" customHeight="1" x14ac:dyDescent="0.25">
      <c r="A27" s="59" t="s">
        <v>35</v>
      </c>
      <c r="B27" s="59"/>
      <c r="C27" s="59"/>
      <c r="D27" s="59"/>
      <c r="E27" s="5"/>
      <c r="F27" s="11"/>
    </row>
    <row r="28" spans="1:7" ht="15" customHeight="1" x14ac:dyDescent="0.25">
      <c r="A28" s="56" t="s">
        <v>7</v>
      </c>
      <c r="B28" s="56"/>
      <c r="C28" s="56"/>
      <c r="D28" s="56"/>
      <c r="E28" s="5"/>
    </row>
    <row r="29" spans="1:7" ht="33.75" customHeight="1" x14ac:dyDescent="0.25">
      <c r="A29" s="59" t="s">
        <v>8</v>
      </c>
      <c r="B29" s="59"/>
      <c r="C29" s="59"/>
      <c r="D29" s="59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59" t="s">
        <v>12</v>
      </c>
      <c r="B33" s="59"/>
      <c r="C33" s="59"/>
      <c r="D33" s="59"/>
    </row>
    <row r="34" spans="1:4" ht="27.75" customHeight="1" x14ac:dyDescent="0.25">
      <c r="A34" s="59" t="s">
        <v>13</v>
      </c>
      <c r="B34" s="59"/>
      <c r="C34" s="59"/>
      <c r="D34" s="59"/>
    </row>
    <row r="35" spans="1:4" ht="61.5" customHeight="1" x14ac:dyDescent="0.25">
      <c r="A35" s="59" t="s">
        <v>14</v>
      </c>
      <c r="B35" s="59"/>
      <c r="C35" s="59"/>
      <c r="D35" s="59"/>
    </row>
    <row r="36" spans="1:4" ht="25.5" customHeight="1" x14ac:dyDescent="0.25">
      <c r="A36" s="59" t="s">
        <v>15</v>
      </c>
      <c r="B36" s="59"/>
      <c r="C36" s="59"/>
      <c r="D36" s="59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59" t="s">
        <v>17</v>
      </c>
      <c r="B38" s="59"/>
      <c r="C38" s="59"/>
      <c r="D38" s="59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13" zoomScaleNormal="100" zoomScalePageLayoutView="50" workbookViewId="0">
      <selection activeCell="B23" sqref="B23:F23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53" t="s">
        <v>53</v>
      </c>
      <c r="C9" s="53"/>
      <c r="D9" s="53"/>
      <c r="E9" s="53"/>
      <c r="F9" s="5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61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4" t="s">
        <v>62</v>
      </c>
      <c r="C16" s="54"/>
      <c r="D16" s="54"/>
      <c r="E16" s="54"/>
      <c r="F16" s="54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5" t="s">
        <v>54</v>
      </c>
      <c r="C19" s="55"/>
      <c r="D19" s="55"/>
      <c r="E19" s="55"/>
      <c r="F19" s="55"/>
    </row>
    <row r="20" spans="2:6" ht="12.75" customHeight="1" x14ac:dyDescent="0.25">
      <c r="B20" s="8" t="s">
        <v>55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50" t="s">
        <v>49</v>
      </c>
      <c r="C23" s="50"/>
      <c r="D23" s="50"/>
      <c r="E23" s="50"/>
      <c r="F23" s="50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5" t="s">
        <v>56</v>
      </c>
      <c r="C27" s="40" t="s">
        <v>46</v>
      </c>
      <c r="D27" s="39">
        <v>15</v>
      </c>
      <c r="E27" s="42">
        <v>1205.56</v>
      </c>
      <c r="F27" s="42">
        <f>D27*E27</f>
        <v>18083.399999999998</v>
      </c>
    </row>
    <row r="28" spans="2:6" x14ac:dyDescent="0.25">
      <c r="B28" s="44" t="s">
        <v>57</v>
      </c>
      <c r="C28" s="40" t="s">
        <v>46</v>
      </c>
      <c r="D28" s="39">
        <v>5</v>
      </c>
      <c r="E28" s="42">
        <v>907.37</v>
      </c>
      <c r="F28" s="42">
        <f>D28*E28</f>
        <v>4536.8500000000004</v>
      </c>
    </row>
    <row r="29" spans="2:6" x14ac:dyDescent="0.25">
      <c r="B29" s="45" t="s">
        <v>58</v>
      </c>
      <c r="C29" s="25" t="s">
        <v>46</v>
      </c>
      <c r="D29" s="5">
        <v>4</v>
      </c>
      <c r="E29" s="46">
        <v>1704.15</v>
      </c>
      <c r="F29" s="42">
        <f t="shared" ref="F29:F30" si="0">D29*E29</f>
        <v>6816.6</v>
      </c>
    </row>
    <row r="30" spans="2:6" x14ac:dyDescent="0.25">
      <c r="B30" s="44" t="s">
        <v>59</v>
      </c>
      <c r="C30" s="40" t="s">
        <v>46</v>
      </c>
      <c r="D30" s="39">
        <v>4</v>
      </c>
      <c r="E30" s="42">
        <v>5023.57</v>
      </c>
      <c r="F30" s="42">
        <f t="shared" si="0"/>
        <v>20094.28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6" x14ac:dyDescent="0.25">
      <c r="B33" s="4"/>
      <c r="C33" s="4"/>
      <c r="D33" s="16"/>
      <c r="E33" s="4" t="s">
        <v>3</v>
      </c>
      <c r="F33" s="11">
        <f>SUM(F27:F32)</f>
        <v>49531.13</v>
      </c>
    </row>
    <row r="34" spans="2:6" x14ac:dyDescent="0.25">
      <c r="B34" s="4"/>
      <c r="C34" s="4"/>
      <c r="D34" s="16"/>
      <c r="E34" s="4" t="s">
        <v>63</v>
      </c>
      <c r="F34" s="11">
        <v>4951.08</v>
      </c>
    </row>
    <row r="35" spans="2:6" x14ac:dyDescent="0.25">
      <c r="B35" s="4"/>
      <c r="C35" s="4"/>
      <c r="D35" s="16"/>
      <c r="E35" s="4" t="s">
        <v>64</v>
      </c>
      <c r="F35" s="11">
        <f>F33+F34</f>
        <v>54482.21</v>
      </c>
    </row>
    <row r="36" spans="2:6" x14ac:dyDescent="0.25">
      <c r="B36" s="4"/>
      <c r="C36" s="4"/>
      <c r="D36" s="16"/>
      <c r="E36" s="4" t="s">
        <v>44</v>
      </c>
      <c r="F36" s="11">
        <f>F35*16%</f>
        <v>8717.1535999999996</v>
      </c>
    </row>
    <row r="37" spans="2:6" x14ac:dyDescent="0.25">
      <c r="B37" s="4"/>
      <c r="C37" s="4"/>
      <c r="D37" s="16"/>
      <c r="E37" s="4" t="s">
        <v>45</v>
      </c>
      <c r="F37" s="11">
        <f>F35+F36</f>
        <v>63199.363599999997</v>
      </c>
    </row>
    <row r="38" spans="2:6" x14ac:dyDescent="0.25">
      <c r="B38" s="4"/>
      <c r="C38" s="4"/>
      <c r="D38" s="16"/>
      <c r="E38" s="4"/>
      <c r="F38" s="11"/>
    </row>
    <row r="39" spans="2:6" x14ac:dyDescent="0.25">
      <c r="B39" s="4"/>
      <c r="C39" s="4"/>
      <c r="D39" s="16"/>
      <c r="E39" s="4"/>
      <c r="F39" s="11"/>
    </row>
    <row r="40" spans="2:6" x14ac:dyDescent="0.25">
      <c r="B40" s="56" t="s">
        <v>23</v>
      </c>
      <c r="C40" s="57"/>
      <c r="D40" s="57"/>
      <c r="E40" s="57"/>
      <c r="F40" s="57"/>
    </row>
    <row r="41" spans="2:6" x14ac:dyDescent="0.25">
      <c r="B41" s="24"/>
      <c r="C41" s="43"/>
      <c r="D41" s="43"/>
      <c r="E41" s="43"/>
      <c r="F41" s="43"/>
    </row>
    <row r="42" spans="2:6" ht="27.75" customHeight="1" x14ac:dyDescent="0.25">
      <c r="B42" s="50" t="s">
        <v>26</v>
      </c>
      <c r="C42" s="50"/>
      <c r="D42" s="50"/>
      <c r="E42" s="50"/>
      <c r="F42" s="50"/>
    </row>
    <row r="43" spans="2:6" ht="17.25" customHeight="1" x14ac:dyDescent="0.25">
      <c r="B43" s="50" t="s">
        <v>27</v>
      </c>
      <c r="C43" s="50"/>
      <c r="D43" s="50"/>
      <c r="E43" s="50"/>
      <c r="F43" s="50"/>
    </row>
    <row r="44" spans="2:6" ht="15" customHeight="1" x14ac:dyDescent="0.25">
      <c r="B44" s="50" t="s">
        <v>28</v>
      </c>
      <c r="C44" s="50"/>
      <c r="D44" s="50"/>
      <c r="E44" s="50"/>
      <c r="F44" s="50"/>
    </row>
    <row r="45" spans="2:6" ht="18" customHeight="1" x14ac:dyDescent="0.25">
      <c r="B45" s="50" t="s">
        <v>29</v>
      </c>
      <c r="C45" s="50"/>
      <c r="D45" s="50"/>
      <c r="E45" s="50"/>
      <c r="F45" s="50"/>
    </row>
    <row r="46" spans="2:6" ht="96.75" customHeight="1" x14ac:dyDescent="0.25">
      <c r="B46" s="50" t="s">
        <v>30</v>
      </c>
      <c r="C46" s="50"/>
      <c r="D46" s="50"/>
      <c r="E46" s="50"/>
      <c r="F46" s="50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49" t="s">
        <v>47</v>
      </c>
      <c r="E50" s="49"/>
      <c r="F50" s="49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50</v>
      </c>
      <c r="C53" s="12"/>
      <c r="D53" s="12"/>
      <c r="E53" s="12"/>
      <c r="F53" s="12"/>
    </row>
    <row r="54" spans="2:15" ht="15" customHeight="1" x14ac:dyDescent="0.25">
      <c r="B54" s="36" t="s">
        <v>60</v>
      </c>
      <c r="C54" s="51" t="s">
        <v>52</v>
      </c>
      <c r="D54" s="52"/>
      <c r="E54" s="52"/>
      <c r="F54" s="52"/>
      <c r="G54" s="52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47" t="s">
        <v>24</v>
      </c>
      <c r="C58" s="47"/>
      <c r="D58" s="48"/>
      <c r="E58" s="48"/>
      <c r="F58" s="48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8"/>
      <c r="C59" s="48"/>
      <c r="D59" s="48"/>
      <c r="E59" s="48"/>
      <c r="F59" s="48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8"/>
      <c r="C60" s="48"/>
      <c r="D60" s="48"/>
      <c r="E60" s="48"/>
      <c r="F60" s="48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48"/>
      <c r="C61" s="48"/>
      <c r="D61" s="48"/>
      <c r="E61" s="48"/>
      <c r="F61" s="48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3">
    <mergeCell ref="B9:F9"/>
    <mergeCell ref="B16:F16"/>
    <mergeCell ref="B19:F19"/>
    <mergeCell ref="B23:F23"/>
    <mergeCell ref="B46:F46"/>
    <mergeCell ref="B40:F40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2026-04-16T16:47:04Z</cp:lastPrinted>
  <dcterms:created xsi:type="dcterms:W3CDTF">2020-12-14T19:54:01Z</dcterms:created>
  <dcterms:modified xsi:type="dcterms:W3CDTF">2026-04-16T16:47:26Z</dcterms:modified>
</cp:coreProperties>
</file>