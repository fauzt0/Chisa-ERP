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5E8B8700-27F3-4A36-8C2A-8DBA81A27FA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28" i="3"/>
  <c r="F27" i="3"/>
  <c r="D21" i="1" l="1"/>
  <c r="D22" i="1" s="1"/>
</calcChain>
</file>

<file path=xl/sharedStrings.xml><?xml version="1.0" encoding="utf-8"?>
<sst xmlns="http://schemas.openxmlformats.org/spreadsheetml/2006/main" count="68" uniqueCount="61">
  <si>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</si>
  <si>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</si>
  <si>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</si>
  <si>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</si>
  <si>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</si>
  <si>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</si>
  <si>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</si>
  <si>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</si>
  <si>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</si>
  <si>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</si>
  <si>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</si>
  <si>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</si>
  <si>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</si>
  <si>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</si>
  <si>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</si>
  <si>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</si>
  <si>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</si>
  <si>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</si>
  <si>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</si>
  <si>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</si>
  <si>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</si>
  <si>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</si>
  <si>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</si>
  <si>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</si>
  <si>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</si>
  <si>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</si>
  <si>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</si>
  <si>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</si>
  <si>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</si>
  <si>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</si>
  <si>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</si>
  <si>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</si>
  <si>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</si>
  <si>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</si>
  <si>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</si>
  <si>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</si>
  <si>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</si>
  <si>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</si>
  <si>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</si>
  <si>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</si>
  <si>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</si>
  <si>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</si>
  <si>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</si>
  <si>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</si>
  <si>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</si>
  <si>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</si>
  <si>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</si>
  <si>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</si>
  <si>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</si>
  <si>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</si>
  <si>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</si>
  <si>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</si>
  <si>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</si>
  <si>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</si>
  <si>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</si>
  <si>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</si>
  <si>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</si>
  <si>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</si>
  <si>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CIUDAD DE MEXICO A 26 DE MAYO DEL 2026</t>
  </si>
  <si>
    <t>OBRA: SHOP ELLAZ METEPEC</t>
  </si>
  <si>
    <t>PRES. REF. 16541-S/2026CG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</si>
</sst>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37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38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40</v>
      </c>
      <c r="B13" s="55"/>
      <c r="C13" s="55"/>
      <c r="D13" s="5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41</v>
      </c>
      <c r="B25" s="60"/>
      <c r="C25" s="60"/>
      <c r="D25" s="60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56" t="s">
        <v>35</v>
      </c>
      <c r="B27" s="56"/>
      <c r="C27" s="56"/>
      <c r="D27" s="56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1"/>
  <sheetViews>
    <sheetView tabSelected="1" zoomScaleNormal="100" zoomScalePageLayoutView="50" workbookViewId="0">
      <selection activeCell="F34" sqref="F3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58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4" t="s">
        <v>53</v>
      </c>
      <c r="C16" s="44"/>
      <c r="D16" s="44"/>
      <c r="E16" s="44"/>
      <c r="F16" s="44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45" t="s">
        <v>59</v>
      </c>
      <c r="C19" s="45"/>
      <c r="D19" s="45"/>
      <c r="E19" s="45"/>
      <c r="F19" s="45"/>
    </row>
    <row r="20" spans="2:6" ht="12.75" customHeight="1" x14ac:dyDescent="0.25">
      <c r="B20" s="8" t="s">
        <v>60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56</v>
      </c>
      <c r="C27" s="40" t="s">
        <v>46</v>
      </c>
      <c r="D27" s="39">
        <v>2</v>
      </c>
      <c r="E27" s="42">
        <v>1028.18</v>
      </c>
      <c r="F27" s="42">
        <f t="shared" ref="F27:F28" si="0">D27*E27</f>
        <v>2056.36</v>
      </c>
    </row>
    <row r="28" spans="2:6" x14ac:dyDescent="0.25">
      <c r="B28" s="41" t="s">
        <v>57</v>
      </c>
      <c r="C28" s="40" t="s">
        <v>46</v>
      </c>
      <c r="D28" s="39">
        <v>1</v>
      </c>
      <c r="E28" s="42">
        <v>4797.13</v>
      </c>
      <c r="F28" s="42">
        <f t="shared" si="0"/>
        <v>4797.13</v>
      </c>
    </row>
    <row r="29" spans="2:6" x14ac:dyDescent="0.25">
      <c r="B29" s="41"/>
      <c r="C29" s="40"/>
      <c r="D29" s="39"/>
      <c r="E29" s="42"/>
      <c r="F29" s="42"/>
    </row>
    <row r="30" spans="2:6" x14ac:dyDescent="0.25">
      <c r="B30" s="41"/>
      <c r="C30" s="40"/>
      <c r="D30" s="39"/>
      <c r="E30" s="42"/>
      <c r="F30" s="42"/>
    </row>
    <row r="31" spans="2:6" x14ac:dyDescent="0.25">
      <c r="B31" s="4"/>
      <c r="C31" s="4"/>
      <c r="D31" s="16"/>
      <c r="E31" s="4" t="s">
        <v>3</v>
      </c>
      <c r="F31" s="11">
        <f>SUM(F27:F30)</f>
        <v>6853.49</v>
      </c>
    </row>
    <row r="32" spans="2:6" x14ac:dyDescent="0.25">
      <c r="B32" s="4"/>
      <c r="C32" s="4"/>
      <c r="D32" s="16"/>
      <c r="E32" s="4" t="s">
        <v>44</v>
      </c>
      <c r="F32" s="11">
        <f>F31*16%</f>
        <v>1096.5583999999999</v>
      </c>
    </row>
    <row r="33" spans="2:8" x14ac:dyDescent="0.25">
      <c r="B33" s="4"/>
      <c r="C33" s="4"/>
      <c r="D33" s="16"/>
      <c r="E33" s="4" t="s">
        <v>45</v>
      </c>
      <c r="F33" s="11">
        <f>F31+F32</f>
        <v>7950.0483999999997</v>
      </c>
    </row>
    <row r="34" spans="2:8" x14ac:dyDescent="0.25">
      <c r="B34" s="4"/>
      <c r="C34" s="4"/>
      <c r="D34" s="16"/>
      <c r="E34" s="4"/>
      <c r="F34" s="11"/>
    </row>
    <row r="35" spans="2:8" x14ac:dyDescent="0.25">
      <c r="B35" s="4"/>
      <c r="C35" s="4"/>
      <c r="D35" s="16"/>
      <c r="E35" s="4"/>
      <c r="F35" s="11"/>
    </row>
    <row r="36" spans="2:8" x14ac:dyDescent="0.25">
      <c r="B36" s="4"/>
      <c r="C36" s="4"/>
      <c r="D36" s="16"/>
      <c r="E36" s="4"/>
      <c r="F36" s="11"/>
    </row>
    <row r="37" spans="2:8" x14ac:dyDescent="0.25">
      <c r="B37" s="1" t="s">
        <v>23</v>
      </c>
      <c r="C37" s="1"/>
      <c r="D37" s="20"/>
      <c r="E37" s="20"/>
      <c r="F37" s="20"/>
    </row>
    <row r="38" spans="2:8" ht="27.75" customHeight="1" x14ac:dyDescent="0.25">
      <c r="B38" s="46" t="s">
        <v>26</v>
      </c>
      <c r="C38" s="46"/>
      <c r="D38" s="46"/>
      <c r="E38" s="46"/>
      <c r="F38" s="46"/>
    </row>
    <row r="39" spans="2:8" ht="17.25" customHeight="1" x14ac:dyDescent="0.25">
      <c r="B39" s="46" t="s">
        <v>27</v>
      </c>
      <c r="C39" s="46"/>
      <c r="D39" s="46"/>
      <c r="E39" s="46"/>
      <c r="F39" s="46"/>
    </row>
    <row r="40" spans="2:8" ht="15" customHeight="1" x14ac:dyDescent="0.25">
      <c r="B40" s="46" t="s">
        <v>28</v>
      </c>
      <c r="C40" s="46"/>
      <c r="D40" s="46"/>
      <c r="E40" s="46"/>
      <c r="F40" s="46"/>
    </row>
    <row r="41" spans="2:8" ht="18" customHeight="1" x14ac:dyDescent="0.25">
      <c r="B41" s="46" t="s">
        <v>29</v>
      </c>
      <c r="C41" s="46"/>
      <c r="D41" s="46"/>
      <c r="E41" s="46"/>
      <c r="F41" s="46"/>
    </row>
    <row r="42" spans="2:8" ht="96.75" customHeight="1" x14ac:dyDescent="0.25">
      <c r="B42" s="46" t="s">
        <v>30</v>
      </c>
      <c r="C42" s="46"/>
      <c r="D42" s="46"/>
      <c r="E42" s="46"/>
      <c r="F42" s="46"/>
    </row>
    <row r="43" spans="2:8" ht="14.25" customHeight="1" x14ac:dyDescent="0.25">
      <c r="B43" s="34"/>
      <c r="C43" s="34"/>
      <c r="D43" s="34"/>
      <c r="E43" s="34"/>
      <c r="F43" s="34"/>
    </row>
    <row r="44" spans="2:8" ht="14.25" customHeight="1" x14ac:dyDescent="0.25">
      <c r="B44" s="34"/>
      <c r="C44" s="34"/>
      <c r="D44" s="34"/>
      <c r="E44" s="34"/>
      <c r="F44" s="34"/>
    </row>
    <row r="45" spans="2:8" x14ac:dyDescent="0.25">
      <c r="B45" s="20"/>
      <c r="C45" s="20"/>
      <c r="D45" s="20"/>
      <c r="E45" s="20"/>
      <c r="F45" s="20"/>
      <c r="H45" s="14"/>
    </row>
    <row r="46" spans="2:8" x14ac:dyDescent="0.25">
      <c r="B46" s="18" t="s">
        <v>48</v>
      </c>
      <c r="C46" s="37"/>
      <c r="D46" s="49" t="s">
        <v>47</v>
      </c>
      <c r="E46" s="49"/>
      <c r="F46" s="49"/>
    </row>
    <row r="47" spans="2:8" x14ac:dyDescent="0.25">
      <c r="B47" s="9"/>
      <c r="C47" s="9"/>
      <c r="D47" s="21"/>
      <c r="E47" s="21"/>
      <c r="F47" s="21"/>
    </row>
    <row r="48" spans="2:8" x14ac:dyDescent="0.25">
      <c r="B48" s="9"/>
      <c r="C48" s="9"/>
      <c r="D48" s="21"/>
      <c r="E48" s="21"/>
      <c r="F48" s="21"/>
    </row>
    <row r="49" spans="2:15" x14ac:dyDescent="0.25">
      <c r="B49" s="12" t="s">
        <v>50</v>
      </c>
      <c r="C49" s="12"/>
      <c r="D49" s="12"/>
      <c r="E49" s="12"/>
      <c r="F49" s="12"/>
    </row>
    <row r="50" spans="2:15" ht="15" customHeight="1" x14ac:dyDescent="0.25">
      <c r="B50" s="36" t="s">
        <v>54</v>
      </c>
      <c r="C50" s="50" t="s">
        <v>55</v>
      </c>
      <c r="D50" s="51"/>
      <c r="E50" s="51"/>
      <c r="F50" s="51"/>
      <c r="G50" s="51"/>
    </row>
    <row r="51" spans="2:15" x14ac:dyDescent="0.25">
      <c r="B51" s="23"/>
      <c r="C51" s="35"/>
      <c r="D51" s="35"/>
      <c r="E51" s="35"/>
      <c r="F51" s="35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13"/>
      <c r="C53" s="13"/>
      <c r="D53" s="21"/>
      <c r="E53" s="21"/>
      <c r="F53" s="21"/>
    </row>
    <row r="54" spans="2:15" x14ac:dyDescent="0.25">
      <c r="B54" s="47" t="s">
        <v>24</v>
      </c>
      <c r="C54" s="47"/>
      <c r="D54" s="48"/>
      <c r="E54" s="48"/>
      <c r="F54" s="48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8"/>
      <c r="C55" s="48"/>
      <c r="D55" s="48"/>
      <c r="E55" s="48"/>
      <c r="F55" s="48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8"/>
      <c r="C56" s="48"/>
      <c r="D56" s="48"/>
      <c r="E56" s="48"/>
      <c r="F56" s="48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8"/>
      <c r="C57" s="48"/>
      <c r="D57" s="48"/>
      <c r="E57" s="48"/>
      <c r="F57" s="48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</sheetData>
  <mergeCells count="12">
    <mergeCell ref="B54:F57"/>
    <mergeCell ref="D46:F46"/>
    <mergeCell ref="B38:F38"/>
    <mergeCell ref="B39:F39"/>
    <mergeCell ref="B40:F40"/>
    <mergeCell ref="B41:F41"/>
    <mergeCell ref="C50:G50"/>
    <mergeCell ref="B9:F9"/>
    <mergeCell ref="B16:F16"/>
    <mergeCell ref="B19:F19"/>
    <mergeCell ref="B23:F23"/>
    <mergeCell ref="B42:F42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2026-05-26T22:28:13Z</cp:lastPrinted>
  <dcterms:created xsi:type="dcterms:W3CDTF">2020-12-14T19:54:01Z</dcterms:created>
  <dcterms:modified xsi:type="dcterms:W3CDTF">2026-05-27T00:20:07Z</dcterms:modified>
</cp:coreProperties>
</file>