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1AF34DE3-212E-47CE-9ABA-E5A6FDE2462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3" l="1"/>
  <c r="G38" i="3"/>
  <c r="G37" i="3"/>
  <c r="G33" i="3"/>
  <c r="G32" i="3"/>
  <c r="G31" i="3"/>
  <c r="G30" i="3"/>
  <c r="G29" i="3"/>
  <c r="G28" i="3"/>
  <c r="G42" i="3" l="1"/>
  <c r="D21" i="1"/>
  <c r="D22" i="1" s="1"/>
  <c r="G43" i="3" l="1"/>
  <c r="G44" i="3" l="1"/>
</calcChain>
</file>

<file path=xl/sharedStrings.xml><?xml version="1.0" encoding="utf-8"?>
<sst xmlns="http://schemas.openxmlformats.org/spreadsheetml/2006/main" count="82" uniqueCount="69">
  <si>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</si>
  <si>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</si>
  <si>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</si>
  <si>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</si>
  <si>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</si>
  <si>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</si>
  <si>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</si>
  <si>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</si>
  <si>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</si>
  <si>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</si>
  <si>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</si>
  <si>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</si>
  <si>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</si>
  <si>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</si>
  <si>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</si>
  <si>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</si>
  <si>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</si>
  <si>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</si>
  <si>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</si>
  <si>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</si>
  <si>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</si>
  <si>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</si>
  <si>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</si>
  <si>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</si>
  <si>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</si>
  <si>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</si>
  <si>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</si>
  <si>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</si>
  <si>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</si>
  <si>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</si>
  <si>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</si>
  <si>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</si>
  <si>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</si>
  <si>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</si>
  <si>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</si>
  <si>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</si>
  <si>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</si>
  <si>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</si>
  <si>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</si>
  <si>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</si>
  <si>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</si>
  <si>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</si>
  <si>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</si>
  <si>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</si>
  <si>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>IVA</t>
  </si>
  <si>
    <t xml:space="preserve">1.- PROTECT PLUS REF. BLANCO SATINADO (REND. 90-95M2) </t>
  </si>
  <si>
    <t xml:space="preserve">2.- SMALTGLASS  (REND. 90-95M2) </t>
  </si>
  <si>
    <t xml:space="preserve">3.- SELLADOR INICIAL  (REND. 90-100M2) </t>
  </si>
  <si>
    <t xml:space="preserve">4.- PRAIMER GLASS REF. S.M.A (REND. 85-90M2) </t>
  </si>
  <si>
    <t>6.- VITROGLASS REF. S.M.A (REND. 180-190M2)</t>
  </si>
  <si>
    <t>5.- CHISA GLASS REF. S.M.A (REND. 60-65M2)</t>
  </si>
  <si>
    <t>CIUDAD DE MEXICO A 15 DE JUNIO DEL 2026</t>
  </si>
  <si>
    <t>OBRA: ISSSTE VASCO DE QUIROGA , MOR</t>
  </si>
  <si>
    <t xml:space="preserve">PRESENTAMOS A SU AMABLE CONSIDERACIÓN EL PRESUPUESTO DE SUMINISTRO DE LOS SIGUIENTES MATERIALES: </t>
  </si>
  <si>
    <t>VOLUMEN M2</t>
  </si>
  <si>
    <t>CONSTRUCTORA: CORPOMARA CONSTRUCTORES S.A. DE C.V.</t>
  </si>
  <si>
    <r>
      <t xml:space="preserve">PRECIO  U.                </t>
    </r>
    <r>
      <rPr>
        <sz val="10"/>
        <color theme="1"/>
        <rFont val="Times New Roman"/>
        <family val="1"/>
      </rPr>
      <t xml:space="preserve">       </t>
    </r>
  </si>
  <si>
    <t>7.- MORTERO PLASTICO (REND 16M2)</t>
  </si>
  <si>
    <t>8.- ARENA SILICA (REND 22M2)</t>
  </si>
  <si>
    <t xml:space="preserve">9.- PINTUFLEX REF. S.M.A (REND. 90M2) </t>
  </si>
  <si>
    <t>PREPARACION Y PINTURA VINILICA</t>
  </si>
  <si>
    <t>PRECIO CHISA 30% DESC</t>
  </si>
  <si>
    <t>PRECIO PREPARACIONES 15% DESC</t>
  </si>
  <si>
    <t xml:space="preserve">AT´N: </t>
  </si>
  <si>
    <t>PRES. REF. 16568-S/2026CG</t>
  </si>
  <si>
    <t>3.-ENTREGA DE MATERIALES L.A.B. EN LA PLANTA DE HAPA SOLUCIONES INTEGRALES EN RECUBRIMIENTOS S.ADE C.V.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</si>
  <si>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www.hapasoluciones.com.mx</t>
    </r>
  </si>
  <si>
    <t xml:space="preserve">                                                                                                          _______________________________________________</t>
  </si>
  <si>
    <t xml:space="preserve">          HAPA SOLUCIONES INTEGRALES EN RECUBRIMIENTOS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</si>
</sst>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7" formatCode="_-&quot;$&quot;* #,##0.00_-;\-&quot;$&quot;* #,##0.00_-;_-&quot;$&quot;* &quot;-&quot;??_-;_-@_-"/>
  </numFmts>
  <fonts count="17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1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11" fillId="0" borderId="0" xfId="33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justify" vertical="top" wrapText="1"/>
    </xf>
    <xf numFmtId="0" fontId="13" fillId="0" borderId="0" xfId="0" applyFont="1" applyAlignment="1">
      <alignment horizontal="center" vertical="center"/>
    </xf>
    <xf numFmtId="44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4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justify" vertical="top" wrapText="1"/>
    </xf>
    <xf numFmtId="0" fontId="13" fillId="0" borderId="0" xfId="0" applyFont="1" applyAlignment="1">
      <alignment horizontal="left" vertical="center" wrapText="1"/>
    </xf>
    <xf numFmtId="44" fontId="13" fillId="0" borderId="0" xfId="1" applyFont="1" applyAlignment="1">
      <alignment horizont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right" vertical="center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justify"/>
    </xf>
    <xf numFmtId="167" fontId="1" fillId="0" borderId="0" xfId="7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4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wrapText="1"/>
    </xf>
    <xf numFmtId="0" fontId="0" fillId="0" borderId="0" xfId="0" applyAlignment="1"/>
  </cellXfs>
  <cellStyles count="71">
    <cellStyle name="Moneda" xfId="1" builtinId="4"/>
    <cellStyle name="Moneda 10" xfId="40" xr:uid="{CED5A3B7-BF15-44B6-A3A9-8BE1F5A0756E}"/>
    <cellStyle name="Moneda 11" xfId="69" xr:uid="{B62FCE7E-EC45-40F8-9C84-07D878A0EA23}"/>
    <cellStyle name="Moneda 12" xfId="34" xr:uid="{D3C626B3-1A4E-486B-B41F-9A222B586312}"/>
    <cellStyle name="Moneda 13" xfId="70" xr:uid="{E55E42DD-288E-4612-A493-B9821E973126}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2 2" xfId="29" xr:uid="{83B69E17-8273-4E74-A737-F0932A48D2A3}"/>
    <cellStyle name="Moneda 2 2 2 3" xfId="52" xr:uid="{7B079739-2B0B-4DA1-85B2-D2BFAC1F90AF}"/>
    <cellStyle name="Moneda 2 2 3" xfId="22" xr:uid="{6F78D657-4460-4E3C-985E-FE8FC094CBF6}"/>
    <cellStyle name="Moneda 2 2 3 2" xfId="61" xr:uid="{5E0DBA09-8C35-4CF0-94EE-A56605D99CBD}"/>
    <cellStyle name="Moneda 2 2 4" xfId="68" xr:uid="{EAD865F4-97E9-4D85-A473-59AFC26164E3}"/>
    <cellStyle name="Moneda 2 2 5" xfId="45" xr:uid="{32E528F2-AE00-4F7E-A64E-D2392CAA5DAC}"/>
    <cellStyle name="Moneda 2 2 6" xfId="39" xr:uid="{D9F7E2AA-0B5B-4B6D-846B-BF45884D7348}"/>
    <cellStyle name="Moneda 2 3" xfId="10" xr:uid="{70E3DBA5-2DC9-4FA5-B21F-92486113E324}"/>
    <cellStyle name="Moneda 2 3 2" xfId="26" xr:uid="{928AC8EE-3747-4A4C-B48D-CAEB303512A5}"/>
    <cellStyle name="Moneda 2 3 3" xfId="49" xr:uid="{CC29B186-7EF6-40F7-8F6A-BC15031B5DCA}"/>
    <cellStyle name="Moneda 2 4" xfId="16" xr:uid="{0842F33C-72FD-4006-B019-C0E449DE2AFB}"/>
    <cellStyle name="Moneda 2 4 2" xfId="32" xr:uid="{702D70FF-70BE-4E83-A5E0-8040599B662C}"/>
    <cellStyle name="Moneda 2 4 3" xfId="55" xr:uid="{B7CD213B-FC34-4614-AF38-427869E9F0C2}"/>
    <cellStyle name="Moneda 2 5" xfId="19" xr:uid="{CF8F97D1-6D10-40FA-A47D-1839B28D8BBA}"/>
    <cellStyle name="Moneda 2 5 2" xfId="58" xr:uid="{DA52F56D-95EF-4C45-BB43-AB19071D44E6}"/>
    <cellStyle name="Moneda 2 6" xfId="64" xr:uid="{8CC76190-9FF9-4117-93E8-71934FE323F6}"/>
    <cellStyle name="Moneda 2 7" xfId="42" xr:uid="{9113AED0-8198-49CC-9EEA-5E6BF027553B}"/>
    <cellStyle name="Moneda 2 8" xfId="36" xr:uid="{6D3C14EC-1943-4B24-B351-94E4E32E592F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2 2" xfId="28" xr:uid="{8A733A5D-1D1A-4488-8A07-90E67925C6C2}"/>
    <cellStyle name="Moneda 3 2 2 3" xfId="51" xr:uid="{2940FD2A-42F8-48E0-9181-9A5EE4949AE3}"/>
    <cellStyle name="Moneda 3 2 3" xfId="21" xr:uid="{29F5FF44-5F72-4C51-861A-E57B07D42D8A}"/>
    <cellStyle name="Moneda 3 2 3 2" xfId="60" xr:uid="{FDAE3096-FF39-4DE2-B888-113475194176}"/>
    <cellStyle name="Moneda 3 2 4" xfId="67" xr:uid="{F60C5154-4AC3-4602-8B9D-AE25FE214127}"/>
    <cellStyle name="Moneda 3 2 5" xfId="44" xr:uid="{A4E61E16-12B0-4E67-8164-11DBFE0A8443}"/>
    <cellStyle name="Moneda 3 2 6" xfId="38" xr:uid="{DC3A8ABC-2FB4-4D86-AC5C-DBC5DBF927F4}"/>
    <cellStyle name="Moneda 3 3" xfId="9" xr:uid="{B30F2482-C691-4188-A461-5D95BD7DF1C4}"/>
    <cellStyle name="Moneda 3 3 2" xfId="25" xr:uid="{D0EE8C54-FE8B-499F-8C2A-07CC8795D27B}"/>
    <cellStyle name="Moneda 3 3 3" xfId="48" xr:uid="{3A96DB61-FC58-458D-B997-5169934EF9C8}"/>
    <cellStyle name="Moneda 3 4" xfId="18" xr:uid="{159EFC4A-E2DF-4E33-9ACF-81B881D8785B}"/>
    <cellStyle name="Moneda 3 4 2" xfId="57" xr:uid="{9EAC8279-8A7C-49E7-91B1-D557C1B7E1A7}"/>
    <cellStyle name="Moneda 3 5" xfId="63" xr:uid="{529559EA-9E53-4D29-ADFC-02FFF3D255F3}"/>
    <cellStyle name="Moneda 3 6" xfId="41" xr:uid="{217742E5-2779-4233-B2B6-405FB3E79567}"/>
    <cellStyle name="Moneda 3 7" xfId="35" xr:uid="{C24ACE7E-AAC5-4395-8B58-54F3EF520330}"/>
    <cellStyle name="Moneda 4" xfId="4" xr:uid="{B22E587E-BDF3-423E-A826-5C51B4AD70C8}"/>
    <cellStyle name="Moneda 4 2" xfId="11" xr:uid="{6F67927F-EF73-43AD-81C5-BBB4CC046072}"/>
    <cellStyle name="Moneda 4 2 2" xfId="27" xr:uid="{918D1C58-AE7F-4D25-A9A5-FD3607D1A063}"/>
    <cellStyle name="Moneda 4 2 3" xfId="50" xr:uid="{FA7F3ADB-9172-4C04-B6E0-1ED9ADB7E148}"/>
    <cellStyle name="Moneda 4 3" xfId="20" xr:uid="{61A8FBF2-C5E0-4F61-A0BC-F830520F354E}"/>
    <cellStyle name="Moneda 4 3 2" xfId="59" xr:uid="{2E521E8E-5287-4C14-9A3E-9860294D3267}"/>
    <cellStyle name="Moneda 4 4" xfId="65" xr:uid="{AF604F94-F935-4C9D-AC35-7F27329A7F44}"/>
    <cellStyle name="Moneda 4 5" xfId="43" xr:uid="{12205057-84EE-4B5E-A37C-466AE2C0455F}"/>
    <cellStyle name="Moneda 4 6" xfId="37" xr:uid="{60A0BCB5-0F5F-4AA7-AC00-691910E5EA76}"/>
    <cellStyle name="Moneda 5" xfId="7" xr:uid="{4C98BA0E-C64A-4FD0-B895-8FB15576F1DD}"/>
    <cellStyle name="Moneda 5 2" xfId="14" xr:uid="{3E37E1D9-4D02-4559-AA3D-BE19B2DE433E}"/>
    <cellStyle name="Moneda 5 2 2" xfId="30" xr:uid="{94AFFECE-C3C5-4007-9791-417C1D37EB2B}"/>
    <cellStyle name="Moneda 5 2 3" xfId="53" xr:uid="{633081CA-5068-4F0B-B6CB-3863FD5C98DF}"/>
    <cellStyle name="Moneda 5 3" xfId="23" xr:uid="{D016E122-7A18-4481-A375-546597B8A646}"/>
    <cellStyle name="Moneda 5 3 2" xfId="66" xr:uid="{95C82CF5-0F6C-4607-B35B-1CA9B584B900}"/>
    <cellStyle name="Moneda 5 4" xfId="46" xr:uid="{CEC089FA-38CF-4FAF-84AD-B2F7FA6EE354}"/>
    <cellStyle name="Moneda 6" xfId="8" xr:uid="{12E4A153-B240-40C4-8D05-3993599A81C8}"/>
    <cellStyle name="Moneda 6 2" xfId="24" xr:uid="{ADBDBBA0-869F-4AC4-BBB7-BC907F2324BA}"/>
    <cellStyle name="Moneda 6 3" xfId="47" xr:uid="{9C4638E8-FF92-4DEA-879E-8CB3ECBD7E9B}"/>
    <cellStyle name="Moneda 7" xfId="15" xr:uid="{EADE78FA-DAFB-43CD-AA05-380BAEE1D15E}"/>
    <cellStyle name="Moneda 7 2" xfId="31" xr:uid="{C4680140-A3D1-4E22-85D7-857410097249}"/>
    <cellStyle name="Moneda 7 3" xfId="54" xr:uid="{DAC6C4A0-FEB1-4D96-99AB-6AC4F1D944D5}"/>
    <cellStyle name="Moneda 8" xfId="17" xr:uid="{5F3BBE34-B84E-4E39-B10A-13E6F8FAFF2B}"/>
    <cellStyle name="Moneda 8 2" xfId="56" xr:uid="{F20B3E97-FD66-4FE1-BE92-D3C46145970F}"/>
    <cellStyle name="Moneda 9" xfId="62" xr:uid="{E0470AD8-5B1A-4DD7-8B92-4F22374ABFEC}"/>
    <cellStyle name="Normal" xfId="0" builtinId="0"/>
    <cellStyle name="Normal 2" xfId="33" xr:uid="{54DD8DF9-B299-47AD-BFD4-51FA71CBA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380999</xdr:colOff>
      <xdr:row>1</xdr:row>
      <xdr:rowOff>785</xdr:rowOff>
    </xdr:from>
    <xdr:to>
      <xdr:col>7</xdr:col>
      <xdr:colOff>552450</xdr:colOff>
      <xdr:row>7</xdr:row>
      <xdr:rowOff>85724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D1A44B-AD78-B2F9-969A-097F74861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699" y="191285"/>
          <a:ext cx="3048001" cy="1227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8"/>
      <c r="B1" s="53"/>
      <c r="C1" s="53"/>
      <c r="D1" s="53"/>
    </row>
    <row r="2" spans="1:7" ht="12" customHeight="1" x14ac:dyDescent="0.25">
      <c r="A2" s="18"/>
      <c r="B2" s="18"/>
      <c r="C2" s="18"/>
      <c r="D2" s="18"/>
    </row>
    <row r="3" spans="1:7" ht="12" customHeight="1" x14ac:dyDescent="0.25">
      <c r="A3" s="18"/>
      <c r="B3" s="18"/>
      <c r="C3" s="18"/>
      <c r="D3" s="18"/>
    </row>
    <row r="4" spans="1:7" ht="12" customHeight="1" x14ac:dyDescent="0.25">
      <c r="A4" s="63" t="s">
        <v>34</v>
      </c>
      <c r="B4" s="63"/>
      <c r="C4" s="63"/>
      <c r="D4" s="63"/>
      <c r="E4" s="6"/>
    </row>
    <row r="5" spans="1:7" ht="12" customHeight="1" x14ac:dyDescent="0.25">
      <c r="A5" s="24"/>
      <c r="B5" s="24"/>
      <c r="C5" s="24"/>
      <c r="D5" s="24"/>
      <c r="E5" s="6"/>
    </row>
    <row r="6" spans="1:7" ht="12" customHeight="1" x14ac:dyDescent="0.25">
      <c r="A6" s="1"/>
      <c r="B6" s="18"/>
      <c r="C6" s="18"/>
      <c r="D6" s="18"/>
    </row>
    <row r="7" spans="1:7" ht="12" customHeight="1" x14ac:dyDescent="0.25">
      <c r="A7" s="1" t="s">
        <v>0</v>
      </c>
      <c r="B7" s="18"/>
      <c r="C7" s="18"/>
      <c r="D7" s="18"/>
    </row>
    <row r="8" spans="1:7" ht="12" customHeight="1" x14ac:dyDescent="0.25">
      <c r="A8" s="1"/>
      <c r="B8" s="18"/>
      <c r="C8" s="18"/>
      <c r="D8" s="18"/>
    </row>
    <row r="9" spans="1:7" ht="12" customHeight="1" x14ac:dyDescent="0.25">
      <c r="A9" s="1" t="s">
        <v>1</v>
      </c>
      <c r="B9" s="18"/>
      <c r="C9" s="18"/>
      <c r="D9" s="18"/>
      <c r="E9" s="1"/>
      <c r="F9" s="1"/>
      <c r="G9" s="1"/>
    </row>
    <row r="10" spans="1:7" ht="12" customHeight="1" x14ac:dyDescent="0.25">
      <c r="A10" s="49" t="s">
        <v>35</v>
      </c>
      <c r="B10" s="49"/>
      <c r="C10" s="49"/>
      <c r="D10" s="49"/>
    </row>
    <row r="11" spans="1:7" ht="12" customHeight="1" x14ac:dyDescent="0.25">
      <c r="A11" s="16"/>
      <c r="B11" s="16"/>
      <c r="C11" s="16"/>
      <c r="D11" s="16"/>
    </row>
    <row r="12" spans="1:7" ht="12" customHeight="1" x14ac:dyDescent="0.25">
      <c r="A12" s="16"/>
      <c r="B12" s="18"/>
      <c r="C12" s="18"/>
      <c r="D12" s="18"/>
    </row>
    <row r="13" spans="1:7" ht="15.75" customHeight="1" x14ac:dyDescent="0.25">
      <c r="A13" s="59" t="s">
        <v>37</v>
      </c>
      <c r="B13" s="60"/>
      <c r="C13" s="60"/>
      <c r="D13" s="60"/>
    </row>
    <row r="14" spans="1:7" ht="12" customHeight="1" x14ac:dyDescent="0.25">
      <c r="A14" s="7" t="s">
        <v>36</v>
      </c>
      <c r="B14" s="19"/>
      <c r="C14" s="19"/>
      <c r="D14" s="19"/>
    </row>
    <row r="15" spans="1:7" ht="12" customHeight="1" x14ac:dyDescent="0.25">
      <c r="A15" s="8" t="s">
        <v>2</v>
      </c>
      <c r="B15" s="19"/>
      <c r="C15" s="19"/>
      <c r="D15" s="19"/>
    </row>
    <row r="16" spans="1:7" ht="12" customHeight="1" x14ac:dyDescent="0.25">
      <c r="A16" s="62" t="s">
        <v>29</v>
      </c>
      <c r="B16" s="62"/>
      <c r="C16" s="62"/>
      <c r="D16" s="62"/>
      <c r="E16" s="3"/>
      <c r="F16" s="3"/>
      <c r="G16" s="3"/>
    </row>
    <row r="17" spans="1:7" ht="21.75" customHeight="1" x14ac:dyDescent="0.25">
      <c r="A17" s="26" t="s">
        <v>30</v>
      </c>
      <c r="B17" s="22" t="s">
        <v>19</v>
      </c>
      <c r="C17" s="16" t="s">
        <v>24</v>
      </c>
      <c r="D17" s="16" t="s">
        <v>20</v>
      </c>
      <c r="E17" s="2"/>
      <c r="F17" s="2"/>
      <c r="G17" s="2"/>
    </row>
    <row r="18" spans="1:7" ht="249" customHeight="1" x14ac:dyDescent="0.25">
      <c r="A18" s="25" t="s">
        <v>31</v>
      </c>
      <c r="B18" s="31" t="s">
        <v>40</v>
      </c>
      <c r="C18" s="20">
        <v>27794.639999999999</v>
      </c>
      <c r="D18" s="20">
        <v>27794.639999999999</v>
      </c>
      <c r="E18" s="2"/>
      <c r="F18" s="2"/>
      <c r="G18" s="2"/>
    </row>
    <row r="19" spans="1:7" ht="24" customHeight="1" x14ac:dyDescent="0.25">
      <c r="A19" s="25"/>
      <c r="B19" s="27"/>
      <c r="C19" s="20"/>
      <c r="D19" s="20"/>
    </row>
    <row r="20" spans="1:7" ht="18.75" customHeight="1" x14ac:dyDescent="0.25">
      <c r="A20" s="4"/>
      <c r="B20" s="28"/>
      <c r="C20" s="4" t="s">
        <v>3</v>
      </c>
      <c r="D20" s="10">
        <v>27794.639999999999</v>
      </c>
      <c r="E20" s="5"/>
    </row>
    <row r="21" spans="1:7" x14ac:dyDescent="0.25">
      <c r="A21" s="4"/>
      <c r="B21" s="4"/>
      <c r="C21" s="4" t="s">
        <v>4</v>
      </c>
      <c r="D21" s="10">
        <f>D20*16%</f>
        <v>4447.1423999999997</v>
      </c>
      <c r="E21" s="9"/>
    </row>
    <row r="22" spans="1:7" x14ac:dyDescent="0.25">
      <c r="A22" s="4"/>
      <c r="B22" s="29"/>
      <c r="C22" s="4" t="s">
        <v>5</v>
      </c>
      <c r="D22" s="10">
        <f>+D20+D21</f>
        <v>32241.7824</v>
      </c>
      <c r="E22" s="9"/>
    </row>
    <row r="23" spans="1:7" x14ac:dyDescent="0.25">
      <c r="A23" s="4"/>
      <c r="B23" s="15"/>
      <c r="C23" s="4"/>
      <c r="D23" s="4"/>
      <c r="E23" s="9"/>
    </row>
    <row r="24" spans="1:7" x14ac:dyDescent="0.25">
      <c r="A24" s="4"/>
      <c r="B24" s="15"/>
      <c r="C24" s="4"/>
      <c r="D24" s="4"/>
      <c r="E24" s="9"/>
    </row>
    <row r="25" spans="1:7" ht="30.75" customHeight="1" x14ac:dyDescent="0.25">
      <c r="A25" s="54" t="s">
        <v>38</v>
      </c>
      <c r="B25" s="54"/>
      <c r="C25" s="54"/>
      <c r="D25" s="54"/>
      <c r="E25" s="10"/>
      <c r="F25" s="10"/>
    </row>
    <row r="26" spans="1:7" ht="12" customHeight="1" x14ac:dyDescent="0.25">
      <c r="A26" s="51" t="s">
        <v>6</v>
      </c>
      <c r="B26" s="51"/>
      <c r="C26" s="51"/>
      <c r="D26" s="51"/>
      <c r="E26" s="5"/>
      <c r="F26" s="10"/>
    </row>
    <row r="27" spans="1:7" ht="57" customHeight="1" x14ac:dyDescent="0.25">
      <c r="A27" s="61" t="s">
        <v>32</v>
      </c>
      <c r="B27" s="61"/>
      <c r="C27" s="61"/>
      <c r="D27" s="61"/>
      <c r="E27" s="5"/>
      <c r="F27" s="10"/>
    </row>
    <row r="28" spans="1:7" ht="15" customHeight="1" x14ac:dyDescent="0.25">
      <c r="A28" s="51" t="s">
        <v>7</v>
      </c>
      <c r="B28" s="51"/>
      <c r="C28" s="51"/>
      <c r="D28" s="51"/>
      <c r="E28" s="5"/>
    </row>
    <row r="29" spans="1:7" ht="33.75" customHeight="1" x14ac:dyDescent="0.25">
      <c r="A29" s="61" t="s">
        <v>8</v>
      </c>
      <c r="B29" s="61"/>
      <c r="C29" s="61"/>
      <c r="D29" s="61"/>
    </row>
    <row r="30" spans="1:7" ht="51" customHeight="1" x14ac:dyDescent="0.25">
      <c r="A30" s="62" t="s">
        <v>9</v>
      </c>
      <c r="B30" s="62"/>
      <c r="C30" s="62"/>
      <c r="D30" s="62"/>
    </row>
    <row r="31" spans="1:7" ht="57" customHeight="1" x14ac:dyDescent="0.25">
      <c r="A31" s="62" t="s">
        <v>10</v>
      </c>
      <c r="B31" s="62"/>
      <c r="C31" s="62"/>
      <c r="D31" s="62"/>
    </row>
    <row r="32" spans="1:7" ht="25.5" customHeight="1" x14ac:dyDescent="0.25">
      <c r="A32" s="62" t="s">
        <v>11</v>
      </c>
      <c r="B32" s="62"/>
      <c r="C32" s="62"/>
      <c r="D32" s="62"/>
      <c r="E32" s="5"/>
    </row>
    <row r="33" spans="1:4" ht="72" customHeight="1" x14ac:dyDescent="0.25">
      <c r="A33" s="61" t="s">
        <v>12</v>
      </c>
      <c r="B33" s="61"/>
      <c r="C33" s="61"/>
      <c r="D33" s="61"/>
    </row>
    <row r="34" spans="1:4" ht="27.75" customHeight="1" x14ac:dyDescent="0.25">
      <c r="A34" s="61" t="s">
        <v>13</v>
      </c>
      <c r="B34" s="61"/>
      <c r="C34" s="61"/>
      <c r="D34" s="61"/>
    </row>
    <row r="35" spans="1:4" ht="61.5" customHeight="1" x14ac:dyDescent="0.25">
      <c r="A35" s="61" t="s">
        <v>14</v>
      </c>
      <c r="B35" s="61"/>
      <c r="C35" s="61"/>
      <c r="D35" s="61"/>
    </row>
    <row r="36" spans="1:4" ht="25.5" customHeight="1" x14ac:dyDescent="0.25">
      <c r="A36" s="61" t="s">
        <v>15</v>
      </c>
      <c r="B36" s="61"/>
      <c r="C36" s="61"/>
      <c r="D36" s="61"/>
    </row>
    <row r="37" spans="1:4" ht="68.25" customHeight="1" x14ac:dyDescent="0.25">
      <c r="A37" s="62" t="s">
        <v>16</v>
      </c>
      <c r="B37" s="62"/>
      <c r="C37" s="62"/>
      <c r="D37" s="62"/>
    </row>
    <row r="38" spans="1:4" ht="29.25" customHeight="1" x14ac:dyDescent="0.25">
      <c r="A38" s="61" t="s">
        <v>17</v>
      </c>
      <c r="B38" s="61"/>
      <c r="C38" s="61"/>
      <c r="D38" s="61"/>
    </row>
    <row r="39" spans="1:4" ht="22.5" customHeight="1" x14ac:dyDescent="0.25">
      <c r="A39" s="8" t="s">
        <v>18</v>
      </c>
      <c r="B39" s="19"/>
      <c r="C39" s="19"/>
      <c r="D39" s="19"/>
    </row>
    <row r="40" spans="1:4" ht="24" customHeight="1" x14ac:dyDescent="0.25">
      <c r="A40" s="23" t="s">
        <v>22</v>
      </c>
      <c r="B40" s="52" t="s">
        <v>28</v>
      </c>
      <c r="C40" s="52"/>
      <c r="D40" s="52"/>
    </row>
    <row r="41" spans="1:4" ht="19.5" customHeight="1" x14ac:dyDescent="0.25">
      <c r="A41" s="8"/>
      <c r="B41" s="19"/>
      <c r="C41" s="19"/>
      <c r="D41" s="19"/>
    </row>
    <row r="42" spans="1:4" ht="17.25" customHeight="1" x14ac:dyDescent="0.25">
      <c r="A42" s="8"/>
      <c r="B42" s="19"/>
      <c r="C42" s="19"/>
      <c r="D42" s="19"/>
    </row>
    <row r="43" spans="1:4" x14ac:dyDescent="0.25">
      <c r="A43" s="11" t="s">
        <v>33</v>
      </c>
      <c r="B43" s="19"/>
      <c r="C43" s="19"/>
      <c r="D43" s="19"/>
    </row>
    <row r="44" spans="1:4" x14ac:dyDescent="0.25">
      <c r="A44" s="12" t="s">
        <v>39</v>
      </c>
      <c r="B44" s="19"/>
      <c r="C44" s="19"/>
      <c r="D44" s="19"/>
    </row>
    <row r="45" spans="1:4" x14ac:dyDescent="0.25">
      <c r="A45" s="30"/>
      <c r="B45" s="30"/>
      <c r="C45" s="30"/>
      <c r="D45" s="30"/>
    </row>
    <row r="46" spans="1:4" x14ac:dyDescent="0.25">
      <c r="A46" s="30"/>
      <c r="B46" s="30"/>
      <c r="C46" s="30"/>
      <c r="D46" s="30"/>
    </row>
    <row r="47" spans="1:4" x14ac:dyDescent="0.25">
      <c r="A47" s="30"/>
      <c r="B47" s="30"/>
      <c r="C47" s="30"/>
      <c r="D47" s="30"/>
    </row>
    <row r="48" spans="1:4" x14ac:dyDescent="0.25">
      <c r="A48" s="30"/>
      <c r="B48" s="30"/>
      <c r="C48" s="30"/>
      <c r="D48" s="30"/>
    </row>
    <row r="49" spans="1:4" x14ac:dyDescent="0.25">
      <c r="A49" s="30"/>
      <c r="B49" s="30"/>
      <c r="C49" s="30"/>
      <c r="D49" s="30"/>
    </row>
    <row r="50" spans="1:4" x14ac:dyDescent="0.25">
      <c r="A50" s="30"/>
      <c r="B50" s="30"/>
      <c r="C50" s="30"/>
      <c r="D50" s="30"/>
    </row>
    <row r="51" spans="1:4" x14ac:dyDescent="0.25">
      <c r="A51" s="30"/>
      <c r="B51" s="30"/>
      <c r="C51" s="30"/>
      <c r="D51" s="30"/>
    </row>
    <row r="52" spans="1:4" x14ac:dyDescent="0.25">
      <c r="A52" s="30"/>
      <c r="B52" s="30"/>
      <c r="C52" s="30"/>
      <c r="D52" s="30"/>
    </row>
    <row r="53" spans="1:4" x14ac:dyDescent="0.25">
      <c r="A53" s="30"/>
      <c r="B53" s="30"/>
      <c r="C53" s="30"/>
      <c r="D53" s="30"/>
    </row>
    <row r="54" spans="1:4" x14ac:dyDescent="0.25">
      <c r="A54" s="30"/>
      <c r="B54" s="30"/>
      <c r="C54" s="30"/>
      <c r="D54" s="30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P71"/>
  <sheetViews>
    <sheetView tabSelected="1" topLeftCell="A52" zoomScaleNormal="100" zoomScalePageLayoutView="50" workbookViewId="0">
      <selection activeCell="B54" sqref="B54"/>
    </sheetView>
  </sheetViews>
  <sheetFormatPr baseColWidth="10" defaultRowHeight="15" x14ac:dyDescent="0.25"/>
  <cols>
    <col min="1" max="1" width="10.5703125" style="14" customWidth="1"/>
    <col min="2" max="2" width="52.28515625" customWidth="1"/>
    <col min="3" max="5" width="13.42578125" customWidth="1"/>
    <col min="6" max="7" width="14.85546875" customWidth="1"/>
  </cols>
  <sheetData>
    <row r="4" spans="2:8" x14ac:dyDescent="0.25">
      <c r="B4" s="18"/>
      <c r="C4" s="18"/>
      <c r="D4" s="18"/>
      <c r="E4" s="18"/>
      <c r="F4" s="18"/>
      <c r="G4" s="18"/>
    </row>
    <row r="5" spans="2:8" x14ac:dyDescent="0.25">
      <c r="B5" s="18"/>
      <c r="C5" s="18"/>
      <c r="D5" s="18"/>
      <c r="E5" s="18"/>
      <c r="F5" s="18"/>
      <c r="G5" s="18"/>
    </row>
    <row r="6" spans="2:8" x14ac:dyDescent="0.25">
      <c r="B6" s="18"/>
      <c r="C6" s="18"/>
      <c r="D6" s="18"/>
      <c r="E6" s="18"/>
      <c r="F6" s="18"/>
      <c r="G6" s="18"/>
    </row>
    <row r="7" spans="2:8" x14ac:dyDescent="0.25">
      <c r="B7" s="18"/>
      <c r="C7" s="18"/>
      <c r="D7" s="18"/>
      <c r="E7" s="18"/>
      <c r="F7" s="18"/>
      <c r="G7" s="18"/>
    </row>
    <row r="8" spans="2:8" x14ac:dyDescent="0.25">
      <c r="B8" s="18"/>
      <c r="C8" s="18"/>
      <c r="D8" s="18"/>
      <c r="E8" s="18"/>
      <c r="F8" s="18"/>
      <c r="G8" s="18"/>
    </row>
    <row r="9" spans="2:8" x14ac:dyDescent="0.25">
      <c r="B9" s="18"/>
      <c r="C9" s="18"/>
      <c r="D9" s="18"/>
      <c r="E9" s="18"/>
      <c r="F9" s="18"/>
      <c r="G9" s="18"/>
    </row>
    <row r="10" spans="2:8" x14ac:dyDescent="0.25">
      <c r="B10" s="18"/>
      <c r="C10" s="18"/>
      <c r="D10" s="18"/>
      <c r="E10" s="18"/>
      <c r="F10" s="18"/>
      <c r="G10" s="18"/>
    </row>
    <row r="11" spans="2:8" x14ac:dyDescent="0.25">
      <c r="B11" s="47" t="s">
        <v>51</v>
      </c>
      <c r="C11" s="47"/>
      <c r="D11" s="47"/>
      <c r="E11" s="47"/>
      <c r="F11" s="47"/>
      <c r="G11" s="48"/>
      <c r="H11" s="18"/>
    </row>
    <row r="12" spans="2:8" x14ac:dyDescent="0.25">
      <c r="B12" s="1"/>
      <c r="C12" s="1"/>
      <c r="D12" s="18"/>
      <c r="E12" s="18"/>
      <c r="F12" s="18"/>
      <c r="G12" s="34"/>
      <c r="H12" s="18"/>
    </row>
    <row r="13" spans="2:8" x14ac:dyDescent="0.25">
      <c r="B13" s="1"/>
      <c r="C13" s="1"/>
      <c r="D13" s="18"/>
      <c r="E13" s="18"/>
      <c r="F13" s="18"/>
      <c r="G13" s="34"/>
      <c r="H13" s="18"/>
    </row>
    <row r="14" spans="2:8" ht="26.25" customHeight="1" x14ac:dyDescent="0.25">
      <c r="B14" s="1" t="s">
        <v>55</v>
      </c>
      <c r="C14" s="1"/>
      <c r="D14" s="18"/>
      <c r="E14" s="18"/>
      <c r="F14" s="18"/>
      <c r="G14" s="34"/>
      <c r="H14" s="18"/>
    </row>
    <row r="15" spans="2:8" x14ac:dyDescent="0.25">
      <c r="B15" s="1" t="s">
        <v>0</v>
      </c>
      <c r="C15" s="1"/>
      <c r="D15" s="18"/>
      <c r="E15" s="18"/>
      <c r="F15" s="18"/>
      <c r="G15" s="18"/>
      <c r="H15" s="18"/>
    </row>
    <row r="16" spans="2:8" x14ac:dyDescent="0.25">
      <c r="B16" s="1"/>
      <c r="C16" s="1"/>
      <c r="D16" s="18"/>
      <c r="E16" s="18"/>
      <c r="F16" s="18"/>
      <c r="G16" s="18"/>
      <c r="H16" s="18"/>
    </row>
    <row r="17" spans="2:8" x14ac:dyDescent="0.25">
      <c r="B17" s="49" t="s">
        <v>63</v>
      </c>
      <c r="C17" s="49"/>
      <c r="D17" s="49"/>
      <c r="E17" s="49"/>
      <c r="F17" s="49"/>
      <c r="G17" s="49"/>
      <c r="H17" s="18"/>
    </row>
    <row r="18" spans="2:8" x14ac:dyDescent="0.25">
      <c r="B18" s="16"/>
      <c r="C18" s="16"/>
      <c r="D18" s="24"/>
      <c r="E18" s="24"/>
      <c r="F18" s="24"/>
      <c r="G18" s="24"/>
      <c r="H18" s="18"/>
    </row>
    <row r="19" spans="2:8" ht="12.75" customHeight="1" x14ac:dyDescent="0.25">
      <c r="B19" s="53"/>
      <c r="C19" s="53"/>
      <c r="D19" s="53"/>
      <c r="E19" s="53"/>
      <c r="F19" s="53"/>
      <c r="G19" s="53"/>
      <c r="H19" s="18"/>
    </row>
    <row r="20" spans="2:8" ht="12.75" customHeight="1" x14ac:dyDescent="0.25">
      <c r="B20" s="7" t="s">
        <v>64</v>
      </c>
      <c r="C20" s="7"/>
      <c r="D20" s="7"/>
      <c r="E20" s="19"/>
      <c r="F20" s="19"/>
      <c r="G20" s="19"/>
      <c r="H20" s="18"/>
    </row>
    <row r="21" spans="2:8" ht="12.75" customHeight="1" x14ac:dyDescent="0.25">
      <c r="B21" s="53" t="s">
        <v>52</v>
      </c>
      <c r="C21" s="53"/>
      <c r="D21" s="54"/>
      <c r="E21" s="54"/>
      <c r="F21" s="54"/>
      <c r="G21" s="54"/>
      <c r="H21" s="18"/>
    </row>
    <row r="22" spans="2:8" ht="13.5" customHeight="1" x14ac:dyDescent="0.25">
      <c r="B22" s="8" t="s">
        <v>2</v>
      </c>
      <c r="C22" s="8"/>
      <c r="D22" s="8"/>
      <c r="E22" s="19"/>
      <c r="F22" s="19"/>
      <c r="G22" s="19"/>
      <c r="H22" s="18"/>
    </row>
    <row r="23" spans="2:8" ht="26.25" customHeight="1" x14ac:dyDescent="0.25">
      <c r="B23" s="50" t="s">
        <v>53</v>
      </c>
      <c r="C23" s="50"/>
      <c r="D23" s="50"/>
      <c r="E23" s="50"/>
      <c r="F23" s="50"/>
      <c r="G23" s="50"/>
      <c r="H23" s="18"/>
    </row>
    <row r="24" spans="2:8" ht="18" customHeight="1" x14ac:dyDescent="0.25">
      <c r="B24" s="32"/>
      <c r="C24" s="32"/>
      <c r="D24" s="32"/>
      <c r="E24" s="32"/>
      <c r="F24" s="32"/>
      <c r="G24" s="32"/>
      <c r="H24" s="18"/>
    </row>
    <row r="25" spans="2:8" ht="18" customHeight="1" x14ac:dyDescent="0.25">
      <c r="B25" s="32"/>
      <c r="C25" s="32"/>
      <c r="D25" s="32"/>
      <c r="E25" s="32"/>
      <c r="F25" s="32"/>
      <c r="G25" s="32"/>
      <c r="H25" s="18"/>
    </row>
    <row r="26" spans="2:8" x14ac:dyDescent="0.25">
      <c r="B26" s="35" t="s">
        <v>21</v>
      </c>
      <c r="C26" s="35" t="s">
        <v>54</v>
      </c>
      <c r="D26" s="35"/>
      <c r="E26" s="35" t="s">
        <v>19</v>
      </c>
      <c r="F26" s="35" t="s">
        <v>56</v>
      </c>
      <c r="G26" s="35" t="s">
        <v>20</v>
      </c>
      <c r="H26" s="18"/>
    </row>
    <row r="27" spans="2:8" x14ac:dyDescent="0.25">
      <c r="B27" s="35"/>
      <c r="C27" s="35"/>
      <c r="D27" s="35"/>
      <c r="E27" s="35"/>
      <c r="F27" s="35"/>
      <c r="G27" s="35"/>
      <c r="H27" s="18"/>
    </row>
    <row r="28" spans="2:8" ht="15.75" customHeight="1" x14ac:dyDescent="0.25">
      <c r="B28" s="36" t="s">
        <v>45</v>
      </c>
      <c r="C28" s="37">
        <v>1547.42</v>
      </c>
      <c r="D28" s="37" t="s">
        <v>42</v>
      </c>
      <c r="E28" s="37">
        <v>17</v>
      </c>
      <c r="F28" s="38">
        <v>4118.1899999999996</v>
      </c>
      <c r="G28" s="38">
        <f>E28*F28</f>
        <v>70009.23</v>
      </c>
      <c r="H28" s="18"/>
    </row>
    <row r="29" spans="2:8" ht="15.75" customHeight="1" x14ac:dyDescent="0.25">
      <c r="B29" s="36" t="s">
        <v>46</v>
      </c>
      <c r="C29" s="37">
        <v>621.21</v>
      </c>
      <c r="D29" s="39" t="s">
        <v>42</v>
      </c>
      <c r="E29" s="39">
        <v>7</v>
      </c>
      <c r="F29" s="40">
        <v>3834.79</v>
      </c>
      <c r="G29" s="38">
        <f t="shared" ref="G29:G33" si="0">E29*F29</f>
        <v>26843.53</v>
      </c>
      <c r="H29" s="18"/>
    </row>
    <row r="30" spans="2:8" ht="15.75" customHeight="1" x14ac:dyDescent="0.25">
      <c r="B30" s="36" t="s">
        <v>47</v>
      </c>
      <c r="C30" s="37">
        <v>3150.46</v>
      </c>
      <c r="D30" s="39" t="s">
        <v>42</v>
      </c>
      <c r="E30" s="39">
        <v>35</v>
      </c>
      <c r="F30" s="40">
        <v>907.37</v>
      </c>
      <c r="G30" s="38">
        <f t="shared" si="0"/>
        <v>31757.95</v>
      </c>
      <c r="H30" s="18"/>
    </row>
    <row r="31" spans="2:8" ht="15.75" customHeight="1" x14ac:dyDescent="0.25">
      <c r="B31" s="41" t="s">
        <v>48</v>
      </c>
      <c r="C31" s="37">
        <v>1603.04</v>
      </c>
      <c r="D31" s="42" t="s">
        <v>42</v>
      </c>
      <c r="E31" s="39">
        <v>19</v>
      </c>
      <c r="F31" s="40">
        <v>1028.18</v>
      </c>
      <c r="G31" s="38">
        <f t="shared" si="0"/>
        <v>19535.420000000002</v>
      </c>
      <c r="H31" s="18"/>
    </row>
    <row r="32" spans="2:8" ht="15.75" customHeight="1" x14ac:dyDescent="0.25">
      <c r="B32" s="41" t="s">
        <v>50</v>
      </c>
      <c r="C32" s="37">
        <v>1603.04</v>
      </c>
      <c r="D32" s="42" t="s">
        <v>42</v>
      </c>
      <c r="E32" s="39">
        <v>27</v>
      </c>
      <c r="F32" s="40">
        <v>4797.13</v>
      </c>
      <c r="G32" s="38">
        <f t="shared" si="0"/>
        <v>129522.51000000001</v>
      </c>
      <c r="H32" s="18"/>
    </row>
    <row r="33" spans="1:8" ht="15.75" customHeight="1" x14ac:dyDescent="0.25">
      <c r="B33" s="41" t="s">
        <v>49</v>
      </c>
      <c r="C33" s="37">
        <v>2829.25</v>
      </c>
      <c r="D33" s="42" t="s">
        <v>42</v>
      </c>
      <c r="E33" s="39">
        <v>14</v>
      </c>
      <c r="F33" s="40">
        <v>5023.57</v>
      </c>
      <c r="G33" s="38">
        <f t="shared" si="0"/>
        <v>70329.98</v>
      </c>
      <c r="H33" s="18"/>
    </row>
    <row r="34" spans="1:8" s="64" customFormat="1" ht="15.75" customHeight="1" x14ac:dyDescent="0.25">
      <c r="A34" s="69"/>
      <c r="B34" s="41"/>
      <c r="C34" s="37"/>
      <c r="D34" s="42"/>
      <c r="E34" s="75" t="s">
        <v>61</v>
      </c>
      <c r="F34" s="76"/>
      <c r="G34" s="77">
        <v>90665.76</v>
      </c>
      <c r="H34" s="70"/>
    </row>
    <row r="35" spans="1:8" ht="15.75" customHeight="1" x14ac:dyDescent="0.25">
      <c r="B35" s="41"/>
      <c r="C35" s="37"/>
      <c r="D35" s="42"/>
      <c r="E35" s="39"/>
      <c r="F35" s="40"/>
      <c r="G35" s="38"/>
      <c r="H35" s="18"/>
    </row>
    <row r="36" spans="1:8" ht="15.75" customHeight="1" x14ac:dyDescent="0.25">
      <c r="B36" s="41" t="s">
        <v>60</v>
      </c>
      <c r="C36" s="37"/>
      <c r="D36" s="42"/>
      <c r="E36" s="39"/>
      <c r="F36" s="40"/>
      <c r="G36" s="38"/>
      <c r="H36" s="18"/>
    </row>
    <row r="37" spans="1:8" ht="15.75" customHeight="1" x14ac:dyDescent="0.25">
      <c r="B37" s="66" t="s">
        <v>57</v>
      </c>
      <c r="C37" s="73"/>
      <c r="D37" s="37" t="s">
        <v>42</v>
      </c>
      <c r="E37" s="65">
        <v>1</v>
      </c>
      <c r="F37" s="72">
        <v>1205.56</v>
      </c>
      <c r="G37" s="38">
        <f t="shared" ref="G37:G39" si="1">E37*F37</f>
        <v>1205.56</v>
      </c>
      <c r="H37" s="18"/>
    </row>
    <row r="38" spans="1:8" ht="15.75" customHeight="1" x14ac:dyDescent="0.25">
      <c r="B38" s="66" t="s">
        <v>58</v>
      </c>
      <c r="C38" s="73"/>
      <c r="D38" s="37" t="s">
        <v>42</v>
      </c>
      <c r="E38" s="65">
        <v>1</v>
      </c>
      <c r="F38" s="72">
        <v>1188.6400000000001</v>
      </c>
      <c r="G38" s="38">
        <f t="shared" si="1"/>
        <v>1188.6400000000001</v>
      </c>
      <c r="H38" s="18"/>
    </row>
    <row r="39" spans="1:8" ht="15.75" customHeight="1" x14ac:dyDescent="0.25">
      <c r="B39" s="41" t="s">
        <v>59</v>
      </c>
      <c r="C39" s="37"/>
      <c r="D39" s="37" t="s">
        <v>42</v>
      </c>
      <c r="E39" s="42">
        <v>1</v>
      </c>
      <c r="F39" s="40">
        <v>2610.87</v>
      </c>
      <c r="G39" s="38">
        <f t="shared" si="1"/>
        <v>2610.87</v>
      </c>
      <c r="H39" s="18"/>
    </row>
    <row r="40" spans="1:8" ht="15.75" x14ac:dyDescent="0.25">
      <c r="B40" s="41"/>
      <c r="C40" s="41"/>
      <c r="D40" s="78" t="s">
        <v>62</v>
      </c>
      <c r="E40" s="76"/>
      <c r="F40" s="76"/>
      <c r="G40" s="77">
        <v>2035.07</v>
      </c>
      <c r="H40" s="18"/>
    </row>
    <row r="41" spans="1:8" x14ac:dyDescent="0.25">
      <c r="B41" s="41"/>
      <c r="C41" s="41"/>
      <c r="D41" s="42"/>
      <c r="E41" s="39"/>
      <c r="F41" s="40"/>
      <c r="G41" s="40"/>
      <c r="H41" s="18"/>
    </row>
    <row r="42" spans="1:8" x14ac:dyDescent="0.25">
      <c r="B42" s="43"/>
      <c r="C42" s="43"/>
      <c r="D42" s="43"/>
      <c r="E42" s="44"/>
      <c r="F42" s="45" t="s">
        <v>3</v>
      </c>
      <c r="G42" s="46">
        <f>G28+G29+G30+G31+G33+G34+G39+G40</f>
        <v>313787.81</v>
      </c>
      <c r="H42" s="18"/>
    </row>
    <row r="43" spans="1:8" x14ac:dyDescent="0.25">
      <c r="B43" s="43"/>
      <c r="C43" s="43"/>
      <c r="D43" s="43"/>
      <c r="E43" s="44"/>
      <c r="F43" s="45" t="s">
        <v>44</v>
      </c>
      <c r="G43" s="46">
        <f>G42*16%</f>
        <v>50206.049599999998</v>
      </c>
      <c r="H43" s="18"/>
    </row>
    <row r="44" spans="1:8" x14ac:dyDescent="0.25">
      <c r="B44" s="43"/>
      <c r="C44" s="43"/>
      <c r="D44" s="43"/>
      <c r="E44" s="44"/>
      <c r="F44" s="45" t="s">
        <v>41</v>
      </c>
      <c r="G44" s="46">
        <f>G42+G43</f>
        <v>363993.85959999997</v>
      </c>
      <c r="H44" s="18"/>
    </row>
    <row r="45" spans="1:8" x14ac:dyDescent="0.25">
      <c r="B45" s="4"/>
      <c r="C45" s="4"/>
      <c r="D45" s="4"/>
      <c r="E45" s="15"/>
      <c r="F45" s="4"/>
      <c r="G45" s="10"/>
      <c r="H45" s="18"/>
    </row>
    <row r="46" spans="1:8" x14ac:dyDescent="0.25">
      <c r="B46" s="4"/>
      <c r="C46" s="4"/>
      <c r="D46" s="4"/>
      <c r="E46" s="15"/>
      <c r="F46" s="4"/>
      <c r="G46" s="10"/>
      <c r="H46" s="18"/>
    </row>
    <row r="47" spans="1:8" x14ac:dyDescent="0.25">
      <c r="B47" s="51" t="s">
        <v>23</v>
      </c>
      <c r="C47" s="51"/>
      <c r="D47" s="52"/>
      <c r="E47" s="52"/>
      <c r="F47" s="52"/>
      <c r="G47" s="52"/>
      <c r="H47" s="18"/>
    </row>
    <row r="48" spans="1:8" ht="27.75" customHeight="1" x14ac:dyDescent="0.25">
      <c r="B48" s="50" t="s">
        <v>25</v>
      </c>
      <c r="C48" s="50"/>
      <c r="D48" s="50"/>
      <c r="E48" s="50"/>
      <c r="F48" s="50"/>
      <c r="G48" s="50"/>
      <c r="H48" s="18"/>
    </row>
    <row r="49" spans="2:16" ht="17.25" customHeight="1" x14ac:dyDescent="0.25">
      <c r="B49" s="50" t="s">
        <v>26</v>
      </c>
      <c r="C49" s="50"/>
      <c r="D49" s="50"/>
      <c r="E49" s="50"/>
      <c r="F49" s="50"/>
      <c r="G49" s="50"/>
      <c r="H49" s="18"/>
    </row>
    <row r="50" spans="2:16" ht="15" customHeight="1" x14ac:dyDescent="0.25">
      <c r="B50" s="50" t="s">
        <v>65</v>
      </c>
      <c r="C50" s="50"/>
      <c r="D50" s="50"/>
      <c r="E50" s="50"/>
      <c r="F50" s="50"/>
      <c r="G50" s="50"/>
      <c r="H50" s="18"/>
    </row>
    <row r="51" spans="2:16" ht="18" customHeight="1" x14ac:dyDescent="0.25">
      <c r="B51" s="50" t="s">
        <v>27</v>
      </c>
      <c r="C51" s="50"/>
      <c r="D51" s="50"/>
      <c r="E51" s="50"/>
      <c r="F51" s="50"/>
      <c r="G51" s="50"/>
      <c r="H51" s="18"/>
    </row>
    <row r="52" spans="2:16" ht="78" customHeight="1" x14ac:dyDescent="0.25">
      <c r="B52" s="50" t="s">
        <v>66</v>
      </c>
      <c r="C52" s="50"/>
      <c r="D52" s="50"/>
      <c r="E52" s="50"/>
      <c r="F52" s="50"/>
      <c r="G52" s="50"/>
      <c r="H52" s="18"/>
    </row>
    <row r="53" spans="2:16" ht="14.25" customHeight="1" x14ac:dyDescent="0.25">
      <c r="B53" s="32"/>
      <c r="C53" s="32"/>
      <c r="D53" s="32"/>
      <c r="E53" s="32"/>
      <c r="F53" s="32"/>
      <c r="G53" s="32"/>
      <c r="H53" s="18"/>
    </row>
    <row r="54" spans="2:16" ht="14.25" customHeight="1" x14ac:dyDescent="0.25">
      <c r="B54" s="32"/>
      <c r="C54" s="32"/>
      <c r="D54" s="32"/>
      <c r="E54" s="32"/>
      <c r="F54" s="32"/>
      <c r="G54" s="32"/>
      <c r="H54" s="18"/>
    </row>
    <row r="55" spans="2:16" x14ac:dyDescent="0.25">
      <c r="B55" s="18"/>
      <c r="C55" s="18"/>
      <c r="D55" s="18"/>
      <c r="E55" s="18"/>
      <c r="F55" s="18"/>
      <c r="G55" s="18"/>
      <c r="H55" s="18"/>
      <c r="I55" s="13"/>
    </row>
    <row r="56" spans="2:16" x14ac:dyDescent="0.25">
      <c r="B56" s="51" t="s">
        <v>43</v>
      </c>
      <c r="C56" s="74"/>
      <c r="D56" s="74"/>
      <c r="E56" s="74"/>
      <c r="F56" s="74"/>
      <c r="G56" s="74"/>
      <c r="H56" s="18"/>
    </row>
    <row r="57" spans="2:16" x14ac:dyDescent="0.25">
      <c r="B57" s="67"/>
      <c r="C57" s="67"/>
      <c r="D57" s="67"/>
      <c r="E57" s="71"/>
      <c r="F57" s="71"/>
      <c r="G57" s="71"/>
      <c r="H57" s="18"/>
    </row>
    <row r="58" spans="2:16" x14ac:dyDescent="0.25">
      <c r="B58" s="67"/>
      <c r="C58" s="67"/>
      <c r="D58" s="67"/>
      <c r="E58" s="71"/>
      <c r="F58" s="71"/>
      <c r="G58" s="71"/>
      <c r="H58" s="18"/>
    </row>
    <row r="59" spans="2:16" x14ac:dyDescent="0.25">
      <c r="B59" s="68" t="s">
        <v>67</v>
      </c>
      <c r="C59" s="68"/>
      <c r="D59" s="68"/>
      <c r="E59" s="68"/>
      <c r="F59" s="68"/>
      <c r="G59" s="68"/>
      <c r="H59" s="18"/>
    </row>
    <row r="60" spans="2:16" ht="15" customHeight="1" x14ac:dyDescent="0.25">
      <c r="B60" s="57" t="s">
        <v>68</v>
      </c>
      <c r="C60" s="74"/>
      <c r="D60" s="74"/>
      <c r="E60" s="74"/>
      <c r="F60" s="74"/>
      <c r="G60" s="74"/>
      <c r="H60" s="79"/>
    </row>
    <row r="61" spans="2:16" x14ac:dyDescent="0.25">
      <c r="B61" s="21"/>
      <c r="C61" s="21"/>
      <c r="D61" s="33"/>
      <c r="E61" s="33"/>
      <c r="F61" s="33"/>
      <c r="G61" s="33"/>
      <c r="H61" s="18"/>
    </row>
    <row r="62" spans="2:16" x14ac:dyDescent="0.25">
      <c r="B62" s="21"/>
      <c r="C62" s="21"/>
      <c r="D62" s="33"/>
      <c r="E62" s="33"/>
      <c r="F62" s="33"/>
      <c r="G62" s="33"/>
      <c r="H62" s="18"/>
    </row>
    <row r="63" spans="2:16" x14ac:dyDescent="0.25">
      <c r="B63" s="12"/>
      <c r="C63" s="12"/>
      <c r="D63" s="12"/>
      <c r="E63" s="19"/>
      <c r="F63" s="19"/>
      <c r="G63" s="19"/>
    </row>
    <row r="64" spans="2:16" x14ac:dyDescent="0.25">
      <c r="B64" s="55"/>
      <c r="C64" s="55"/>
      <c r="D64" s="55"/>
      <c r="E64" s="56"/>
      <c r="F64" s="56"/>
      <c r="G64" s="56"/>
      <c r="H64" s="17"/>
      <c r="I64" s="17"/>
      <c r="J64" s="17"/>
      <c r="K64" s="17"/>
      <c r="L64" s="17"/>
      <c r="M64" s="17"/>
      <c r="N64" s="17"/>
      <c r="O64" s="17"/>
      <c r="P64" s="17"/>
    </row>
    <row r="65" spans="2:16" x14ac:dyDescent="0.25">
      <c r="B65" s="56"/>
      <c r="C65" s="56"/>
      <c r="D65" s="56"/>
      <c r="E65" s="56"/>
      <c r="F65" s="56"/>
      <c r="G65" s="56"/>
      <c r="H65" s="17"/>
      <c r="I65" s="17"/>
      <c r="J65" s="17"/>
      <c r="K65" s="17"/>
      <c r="L65" s="17"/>
      <c r="M65" s="17"/>
      <c r="N65" s="17"/>
      <c r="O65" s="17"/>
      <c r="P65" s="17"/>
    </row>
    <row r="66" spans="2:16" ht="4.5" customHeight="1" x14ac:dyDescent="0.25">
      <c r="B66" s="56"/>
      <c r="C66" s="56"/>
      <c r="D66" s="56"/>
      <c r="E66" s="56"/>
      <c r="F66" s="56"/>
      <c r="G66" s="56"/>
      <c r="H66" s="17"/>
      <c r="I66" s="17"/>
      <c r="J66" s="17"/>
      <c r="K66" s="17"/>
      <c r="L66" s="17"/>
      <c r="M66" s="17"/>
      <c r="N66" s="17"/>
      <c r="O66" s="17"/>
      <c r="P66" s="17"/>
    </row>
    <row r="67" spans="2:16" hidden="1" x14ac:dyDescent="0.25">
      <c r="B67" s="56"/>
      <c r="C67" s="56"/>
      <c r="D67" s="56"/>
      <c r="E67" s="56"/>
      <c r="F67" s="56"/>
      <c r="G67" s="56"/>
      <c r="H67" s="17"/>
      <c r="I67" s="17"/>
      <c r="J67" s="17"/>
      <c r="K67" s="17"/>
      <c r="L67" s="17"/>
      <c r="M67" s="17"/>
      <c r="N67" s="17"/>
      <c r="O67" s="17"/>
      <c r="P67" s="17"/>
    </row>
    <row r="68" spans="2:16" x14ac:dyDescent="0.25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spans="2:16" x14ac:dyDescent="0.25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spans="2:16" x14ac:dyDescent="0.25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spans="2:16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</sheetData>
  <mergeCells count="16">
    <mergeCell ref="B64:G67"/>
    <mergeCell ref="B48:G48"/>
    <mergeCell ref="B49:G49"/>
    <mergeCell ref="B50:G50"/>
    <mergeCell ref="B51:G51"/>
    <mergeCell ref="B56:G56"/>
    <mergeCell ref="B60:G60"/>
    <mergeCell ref="B11:G11"/>
    <mergeCell ref="B17:G17"/>
    <mergeCell ref="B23:G23"/>
    <mergeCell ref="B52:G52"/>
    <mergeCell ref="B47:G47"/>
    <mergeCell ref="B19:G19"/>
    <mergeCell ref="B21:G21"/>
    <mergeCell ref="E34:F34"/>
    <mergeCell ref="D40:F40"/>
  </mergeCells>
  <pageMargins left="0.25" right="0.25" top="0.75" bottom="0.75" header="0.3" footer="0.3"/>
  <pageSetup paperSize="9" scale="6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2026-06-18T19:39:16Z</cp:lastPrinted>
  <dcterms:created xsi:type="dcterms:W3CDTF">2020-12-14T19:54:01Z</dcterms:created>
  <dcterms:modified xsi:type="dcterms:W3CDTF">2026-06-18T19:53:00Z</dcterms:modified>
</cp:coreProperties>
</file>