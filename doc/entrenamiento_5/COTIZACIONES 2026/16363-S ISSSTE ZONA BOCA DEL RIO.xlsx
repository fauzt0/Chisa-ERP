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5\"/>
    </mc:Choice>
  </mc:AlternateContent>
  <xr:revisionPtr revIDLastSave="0" documentId="13_ncr:1_{8D8968F3-6740-4E40-A64F-83C36D6CB1F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7" i="3" l="1"/>
  <c r="F33" i="3" l="1"/>
  <c r="F32" i="3"/>
  <c r="F31" i="3"/>
  <c r="F36" i="3" s="1"/>
  <c r="D21" i="1" l="1"/>
  <c r="D22" i="1" s="1"/>
  <c r="F38" i="3" l="1"/>
</calcChain>
</file>

<file path=xl/sharedStrings.xml><?xml version="1.0" encoding="utf-8"?>
<sst xmlns="http://schemas.openxmlformats.org/spreadsheetml/2006/main" count="70" uniqueCount="62">
  <si>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</si>
  <si>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</si>
  <si>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</si>
  <si>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</si>
  <si>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</si>
  <si>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</si>
  <si>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</si>
  <si>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</si>
  <si>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</si>
  <si>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</si>
  <si>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</si>
  <si>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</si>
  <si>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</si>
  <si>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</si>
  <si>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</si>
  <si>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</si>
  <si>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</si>
  <si>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</si>
  <si>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</si>
  <si>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</si>
  <si>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</si>
  <si>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</si>
  <si>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</si>
  <si>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</si>
  <si>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</si>
  <si>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</si>
  <si>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</si>
  <si>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</si>
  <si>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</si>
  <si>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</si>
  <si>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</si>
  <si>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</si>
  <si>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</si>
  <si>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</si>
  <si>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</si>
  <si>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</si>
  <si>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</si>
  <si>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</si>
  <si>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</si>
  <si>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</si>
  <si>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</si>
  <si>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</si>
  <si>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</si>
  <si>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</si>
  <si>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</si>
  <si>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</si>
  <si>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</si>
  <si>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</si>
  <si>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</si>
  <si>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</si>
  <si>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</si>
  <si>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</si>
  <si>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</si>
  <si>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</si>
  <si>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 xml:space="preserve">1.- PRAIMER GLASS REF. S.M.A (REND. 85M2) </t>
  </si>
  <si>
    <t>2.- CHISA GLASS REF. S.M.A (REND. 55-60M2)</t>
  </si>
  <si>
    <t>3.- VITROGLASS REF. S.M.A (REND. 180-190M2)</t>
  </si>
  <si>
    <t>CIUDAD DE MEXICO A 09 DE ENERO DEL 2026</t>
  </si>
  <si>
    <t>AT´N: SUMATO</t>
  </si>
  <si>
    <t>CONSTRUCTORA: SUMATO</t>
  </si>
  <si>
    <t>PRES. REF. 16363-S/2026CG</t>
  </si>
  <si>
    <t xml:space="preserve">                                   SUMATO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</si>
</sst>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Moneda" xfId="1" builtinId="4"/>
    <cellStyle name="Moneda 2" xfId="3" xr:uid="{D3D43636-F670-4A3B-86BA-3AD6C377F933}"/>
    <cellStyle name="Moneda 2 2" xfId="6" xr:uid="{B9BF51E9-79A0-4D6C-98B8-BEF01062A514}"/>
    <cellStyle name="Moneda 3" xfId="2" xr:uid="{7EC489B4-E676-4390-AA02-61E720AF151B}"/>
    <cellStyle name="Moneda 3 2" xfId="5" xr:uid="{54D45928-7C5D-432D-94C9-47D8EA846E78}"/>
    <cellStyle name="Moneda 4" xfId="4" xr:uid="{B22E587E-BDF3-423E-A826-5C51B4AD70C8}"/>
    <cellStyle name="Moneda 5" xfId="7" xr:uid="{4C98BA0E-C64A-4FD0-B895-8FB15576F1D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44"/>
      <c r="B1" s="45"/>
      <c r="C1" s="45"/>
      <c r="D1" s="45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1" t="s">
        <v>37</v>
      </c>
      <c r="B4" s="51"/>
      <c r="C4" s="51"/>
      <c r="D4" s="51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52" t="s">
        <v>38</v>
      </c>
      <c r="B10" s="52"/>
      <c r="C10" s="52"/>
      <c r="D10" s="52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46" t="s">
        <v>40</v>
      </c>
      <c r="B13" s="47"/>
      <c r="C13" s="47"/>
      <c r="D13" s="47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49" t="s">
        <v>32</v>
      </c>
      <c r="B16" s="49"/>
      <c r="C16" s="49"/>
      <c r="D16" s="49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53" t="s">
        <v>41</v>
      </c>
      <c r="B25" s="53"/>
      <c r="C25" s="53"/>
      <c r="D25" s="53"/>
      <c r="E25" s="11"/>
      <c r="F25" s="11"/>
    </row>
    <row r="26" spans="1:7" ht="12" customHeight="1" x14ac:dyDescent="0.25">
      <c r="A26" s="54" t="s">
        <v>6</v>
      </c>
      <c r="B26" s="54"/>
      <c r="C26" s="54"/>
      <c r="D26" s="54"/>
      <c r="E26" s="5"/>
      <c r="F26" s="11"/>
    </row>
    <row r="27" spans="1:7" ht="57" customHeight="1" x14ac:dyDescent="0.25">
      <c r="A27" s="48" t="s">
        <v>35</v>
      </c>
      <c r="B27" s="48"/>
      <c r="C27" s="48"/>
      <c r="D27" s="48"/>
      <c r="E27" s="5"/>
      <c r="F27" s="11"/>
    </row>
    <row r="28" spans="1:7" ht="15" customHeight="1" x14ac:dyDescent="0.25">
      <c r="A28" s="54" t="s">
        <v>7</v>
      </c>
      <c r="B28" s="54"/>
      <c r="C28" s="54"/>
      <c r="D28" s="54"/>
      <c r="E28" s="5"/>
    </row>
    <row r="29" spans="1:7" ht="33.75" customHeight="1" x14ac:dyDescent="0.25">
      <c r="A29" s="48" t="s">
        <v>8</v>
      </c>
      <c r="B29" s="48"/>
      <c r="C29" s="48"/>
      <c r="D29" s="48"/>
    </row>
    <row r="30" spans="1:7" ht="51" customHeight="1" x14ac:dyDescent="0.25">
      <c r="A30" s="49" t="s">
        <v>9</v>
      </c>
      <c r="B30" s="49"/>
      <c r="C30" s="49"/>
      <c r="D30" s="49"/>
    </row>
    <row r="31" spans="1:7" ht="57" customHeight="1" x14ac:dyDescent="0.25">
      <c r="A31" s="49" t="s">
        <v>10</v>
      </c>
      <c r="B31" s="49"/>
      <c r="C31" s="49"/>
      <c r="D31" s="49"/>
    </row>
    <row r="32" spans="1:7" ht="25.5" customHeight="1" x14ac:dyDescent="0.25">
      <c r="A32" s="49" t="s">
        <v>11</v>
      </c>
      <c r="B32" s="49"/>
      <c r="C32" s="49"/>
      <c r="D32" s="49"/>
      <c r="E32" s="5"/>
    </row>
    <row r="33" spans="1:4" ht="72" customHeight="1" x14ac:dyDescent="0.25">
      <c r="A33" s="48" t="s">
        <v>12</v>
      </c>
      <c r="B33" s="48"/>
      <c r="C33" s="48"/>
      <c r="D33" s="48"/>
    </row>
    <row r="34" spans="1:4" ht="27.75" customHeight="1" x14ac:dyDescent="0.25">
      <c r="A34" s="48" t="s">
        <v>13</v>
      </c>
      <c r="B34" s="48"/>
      <c r="C34" s="48"/>
      <c r="D34" s="48"/>
    </row>
    <row r="35" spans="1:4" ht="61.5" customHeight="1" x14ac:dyDescent="0.25">
      <c r="A35" s="48" t="s">
        <v>14</v>
      </c>
      <c r="B35" s="48"/>
      <c r="C35" s="48"/>
      <c r="D35" s="48"/>
    </row>
    <row r="36" spans="1:4" ht="25.5" customHeight="1" x14ac:dyDescent="0.25">
      <c r="A36" s="48" t="s">
        <v>15</v>
      </c>
      <c r="B36" s="48"/>
      <c r="C36" s="48"/>
      <c r="D36" s="48"/>
    </row>
    <row r="37" spans="1:4" ht="68.25" customHeight="1" x14ac:dyDescent="0.25">
      <c r="A37" s="49" t="s">
        <v>16</v>
      </c>
      <c r="B37" s="49"/>
      <c r="C37" s="49"/>
      <c r="D37" s="49"/>
    </row>
    <row r="38" spans="1:4" ht="29.25" customHeight="1" x14ac:dyDescent="0.25">
      <c r="A38" s="48" t="s">
        <v>17</v>
      </c>
      <c r="B38" s="48"/>
      <c r="C38" s="48"/>
      <c r="D38" s="48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50" t="s">
        <v>31</v>
      </c>
      <c r="C40" s="50"/>
      <c r="D40" s="50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5"/>
  <sheetViews>
    <sheetView tabSelected="1" topLeftCell="A49" zoomScaleNormal="100" zoomScalePageLayoutView="50" workbookViewId="0">
      <selection activeCell="B54" sqref="B5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20"/>
      <c r="C9" s="20"/>
      <c r="D9" s="20"/>
      <c r="E9" s="20"/>
      <c r="F9" s="20"/>
    </row>
    <row r="10" spans="2:6" x14ac:dyDescent="0.25">
      <c r="B10" s="20"/>
      <c r="C10" s="20"/>
      <c r="D10" s="20"/>
      <c r="E10" s="20"/>
      <c r="F10" s="20"/>
    </row>
    <row r="11" spans="2:6" x14ac:dyDescent="0.25">
      <c r="B11" s="51" t="s">
        <v>57</v>
      </c>
      <c r="C11" s="51"/>
      <c r="D11" s="51"/>
      <c r="E11" s="51"/>
      <c r="F11" s="51"/>
    </row>
    <row r="12" spans="2:6" x14ac:dyDescent="0.25">
      <c r="B12" s="18"/>
      <c r="C12" s="26"/>
      <c r="D12" s="26"/>
      <c r="E12" s="26"/>
      <c r="F12" s="26"/>
    </row>
    <row r="13" spans="2:6" x14ac:dyDescent="0.25">
      <c r="B13" s="26"/>
      <c r="C13" s="26"/>
      <c r="D13" s="26"/>
      <c r="E13" s="26"/>
      <c r="F13" s="26"/>
    </row>
    <row r="14" spans="2:6" ht="26.25" customHeight="1" x14ac:dyDescent="0.25">
      <c r="B14" s="43" t="s">
        <v>53</v>
      </c>
      <c r="C14" s="1"/>
      <c r="D14" s="20"/>
      <c r="E14" s="20"/>
      <c r="F14" s="20"/>
    </row>
    <row r="15" spans="2:6" x14ac:dyDescent="0.25">
      <c r="B15" s="1" t="s">
        <v>0</v>
      </c>
      <c r="C15" s="1"/>
      <c r="D15" s="20"/>
      <c r="E15" s="20"/>
      <c r="F15" s="20"/>
    </row>
    <row r="16" spans="2:6" x14ac:dyDescent="0.25">
      <c r="B16" s="8" t="s">
        <v>51</v>
      </c>
      <c r="C16" s="1"/>
      <c r="D16" s="20"/>
      <c r="E16" s="20"/>
      <c r="F16" s="20"/>
    </row>
    <row r="17" spans="2:6" x14ac:dyDescent="0.25">
      <c r="B17" s="8"/>
      <c r="C17" s="1"/>
      <c r="D17" s="20"/>
      <c r="E17" s="20"/>
      <c r="F17" s="20"/>
    </row>
    <row r="18" spans="2:6" x14ac:dyDescent="0.25">
      <c r="B18" s="55" t="s">
        <v>58</v>
      </c>
      <c r="C18" s="55"/>
      <c r="D18" s="55"/>
      <c r="E18" s="55"/>
      <c r="F18" s="55"/>
    </row>
    <row r="19" spans="2:6" x14ac:dyDescent="0.25">
      <c r="B19" s="38"/>
      <c r="C19" s="38"/>
      <c r="D19" s="38"/>
      <c r="E19" s="38"/>
      <c r="F19" s="38"/>
    </row>
    <row r="20" spans="2:6" x14ac:dyDescent="0.25">
      <c r="B20" s="38"/>
      <c r="C20" s="38"/>
      <c r="D20" s="38"/>
      <c r="E20" s="38"/>
      <c r="F20" s="38"/>
    </row>
    <row r="21" spans="2:6" x14ac:dyDescent="0.25">
      <c r="B21" s="56" t="s">
        <v>59</v>
      </c>
      <c r="C21" s="56"/>
      <c r="D21" s="56"/>
      <c r="E21" s="56"/>
      <c r="F21" s="56"/>
    </row>
    <row r="22" spans="2:6" ht="12.75" customHeight="1" x14ac:dyDescent="0.25">
      <c r="B22" s="8" t="s">
        <v>60</v>
      </c>
      <c r="C22" s="8"/>
      <c r="D22" s="21"/>
      <c r="E22" s="21"/>
      <c r="F22" s="21"/>
    </row>
    <row r="23" spans="2:6" ht="12.75" customHeight="1" x14ac:dyDescent="0.25">
      <c r="B23" s="8"/>
      <c r="C23" s="8"/>
      <c r="D23" s="21"/>
      <c r="E23" s="21"/>
      <c r="F23" s="21"/>
    </row>
    <row r="24" spans="2:6" ht="12.75" customHeight="1" x14ac:dyDescent="0.25">
      <c r="B24" s="8"/>
      <c r="C24" s="8"/>
      <c r="D24" s="21"/>
      <c r="E24" s="21"/>
      <c r="F24" s="21"/>
    </row>
    <row r="25" spans="2:6" ht="13.5" customHeight="1" x14ac:dyDescent="0.25">
      <c r="B25" s="9" t="s">
        <v>2</v>
      </c>
      <c r="C25" s="9"/>
      <c r="D25" s="21"/>
      <c r="E25" s="21"/>
      <c r="F25" s="21"/>
    </row>
    <row r="26" spans="2:6" ht="18" customHeight="1" x14ac:dyDescent="0.25">
      <c r="B26" s="57" t="s">
        <v>49</v>
      </c>
      <c r="C26" s="57"/>
      <c r="D26" s="57"/>
      <c r="E26" s="57"/>
      <c r="F26" s="57"/>
    </row>
    <row r="27" spans="2:6" ht="18" customHeight="1" x14ac:dyDescent="0.25">
      <c r="B27" s="34"/>
      <c r="C27" s="34"/>
      <c r="D27" s="34"/>
      <c r="E27" s="34"/>
      <c r="F27" s="34"/>
    </row>
    <row r="28" spans="2:6" ht="18" customHeight="1" x14ac:dyDescent="0.25">
      <c r="B28" s="34"/>
      <c r="C28" s="34"/>
      <c r="D28" s="34"/>
      <c r="E28" s="34"/>
      <c r="F28" s="34"/>
    </row>
    <row r="29" spans="2:6" x14ac:dyDescent="0.25">
      <c r="B29" s="8" t="s">
        <v>21</v>
      </c>
      <c r="C29" s="8"/>
      <c r="D29" s="18" t="s">
        <v>19</v>
      </c>
      <c r="E29" s="18" t="s">
        <v>25</v>
      </c>
      <c r="F29" s="17" t="s">
        <v>20</v>
      </c>
    </row>
    <row r="30" spans="2:6" x14ac:dyDescent="0.25">
      <c r="B30" s="7"/>
      <c r="C30" s="8"/>
      <c r="D30" s="17"/>
      <c r="E30" s="17"/>
      <c r="F30" s="17"/>
    </row>
    <row r="31" spans="2:6" x14ac:dyDescent="0.25">
      <c r="B31" s="41" t="s">
        <v>54</v>
      </c>
      <c r="C31" s="40" t="s">
        <v>46</v>
      </c>
      <c r="D31" s="39">
        <v>5</v>
      </c>
      <c r="E31" s="42">
        <v>1028.18</v>
      </c>
      <c r="F31" s="42">
        <f>D31*E31</f>
        <v>5140.9000000000005</v>
      </c>
    </row>
    <row r="32" spans="2:6" x14ac:dyDescent="0.25">
      <c r="B32" s="41" t="s">
        <v>55</v>
      </c>
      <c r="C32" s="40" t="s">
        <v>46</v>
      </c>
      <c r="D32" s="39">
        <v>7</v>
      </c>
      <c r="E32" s="42">
        <v>4797.13</v>
      </c>
      <c r="F32" s="42">
        <f t="shared" ref="F32:F33" si="0">D32*E32</f>
        <v>33579.910000000003</v>
      </c>
    </row>
    <row r="33" spans="2:6" x14ac:dyDescent="0.25">
      <c r="B33" s="41" t="s">
        <v>56</v>
      </c>
      <c r="C33" s="40" t="s">
        <v>46</v>
      </c>
      <c r="D33" s="39">
        <v>2</v>
      </c>
      <c r="E33" s="42">
        <v>5023.57</v>
      </c>
      <c r="F33" s="42">
        <f t="shared" si="0"/>
        <v>10047.14</v>
      </c>
    </row>
    <row r="34" spans="2:6" x14ac:dyDescent="0.25">
      <c r="B34" s="41"/>
      <c r="C34" s="40"/>
      <c r="D34" s="39"/>
      <c r="E34" s="42"/>
      <c r="F34" s="42"/>
    </row>
    <row r="35" spans="2:6" x14ac:dyDescent="0.25">
      <c r="B35" s="41"/>
      <c r="C35" s="40"/>
      <c r="D35" s="39"/>
      <c r="E35" s="42"/>
      <c r="F35" s="42"/>
    </row>
    <row r="36" spans="2:6" x14ac:dyDescent="0.25">
      <c r="B36" s="4"/>
      <c r="C36" s="4"/>
      <c r="D36" s="16"/>
      <c r="E36" s="4" t="s">
        <v>3</v>
      </c>
      <c r="F36" s="11">
        <f>F31+F32+F33</f>
        <v>48767.950000000004</v>
      </c>
    </row>
    <row r="37" spans="2:6" x14ac:dyDescent="0.25">
      <c r="B37" s="4"/>
      <c r="C37" s="4"/>
      <c r="D37" s="16"/>
      <c r="E37" s="4" t="s">
        <v>44</v>
      </c>
      <c r="F37" s="11">
        <f>F36*16%</f>
        <v>7802.8720000000012</v>
      </c>
    </row>
    <row r="38" spans="2:6" x14ac:dyDescent="0.25">
      <c r="B38" s="4"/>
      <c r="C38" s="4"/>
      <c r="D38" s="16"/>
      <c r="E38" s="4" t="s">
        <v>45</v>
      </c>
      <c r="F38" s="11">
        <f>F36+F37</f>
        <v>56570.822000000007</v>
      </c>
    </row>
    <row r="39" spans="2:6" x14ac:dyDescent="0.25">
      <c r="B39" s="4"/>
      <c r="C39" s="4"/>
      <c r="D39" s="16"/>
      <c r="E39" s="4"/>
      <c r="F39" s="11"/>
    </row>
    <row r="40" spans="2:6" x14ac:dyDescent="0.25">
      <c r="B40" s="4"/>
      <c r="C40" s="4"/>
      <c r="D40" s="16"/>
      <c r="E40" s="4"/>
      <c r="F40" s="11"/>
    </row>
    <row r="41" spans="2:6" x14ac:dyDescent="0.25">
      <c r="B41" s="54" t="s">
        <v>23</v>
      </c>
      <c r="C41" s="58"/>
      <c r="D41" s="58"/>
      <c r="E41" s="58"/>
      <c r="F41" s="58"/>
    </row>
    <row r="42" spans="2:6" ht="27.75" customHeight="1" x14ac:dyDescent="0.25">
      <c r="B42" s="57" t="s">
        <v>26</v>
      </c>
      <c r="C42" s="57"/>
      <c r="D42" s="57"/>
      <c r="E42" s="57"/>
      <c r="F42" s="57"/>
    </row>
    <row r="43" spans="2:6" ht="17.25" customHeight="1" x14ac:dyDescent="0.25">
      <c r="B43" s="57" t="s">
        <v>27</v>
      </c>
      <c r="C43" s="57"/>
      <c r="D43" s="57"/>
      <c r="E43" s="57"/>
      <c r="F43" s="57"/>
    </row>
    <row r="44" spans="2:6" ht="15" customHeight="1" x14ac:dyDescent="0.25">
      <c r="B44" s="57" t="s">
        <v>28</v>
      </c>
      <c r="C44" s="57"/>
      <c r="D44" s="57"/>
      <c r="E44" s="57"/>
      <c r="F44" s="57"/>
    </row>
    <row r="45" spans="2:6" ht="18" customHeight="1" x14ac:dyDescent="0.25">
      <c r="B45" s="57" t="s">
        <v>29</v>
      </c>
      <c r="C45" s="57"/>
      <c r="D45" s="57"/>
      <c r="E45" s="57"/>
      <c r="F45" s="57"/>
    </row>
    <row r="46" spans="2:6" ht="96.75" customHeight="1" x14ac:dyDescent="0.25">
      <c r="B46" s="57" t="s">
        <v>30</v>
      </c>
      <c r="C46" s="57"/>
      <c r="D46" s="57"/>
      <c r="E46" s="57"/>
      <c r="F46" s="57"/>
    </row>
    <row r="47" spans="2:6" ht="14.25" customHeight="1" x14ac:dyDescent="0.25">
      <c r="B47" s="34"/>
      <c r="C47" s="34"/>
      <c r="D47" s="34"/>
      <c r="E47" s="34"/>
      <c r="F47" s="34"/>
    </row>
    <row r="48" spans="2:6" ht="14.25" customHeight="1" x14ac:dyDescent="0.25">
      <c r="B48" s="34"/>
      <c r="C48" s="34"/>
      <c r="D48" s="34"/>
      <c r="E48" s="34"/>
      <c r="F48" s="34"/>
    </row>
    <row r="49" spans="2:15" x14ac:dyDescent="0.25">
      <c r="B49" s="20"/>
      <c r="C49" s="20"/>
      <c r="D49" s="20"/>
      <c r="E49" s="20"/>
      <c r="F49" s="20"/>
      <c r="H49" s="14"/>
    </row>
    <row r="50" spans="2:15" x14ac:dyDescent="0.25">
      <c r="B50" s="18" t="s">
        <v>48</v>
      </c>
      <c r="C50" s="37"/>
      <c r="D50" s="61" t="s">
        <v>47</v>
      </c>
      <c r="E50" s="61"/>
      <c r="F50" s="61"/>
    </row>
    <row r="51" spans="2:15" x14ac:dyDescent="0.25">
      <c r="B51" s="9"/>
      <c r="C51" s="9"/>
      <c r="D51" s="21"/>
      <c r="E51" s="21"/>
      <c r="F51" s="21"/>
    </row>
    <row r="52" spans="2:15" x14ac:dyDescent="0.25">
      <c r="B52" s="9"/>
      <c r="C52" s="9"/>
      <c r="D52" s="21"/>
      <c r="E52" s="21"/>
      <c r="F52" s="21"/>
    </row>
    <row r="53" spans="2:15" x14ac:dyDescent="0.25">
      <c r="B53" s="12" t="s">
        <v>50</v>
      </c>
      <c r="C53" s="12"/>
      <c r="D53" s="12"/>
      <c r="E53" s="12"/>
      <c r="F53" s="12"/>
    </row>
    <row r="54" spans="2:15" ht="15" customHeight="1" x14ac:dyDescent="0.25">
      <c r="B54" s="36" t="s">
        <v>61</v>
      </c>
      <c r="C54" s="62" t="s">
        <v>52</v>
      </c>
      <c r="D54" s="63"/>
      <c r="E54" s="63"/>
      <c r="F54" s="63"/>
      <c r="G54" s="63"/>
    </row>
    <row r="55" spans="2:15" x14ac:dyDescent="0.25">
      <c r="B55" s="23"/>
      <c r="C55" s="35"/>
      <c r="D55" s="35"/>
      <c r="E55" s="35"/>
      <c r="F55" s="35"/>
    </row>
    <row r="56" spans="2:15" x14ac:dyDescent="0.25">
      <c r="B56" s="23"/>
      <c r="C56" s="35"/>
      <c r="D56" s="35"/>
      <c r="E56" s="35"/>
      <c r="F56" s="35"/>
    </row>
    <row r="57" spans="2:15" x14ac:dyDescent="0.25">
      <c r="B57" s="13"/>
      <c r="C57" s="13"/>
      <c r="D57" s="21"/>
      <c r="E57" s="21"/>
      <c r="F57" s="21"/>
    </row>
    <row r="58" spans="2:15" x14ac:dyDescent="0.25">
      <c r="B58" s="59" t="s">
        <v>24</v>
      </c>
      <c r="C58" s="59"/>
      <c r="D58" s="60"/>
      <c r="E58" s="60"/>
      <c r="F58" s="60"/>
      <c r="G58" s="19"/>
      <c r="H58" s="19"/>
      <c r="I58" s="19"/>
      <c r="J58" s="19"/>
      <c r="K58" s="19"/>
      <c r="L58" s="19"/>
      <c r="M58" s="19"/>
      <c r="N58" s="19"/>
      <c r="O58" s="19"/>
    </row>
    <row r="59" spans="2:15" x14ac:dyDescent="0.25">
      <c r="B59" s="60"/>
      <c r="C59" s="60"/>
      <c r="D59" s="60"/>
      <c r="E59" s="60"/>
      <c r="F59" s="60"/>
      <c r="G59" s="19"/>
      <c r="H59" s="19"/>
      <c r="I59" s="19"/>
      <c r="J59" s="19"/>
      <c r="K59" s="19"/>
      <c r="L59" s="19"/>
      <c r="M59" s="19"/>
      <c r="N59" s="19"/>
      <c r="O59" s="19"/>
    </row>
    <row r="60" spans="2:15" ht="4.5" customHeight="1" x14ac:dyDescent="0.25">
      <c r="B60" s="60"/>
      <c r="C60" s="60"/>
      <c r="D60" s="60"/>
      <c r="E60" s="60"/>
      <c r="F60" s="60"/>
      <c r="G60" s="19"/>
      <c r="H60" s="19"/>
      <c r="I60" s="19"/>
      <c r="J60" s="19"/>
      <c r="K60" s="19"/>
      <c r="L60" s="19"/>
      <c r="M60" s="19"/>
      <c r="N60" s="19"/>
      <c r="O60" s="19"/>
    </row>
    <row r="61" spans="2:15" hidden="1" x14ac:dyDescent="0.25">
      <c r="B61" s="60"/>
      <c r="C61" s="60"/>
      <c r="D61" s="60"/>
      <c r="E61" s="60"/>
      <c r="F61" s="60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  <row r="64" spans="2:15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</row>
    <row r="65" spans="2:15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</row>
  </sheetData>
  <mergeCells count="13">
    <mergeCell ref="B58:F61"/>
    <mergeCell ref="D50:F50"/>
    <mergeCell ref="B42:F42"/>
    <mergeCell ref="B43:F43"/>
    <mergeCell ref="B44:F44"/>
    <mergeCell ref="B45:F45"/>
    <mergeCell ref="C54:G54"/>
    <mergeCell ref="B11:F11"/>
    <mergeCell ref="B18:F18"/>
    <mergeCell ref="B21:F21"/>
    <mergeCell ref="B26:F26"/>
    <mergeCell ref="B46:F46"/>
    <mergeCell ref="B41:F41"/>
  </mergeCells>
  <pageMargins left="0.7" right="0.7" top="0.75" bottom="0.75" header="0.3" footer="0.3"/>
  <pageSetup paperSize="9" scale="75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2026-01-09T23:30:40Z</cp:lastPrinted>
  <dcterms:created xsi:type="dcterms:W3CDTF">2020-12-14T19:54:01Z</dcterms:created>
  <dcterms:modified xsi:type="dcterms:W3CDTF">2026-01-09T23:49:22Z</dcterms:modified>
</cp:coreProperties>
</file>