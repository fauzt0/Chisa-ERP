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F86E099-F1CC-416E-BE2F-45F1E5904059}" xr6:coauthVersionLast="47" xr6:coauthVersionMax="47" xr10:uidLastSave="{00000000-0000-0000-0000-000000000000}"/>
  <bookViews>
    <workbookView xWindow="-120" yWindow="-120" windowWidth="20730" windowHeight="11160" xr2:uid="{FA4C4DB4-D15E-4CC4-BDD3-0F0213DEAF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7" i="1" l="1"/>
  <c r="C101" i="1"/>
  <c r="F72" i="1"/>
  <c r="F71" i="1"/>
  <c r="F70" i="1"/>
  <c r="F69" i="1"/>
  <c r="F68" i="1"/>
  <c r="F53" i="1"/>
  <c r="F52" i="1"/>
  <c r="F51" i="1"/>
  <c r="F50" i="1"/>
  <c r="F49" i="1"/>
  <c r="F34" i="1"/>
  <c r="F33" i="1"/>
  <c r="F32" i="1"/>
  <c r="F31" i="1"/>
  <c r="F30" i="1"/>
  <c r="F16" i="1"/>
  <c r="F15" i="1"/>
  <c r="F14" i="1"/>
  <c r="F13" i="1"/>
  <c r="F12" i="1"/>
  <c r="F67" i="1" l="1"/>
  <c r="F66" i="1"/>
  <c r="F65" i="1"/>
  <c r="F64" i="1"/>
  <c r="F63" i="1"/>
  <c r="F62" i="1"/>
  <c r="F48" i="1"/>
  <c r="F47" i="1"/>
  <c r="F46" i="1"/>
  <c r="F45" i="1"/>
  <c r="F44" i="1"/>
  <c r="F43" i="1"/>
  <c r="F29" i="1"/>
  <c r="F28" i="1"/>
  <c r="F27" i="1"/>
  <c r="F26" i="1"/>
  <c r="F25" i="1"/>
  <c r="F24" i="1"/>
  <c r="F11" i="1"/>
  <c r="F10" i="1"/>
  <c r="F9" i="1"/>
  <c r="F8" i="1"/>
  <c r="F7" i="1"/>
  <c r="F6" i="1"/>
  <c r="F37" i="1" l="1"/>
  <c r="F18" i="1"/>
  <c r="F55" i="1"/>
  <c r="F73" i="1"/>
</calcChain>
</file>

<file path=xl/sharedStrings.xml><?xml version="1.0" encoding="utf-8"?>
<sst xmlns="http://schemas.openxmlformats.org/spreadsheetml/2006/main" count="120" uniqueCount="28">
  <si>
    <t>SUMINISTRO PARA 100 M2</t>
  </si>
  <si>
    <t>CONCEPTO</t>
  </si>
  <si>
    <t>CANTIDAD</t>
  </si>
  <si>
    <t>IMPORTE</t>
  </si>
  <si>
    <t>CUBETAS</t>
  </si>
  <si>
    <r>
      <t xml:space="preserve">PRECIO  U.                </t>
    </r>
    <r>
      <rPr>
        <sz val="12"/>
        <color theme="1"/>
        <rFont val="Times New Roman"/>
        <family val="1"/>
      </rPr>
      <t xml:space="preserve">       </t>
    </r>
  </si>
  <si>
    <t>1.- MORTERO PLASTICO MALLA 350-400 (REND. 16-18M2)</t>
  </si>
  <si>
    <t>2.- ARENA SILICA (REND. 22-25M2)</t>
  </si>
  <si>
    <t xml:space="preserve">3.- SELLADOR INICIAL  (REND. 90M2) </t>
  </si>
  <si>
    <t xml:space="preserve">4.- PRAIMER GLASS REF. S.M.A (REND. 85M2) </t>
  </si>
  <si>
    <t>5.- CHISA GLASS REF. S.M.A (REND. 55-60M2)</t>
  </si>
  <si>
    <t>6.- VITROGLASS REF. S.M.A (REND. 180-190M2)</t>
  </si>
  <si>
    <t>SUMINISTRO PARA 250 M2</t>
  </si>
  <si>
    <t>SUMINISTRO PARA 500 M2</t>
  </si>
  <si>
    <t>SUMINISTRO PARA 750 M2</t>
  </si>
  <si>
    <t>PASAJE</t>
  </si>
  <si>
    <t>SUELDO</t>
  </si>
  <si>
    <t>ENVIO</t>
  </si>
  <si>
    <t>HOSPEDAJE</t>
  </si>
  <si>
    <t>VIATICOS SEMANALES (ISLAS MUJERES)</t>
  </si>
  <si>
    <t xml:space="preserve">COMIDAS </t>
  </si>
  <si>
    <t>VIATICOS SEMANALES (ENSENADA)</t>
  </si>
  <si>
    <t>7.- RODILLO DE FELPA (REND 250M2)</t>
  </si>
  <si>
    <t>PZAS</t>
  </si>
  <si>
    <t>8.- BROCHA PARA APLICACIÓN (REND. 350M2)</t>
  </si>
  <si>
    <t>9.- LIJA MEDIANA No. 80 (REND. 20M2)</t>
  </si>
  <si>
    <t>10.- PAPEL PARA PROTECCIÓN (REND. 250M2)</t>
  </si>
  <si>
    <t>11.- MASKING TAPE PARA PROTECCIÓN (REND. 12.5M2)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</si>
</sst>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  <numFmt numFmtId="172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167" fontId="2" fillId="0" borderId="0" xfId="0" applyNumberFormat="1" applyFont="1" applyAlignment="1">
      <alignment horizontal="right" vertical="center"/>
    </xf>
    <xf numFmtId="0" fontId="8" fillId="0" borderId="0" xfId="0" applyFont="1"/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7" fontId="0" fillId="0" borderId="0" xfId="0" applyNumberFormat="1"/>
    <xf numFmtId="172" fontId="2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7" fontId="2" fillId="0" borderId="0" xfId="0" applyNumberFormat="1" applyFont="1" applyAlignment="1">
      <alignment horizontal="right" vertical="center"/>
    </xf>
    <xf numFmtId="172" fontId="0" fillId="0" borderId="0" xfId="0" applyNumberForma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7" fontId="2" fillId="0" borderId="0" xfId="0" applyNumberFormat="1" applyFont="1" applyAlignment="1">
      <alignment horizontal="right" vertical="center"/>
    </xf>
  </cellXfs>
  <cellStyles count="30">
    <cellStyle name="Moneda" xfId="1" builtinId="4"/>
    <cellStyle name="Moneda 2" xfId="4" xr:uid="{5417AB6D-338A-4646-AB29-185FD10D6267}"/>
    <cellStyle name="Moneda 2 2" xfId="7" xr:uid="{18527A2C-BE10-45F8-962A-8222095E714F}"/>
    <cellStyle name="Moneda 2 2 2" xfId="14" xr:uid="{60B08306-746B-4898-A2CB-0BB756B804E9}"/>
    <cellStyle name="Moneda 2 2 3" xfId="22" xr:uid="{4D355A16-03FD-421D-83A8-E0D53FEC88AC}"/>
    <cellStyle name="Moneda 2 2 4" xfId="29" xr:uid="{9EEE67A6-EEE3-431D-BC1C-6910BF27FF40}"/>
    <cellStyle name="Moneda 2 3" xfId="11" xr:uid="{D64B3C4A-7898-4AE3-A9CE-6979BCC54FF2}"/>
    <cellStyle name="Moneda 2 4" xfId="17" xr:uid="{D4D655A1-D6BE-492B-B178-391C6D9F1EB5}"/>
    <cellStyle name="Moneda 2 5" xfId="19" xr:uid="{E01922D8-C2B5-4A11-A3C0-1A2DC2B930C2}"/>
    <cellStyle name="Moneda 2 6" xfId="25" xr:uid="{26129DEC-DCD1-4AD4-B1ED-27D3F9E17BBE}"/>
    <cellStyle name="Moneda 3" xfId="3" xr:uid="{178BCF51-E2C2-4BCA-ABBF-38A09CB4342B}"/>
    <cellStyle name="Moneda 3 2" xfId="6" xr:uid="{A8045031-6621-4500-88AF-4C973FA1DD40}"/>
    <cellStyle name="Moneda 3 2 2" xfId="13" xr:uid="{2BB0AC05-EFA8-471C-B484-FD4C0F4E21D9}"/>
    <cellStyle name="Moneda 3 2 3" xfId="21" xr:uid="{B3910C72-4E4A-4FA8-9965-D17CBB602ABA}"/>
    <cellStyle name="Moneda 3 2 4" xfId="28" xr:uid="{FAB1CFA2-99FD-4649-97DB-FF7CF38652EF}"/>
    <cellStyle name="Moneda 3 3" xfId="10" xr:uid="{537989FC-439F-4FF3-A67A-1CFE21B27160}"/>
    <cellStyle name="Moneda 3 4" xfId="18" xr:uid="{DDB1C8D3-CBF0-4A9D-9564-AB3D81143F40}"/>
    <cellStyle name="Moneda 3 5" xfId="24" xr:uid="{55CC65F6-A786-4FF9-B2C1-87D536D24C8B}"/>
    <cellStyle name="Moneda 4" xfId="5" xr:uid="{5E6457B2-1B7C-4BF3-99C6-E2CF2408DE9D}"/>
    <cellStyle name="Moneda 4 2" xfId="12" xr:uid="{B7A8380F-9546-4F14-8174-8DE777335FBE}"/>
    <cellStyle name="Moneda 4 3" xfId="20" xr:uid="{9BCDC040-40A3-4168-ABB3-A6E0E605C926}"/>
    <cellStyle name="Moneda 4 4" xfId="26" xr:uid="{7854F586-2868-47CA-AC3A-09967F51232C}"/>
    <cellStyle name="Moneda 5" xfId="8" xr:uid="{3C642349-ADCD-45E8-AF5E-ED6280660EFC}"/>
    <cellStyle name="Moneda 5 2" xfId="15" xr:uid="{6F9DE12B-8F6D-4081-9E49-7C55C38303B1}"/>
    <cellStyle name="Moneda 5 3" xfId="27" xr:uid="{E29A2C97-8E21-4EBC-9C27-A02103A3D72D}"/>
    <cellStyle name="Moneda 6" xfId="9" xr:uid="{27EC7A0A-6888-4D19-B067-1E571DE950B9}"/>
    <cellStyle name="Moneda 7" xfId="16" xr:uid="{8CBF1C12-8578-418C-90C8-49BCDCE48ED1}"/>
    <cellStyle name="Moneda 8" xfId="2" xr:uid="{A268DD5F-3A2E-4BF8-ACD0-7E12808E3066}"/>
    <cellStyle name="Moneda 9" xfId="23" xr:uid="{0D73D130-A94C-4135-B5F4-9EC2CA58DF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041B-A2CD-452C-BDE8-B2D545B8AC5A}">
  <dimension ref="B2:F101"/>
  <sheetViews>
    <sheetView tabSelected="1" topLeftCell="A46" workbookViewId="0">
      <selection activeCell="A56" sqref="A56:XFD56"/>
    </sheetView>
  </sheetViews>
  <sheetFormatPr baseColWidth="10" defaultRowHeight="15" x14ac:dyDescent="0.25"/>
  <cols>
    <col min="1" max="1" width="3" customWidth="1"/>
    <col min="2" max="2" width="44.28515625" customWidth="1"/>
    <col min="3" max="3" width="11.5703125" customWidth="1"/>
    <col min="4" max="4" width="9" customWidth="1"/>
    <col min="5" max="5" width="11.5703125" customWidth="1"/>
    <col min="6" max="6" width="12.5703125" customWidth="1"/>
  </cols>
  <sheetData>
    <row r="2" spans="2:6" ht="23.25" customHeight="1" x14ac:dyDescent="0.4">
      <c r="B2" s="10" t="s">
        <v>0</v>
      </c>
    </row>
    <row r="4" spans="2:6" ht="12.75" customHeight="1" x14ac:dyDescent="0.25">
      <c r="B4" s="1" t="s">
        <v>1</v>
      </c>
      <c r="C4" s="1"/>
      <c r="D4" s="15" t="s">
        <v>2</v>
      </c>
      <c r="E4" s="1" t="s">
        <v>5</v>
      </c>
      <c r="F4" s="1" t="s">
        <v>3</v>
      </c>
    </row>
    <row r="5" spans="2:6" x14ac:dyDescent="0.25">
      <c r="B5" s="4"/>
      <c r="C5" s="5"/>
      <c r="D5" s="6"/>
      <c r="E5" s="6"/>
      <c r="F5" s="6"/>
    </row>
    <row r="6" spans="2:6" s="2" customFormat="1" ht="25.5" customHeight="1" x14ac:dyDescent="0.25">
      <c r="B6" s="11" t="s">
        <v>6</v>
      </c>
      <c r="C6" s="12" t="s">
        <v>4</v>
      </c>
      <c r="D6" s="12">
        <v>1</v>
      </c>
      <c r="E6" s="13">
        <v>1205.56</v>
      </c>
      <c r="F6" s="13">
        <f>E6*D6</f>
        <v>1205.56</v>
      </c>
    </row>
    <row r="7" spans="2:6" s="2" customFormat="1" ht="19.5" customHeight="1" x14ac:dyDescent="0.25">
      <c r="B7" s="31" t="s">
        <v>7</v>
      </c>
      <c r="C7" s="28" t="s">
        <v>4</v>
      </c>
      <c r="D7" s="29">
        <v>1</v>
      </c>
      <c r="E7" s="32">
        <v>1188.6400000000001</v>
      </c>
      <c r="F7" s="32">
        <f t="shared" ref="F7:F16" si="0">E7*D7</f>
        <v>1188.6400000000001</v>
      </c>
    </row>
    <row r="8" spans="2:6" s="2" customFormat="1" ht="19.5" customHeight="1" x14ac:dyDescent="0.25">
      <c r="B8" s="20" t="s">
        <v>8</v>
      </c>
      <c r="C8" s="19" t="s">
        <v>4</v>
      </c>
      <c r="D8" s="18">
        <v>1</v>
      </c>
      <c r="E8" s="21">
        <v>907.37</v>
      </c>
      <c r="F8" s="32">
        <f t="shared" si="0"/>
        <v>907.37</v>
      </c>
    </row>
    <row r="9" spans="2:6" ht="19.5" customHeight="1" x14ac:dyDescent="0.25">
      <c r="B9" s="8" t="s">
        <v>9</v>
      </c>
      <c r="C9" s="3" t="s">
        <v>4</v>
      </c>
      <c r="D9" s="7">
        <v>1</v>
      </c>
      <c r="E9" s="9">
        <v>1028.18</v>
      </c>
      <c r="F9" s="32">
        <f t="shared" si="0"/>
        <v>1028.18</v>
      </c>
    </row>
    <row r="10" spans="2:6" ht="19.5" customHeight="1" x14ac:dyDescent="0.25">
      <c r="B10" s="8" t="s">
        <v>10</v>
      </c>
      <c r="C10" s="3" t="s">
        <v>4</v>
      </c>
      <c r="D10" s="7">
        <v>2</v>
      </c>
      <c r="E10" s="9">
        <v>4797.13</v>
      </c>
      <c r="F10" s="32">
        <f t="shared" si="0"/>
        <v>9594.26</v>
      </c>
    </row>
    <row r="11" spans="2:6" ht="19.5" customHeight="1" x14ac:dyDescent="0.25">
      <c r="B11" s="8" t="s">
        <v>11</v>
      </c>
      <c r="C11" s="3" t="s">
        <v>4</v>
      </c>
      <c r="D11" s="7">
        <v>1</v>
      </c>
      <c r="E11" s="9">
        <v>5023.57</v>
      </c>
      <c r="F11" s="32">
        <f t="shared" si="0"/>
        <v>5023.57</v>
      </c>
    </row>
    <row r="12" spans="2:6" s="23" customFormat="1" ht="19.5" customHeight="1" x14ac:dyDescent="0.25">
      <c r="B12" s="31" t="s">
        <v>22</v>
      </c>
      <c r="C12" s="24" t="s">
        <v>23</v>
      </c>
      <c r="D12" s="29">
        <v>1</v>
      </c>
      <c r="E12" s="17">
        <v>76.400000000000006</v>
      </c>
      <c r="F12" s="32">
        <f t="shared" si="0"/>
        <v>76.400000000000006</v>
      </c>
    </row>
    <row r="13" spans="2:6" s="23" customFormat="1" ht="19.5" customHeight="1" x14ac:dyDescent="0.25">
      <c r="B13" s="31" t="s">
        <v>24</v>
      </c>
      <c r="C13" s="24" t="s">
        <v>23</v>
      </c>
      <c r="D13" s="14">
        <v>1</v>
      </c>
      <c r="E13" s="17">
        <v>64.2</v>
      </c>
      <c r="F13" s="32">
        <f t="shared" si="0"/>
        <v>64.2</v>
      </c>
    </row>
    <row r="14" spans="2:6" s="23" customFormat="1" ht="19.5" customHeight="1" x14ac:dyDescent="0.25">
      <c r="B14" s="31" t="s">
        <v>25</v>
      </c>
      <c r="C14" s="24" t="s">
        <v>23</v>
      </c>
      <c r="D14" s="14">
        <v>10</v>
      </c>
      <c r="E14" s="17">
        <v>19.3</v>
      </c>
      <c r="F14" s="32">
        <f t="shared" si="0"/>
        <v>193</v>
      </c>
    </row>
    <row r="15" spans="2:6" s="23" customFormat="1" ht="19.5" customHeight="1" x14ac:dyDescent="0.25">
      <c r="B15" s="31" t="s">
        <v>26</v>
      </c>
      <c r="C15" s="24" t="s">
        <v>23</v>
      </c>
      <c r="D15" s="14">
        <v>1</v>
      </c>
      <c r="E15" s="17">
        <v>740.33</v>
      </c>
      <c r="F15" s="32">
        <f t="shared" si="0"/>
        <v>740.33</v>
      </c>
    </row>
    <row r="16" spans="2:6" s="23" customFormat="1" ht="19.5" customHeight="1" x14ac:dyDescent="0.25">
      <c r="B16" s="31" t="s">
        <v>27</v>
      </c>
      <c r="C16" s="24" t="s">
        <v>23</v>
      </c>
      <c r="D16" s="14">
        <v>4</v>
      </c>
      <c r="E16" s="17">
        <v>18.2</v>
      </c>
      <c r="F16" s="32">
        <f t="shared" si="0"/>
        <v>72.8</v>
      </c>
    </row>
    <row r="17" spans="2:6" s="23" customFormat="1" ht="19.5" customHeight="1" x14ac:dyDescent="0.25">
      <c r="B17" s="31"/>
      <c r="C17" s="24"/>
      <c r="D17" s="14"/>
      <c r="E17" s="17"/>
      <c r="F17" s="32"/>
    </row>
    <row r="18" spans="2:6" x14ac:dyDescent="0.25">
      <c r="F18" s="16">
        <f>SUM(F6:F16)</f>
        <v>20094.310000000005</v>
      </c>
    </row>
    <row r="19" spans="2:6" s="23" customFormat="1" x14ac:dyDescent="0.25">
      <c r="F19" s="16"/>
    </row>
    <row r="20" spans="2:6" ht="26.25" x14ac:dyDescent="0.4">
      <c r="B20" s="10" t="s">
        <v>12</v>
      </c>
      <c r="C20" s="23"/>
      <c r="D20" s="23"/>
      <c r="E20" s="23"/>
      <c r="F20" s="23"/>
    </row>
    <row r="21" spans="2:6" x14ac:dyDescent="0.25">
      <c r="B21" s="23"/>
      <c r="C21" s="23"/>
      <c r="D21" s="23"/>
      <c r="E21" s="23"/>
      <c r="F21" s="23"/>
    </row>
    <row r="22" spans="2:6" ht="15.75" x14ac:dyDescent="0.25">
      <c r="B22" s="1" t="s">
        <v>1</v>
      </c>
      <c r="C22" s="1"/>
      <c r="D22" s="15" t="s">
        <v>2</v>
      </c>
      <c r="E22" s="1" t="s">
        <v>5</v>
      </c>
      <c r="F22" s="1" t="s">
        <v>3</v>
      </c>
    </row>
    <row r="23" spans="2:6" x14ac:dyDescent="0.25">
      <c r="B23" s="25"/>
      <c r="C23" s="26"/>
      <c r="D23" s="27"/>
      <c r="E23" s="27"/>
      <c r="F23" s="27"/>
    </row>
    <row r="24" spans="2:6" ht="26.25" customHeight="1" x14ac:dyDescent="0.25">
      <c r="B24" s="25" t="s">
        <v>6</v>
      </c>
      <c r="C24" s="28" t="s">
        <v>4</v>
      </c>
      <c r="D24" s="28">
        <v>1</v>
      </c>
      <c r="E24" s="32">
        <v>1205.56</v>
      </c>
      <c r="F24" s="32">
        <f t="shared" ref="F24:F34" si="1">E24*D24</f>
        <v>1205.56</v>
      </c>
    </row>
    <row r="25" spans="2:6" ht="19.5" customHeight="1" x14ac:dyDescent="0.25">
      <c r="B25" s="31" t="s">
        <v>7</v>
      </c>
      <c r="C25" s="28" t="s">
        <v>4</v>
      </c>
      <c r="D25" s="29">
        <v>1</v>
      </c>
      <c r="E25" s="32">
        <v>1188.6400000000001</v>
      </c>
      <c r="F25" s="32">
        <f t="shared" si="1"/>
        <v>1188.6400000000001</v>
      </c>
    </row>
    <row r="26" spans="2:6" ht="19.5" customHeight="1" x14ac:dyDescent="0.25">
      <c r="B26" s="31" t="s">
        <v>8</v>
      </c>
      <c r="C26" s="30" t="s">
        <v>4</v>
      </c>
      <c r="D26" s="29">
        <v>3</v>
      </c>
      <c r="E26" s="32">
        <v>907.37</v>
      </c>
      <c r="F26" s="32">
        <f t="shared" si="1"/>
        <v>2722.11</v>
      </c>
    </row>
    <row r="27" spans="2:6" ht="19.5" customHeight="1" x14ac:dyDescent="0.25">
      <c r="B27" s="31" t="s">
        <v>9</v>
      </c>
      <c r="C27" s="24" t="s">
        <v>4</v>
      </c>
      <c r="D27" s="28">
        <v>3</v>
      </c>
      <c r="E27" s="32">
        <v>1028.18</v>
      </c>
      <c r="F27" s="32">
        <f t="shared" si="1"/>
        <v>3084.54</v>
      </c>
    </row>
    <row r="28" spans="2:6" ht="19.5" customHeight="1" x14ac:dyDescent="0.25">
      <c r="B28" s="31" t="s">
        <v>10</v>
      </c>
      <c r="C28" s="24" t="s">
        <v>4</v>
      </c>
      <c r="D28" s="28">
        <v>5</v>
      </c>
      <c r="E28" s="32">
        <v>4797.13</v>
      </c>
      <c r="F28" s="32">
        <f t="shared" si="1"/>
        <v>23985.65</v>
      </c>
    </row>
    <row r="29" spans="2:6" ht="19.5" customHeight="1" x14ac:dyDescent="0.25">
      <c r="B29" s="31" t="s">
        <v>11</v>
      </c>
      <c r="C29" s="24" t="s">
        <v>4</v>
      </c>
      <c r="D29" s="28">
        <v>2</v>
      </c>
      <c r="E29" s="32">
        <v>5023.57</v>
      </c>
      <c r="F29" s="32">
        <f t="shared" si="1"/>
        <v>10047.14</v>
      </c>
    </row>
    <row r="30" spans="2:6" s="23" customFormat="1" ht="19.5" customHeight="1" x14ac:dyDescent="0.25">
      <c r="B30" s="31" t="s">
        <v>22</v>
      </c>
      <c r="C30" s="24" t="s">
        <v>23</v>
      </c>
      <c r="D30" s="29">
        <v>1</v>
      </c>
      <c r="E30" s="17">
        <v>76.400000000000006</v>
      </c>
      <c r="F30" s="32">
        <f t="shared" si="1"/>
        <v>76.400000000000006</v>
      </c>
    </row>
    <row r="31" spans="2:6" s="23" customFormat="1" ht="19.5" customHeight="1" x14ac:dyDescent="0.25">
      <c r="B31" s="31" t="s">
        <v>24</v>
      </c>
      <c r="C31" s="24" t="s">
        <v>23</v>
      </c>
      <c r="D31" s="14">
        <v>2</v>
      </c>
      <c r="E31" s="17">
        <v>64.2</v>
      </c>
      <c r="F31" s="32">
        <f t="shared" si="1"/>
        <v>128.4</v>
      </c>
    </row>
    <row r="32" spans="2:6" s="23" customFormat="1" ht="19.5" customHeight="1" x14ac:dyDescent="0.25">
      <c r="B32" s="31" t="s">
        <v>25</v>
      </c>
      <c r="C32" s="24" t="s">
        <v>23</v>
      </c>
      <c r="D32" s="14">
        <v>23</v>
      </c>
      <c r="E32" s="17">
        <v>19.3</v>
      </c>
      <c r="F32" s="32">
        <f t="shared" si="1"/>
        <v>443.90000000000003</v>
      </c>
    </row>
    <row r="33" spans="2:6" s="23" customFormat="1" ht="19.5" customHeight="1" x14ac:dyDescent="0.25">
      <c r="B33" s="31" t="s">
        <v>26</v>
      </c>
      <c r="C33" s="24" t="s">
        <v>23</v>
      </c>
      <c r="D33" s="14">
        <v>1</v>
      </c>
      <c r="E33" s="17">
        <v>740.33</v>
      </c>
      <c r="F33" s="32">
        <f t="shared" si="1"/>
        <v>740.33</v>
      </c>
    </row>
    <row r="34" spans="2:6" s="23" customFormat="1" ht="22.5" customHeight="1" x14ac:dyDescent="0.25">
      <c r="B34" s="31" t="s">
        <v>27</v>
      </c>
      <c r="C34" s="24" t="s">
        <v>23</v>
      </c>
      <c r="D34" s="14">
        <v>20</v>
      </c>
      <c r="E34" s="17">
        <v>18.2</v>
      </c>
      <c r="F34" s="32">
        <f t="shared" si="1"/>
        <v>364</v>
      </c>
    </row>
    <row r="36" spans="2:6" s="23" customFormat="1" x14ac:dyDescent="0.25"/>
    <row r="37" spans="2:6" s="23" customFormat="1" x14ac:dyDescent="0.25">
      <c r="F37" s="16">
        <f>SUM(F23:F34)</f>
        <v>43986.670000000006</v>
      </c>
    </row>
    <row r="38" spans="2:6" x14ac:dyDescent="0.25">
      <c r="F38" s="16"/>
    </row>
    <row r="39" spans="2:6" ht="26.25" x14ac:dyDescent="0.4">
      <c r="B39" s="10" t="s">
        <v>13</v>
      </c>
      <c r="C39" s="23"/>
      <c r="D39" s="23"/>
      <c r="E39" s="23"/>
      <c r="F39" s="23"/>
    </row>
    <row r="40" spans="2:6" x14ac:dyDescent="0.25">
      <c r="B40" s="23"/>
      <c r="C40" s="23"/>
      <c r="D40" s="23"/>
      <c r="E40" s="23"/>
      <c r="F40" s="23"/>
    </row>
    <row r="41" spans="2:6" ht="15.75" x14ac:dyDescent="0.25">
      <c r="B41" s="1" t="s">
        <v>1</v>
      </c>
      <c r="C41" s="1"/>
      <c r="D41" s="15" t="s">
        <v>2</v>
      </c>
      <c r="E41" s="1" t="s">
        <v>5</v>
      </c>
      <c r="F41" s="1" t="s">
        <v>3</v>
      </c>
    </row>
    <row r="42" spans="2:6" x14ac:dyDescent="0.25">
      <c r="B42" s="25"/>
      <c r="C42" s="26"/>
      <c r="D42" s="27"/>
      <c r="E42" s="27"/>
      <c r="F42" s="27"/>
    </row>
    <row r="43" spans="2:6" ht="27.75" customHeight="1" x14ac:dyDescent="0.25">
      <c r="B43" s="25" t="s">
        <v>6</v>
      </c>
      <c r="C43" s="28" t="s">
        <v>4</v>
      </c>
      <c r="D43" s="28">
        <v>1</v>
      </c>
      <c r="E43" s="32">
        <v>1205.56</v>
      </c>
      <c r="F43" s="32">
        <f t="shared" ref="F43:F53" si="2">E43*D43</f>
        <v>1205.56</v>
      </c>
    </row>
    <row r="44" spans="2:6" ht="19.5" customHeight="1" x14ac:dyDescent="0.25">
      <c r="B44" s="31" t="s">
        <v>7</v>
      </c>
      <c r="C44" s="28" t="s">
        <v>4</v>
      </c>
      <c r="D44" s="29">
        <v>1</v>
      </c>
      <c r="E44" s="32">
        <v>1188.6400000000001</v>
      </c>
      <c r="F44" s="32">
        <f t="shared" si="2"/>
        <v>1188.6400000000001</v>
      </c>
    </row>
    <row r="45" spans="2:6" ht="19.5" customHeight="1" x14ac:dyDescent="0.25">
      <c r="B45" s="31" t="s">
        <v>8</v>
      </c>
      <c r="C45" s="30" t="s">
        <v>4</v>
      </c>
      <c r="D45" s="29">
        <v>6</v>
      </c>
      <c r="E45" s="32">
        <v>907.37</v>
      </c>
      <c r="F45" s="32">
        <f t="shared" si="2"/>
        <v>5444.22</v>
      </c>
    </row>
    <row r="46" spans="2:6" ht="19.5" customHeight="1" x14ac:dyDescent="0.25">
      <c r="B46" s="31" t="s">
        <v>9</v>
      </c>
      <c r="C46" s="24" t="s">
        <v>4</v>
      </c>
      <c r="D46" s="28">
        <v>6</v>
      </c>
      <c r="E46" s="32">
        <v>1028.18</v>
      </c>
      <c r="F46" s="32">
        <f t="shared" si="2"/>
        <v>6169.08</v>
      </c>
    </row>
    <row r="47" spans="2:6" ht="19.5" customHeight="1" x14ac:dyDescent="0.25">
      <c r="B47" s="31" t="s">
        <v>10</v>
      </c>
      <c r="C47" s="24" t="s">
        <v>4</v>
      </c>
      <c r="D47" s="28">
        <v>9</v>
      </c>
      <c r="E47" s="32">
        <v>4797.13</v>
      </c>
      <c r="F47" s="32">
        <f t="shared" si="2"/>
        <v>43174.17</v>
      </c>
    </row>
    <row r="48" spans="2:6" ht="19.5" customHeight="1" x14ac:dyDescent="0.25">
      <c r="B48" s="31" t="s">
        <v>11</v>
      </c>
      <c r="C48" s="24" t="s">
        <v>4</v>
      </c>
      <c r="D48" s="28">
        <v>3</v>
      </c>
      <c r="E48" s="32">
        <v>5023.57</v>
      </c>
      <c r="F48" s="32">
        <f t="shared" si="2"/>
        <v>15070.71</v>
      </c>
    </row>
    <row r="49" spans="2:6" s="23" customFormat="1" ht="19.5" customHeight="1" x14ac:dyDescent="0.25">
      <c r="B49" s="31" t="s">
        <v>22</v>
      </c>
      <c r="C49" s="24" t="s">
        <v>23</v>
      </c>
      <c r="D49" s="29">
        <v>2</v>
      </c>
      <c r="E49" s="17">
        <v>76.400000000000006</v>
      </c>
      <c r="F49" s="32">
        <f t="shared" si="2"/>
        <v>152.80000000000001</v>
      </c>
    </row>
    <row r="50" spans="2:6" s="23" customFormat="1" ht="19.5" customHeight="1" x14ac:dyDescent="0.25">
      <c r="B50" s="31" t="s">
        <v>24</v>
      </c>
      <c r="C50" s="24" t="s">
        <v>23</v>
      </c>
      <c r="D50" s="14">
        <v>2</v>
      </c>
      <c r="E50" s="17">
        <v>64.2</v>
      </c>
      <c r="F50" s="32">
        <f t="shared" si="2"/>
        <v>128.4</v>
      </c>
    </row>
    <row r="51" spans="2:6" s="23" customFormat="1" ht="19.5" customHeight="1" x14ac:dyDescent="0.25">
      <c r="B51" s="31" t="s">
        <v>25</v>
      </c>
      <c r="C51" s="24" t="s">
        <v>23</v>
      </c>
      <c r="D51" s="14">
        <v>25</v>
      </c>
      <c r="E51" s="17">
        <v>19.3</v>
      </c>
      <c r="F51" s="32">
        <f t="shared" si="2"/>
        <v>482.5</v>
      </c>
    </row>
    <row r="52" spans="2:6" s="23" customFormat="1" ht="19.5" customHeight="1" x14ac:dyDescent="0.25">
      <c r="B52" s="31" t="s">
        <v>26</v>
      </c>
      <c r="C52" s="24" t="s">
        <v>23</v>
      </c>
      <c r="D52" s="14">
        <v>2</v>
      </c>
      <c r="E52" s="17">
        <v>740.33</v>
      </c>
      <c r="F52" s="32">
        <f t="shared" si="2"/>
        <v>1480.66</v>
      </c>
    </row>
    <row r="53" spans="2:6" s="23" customFormat="1" ht="19.5" customHeight="1" x14ac:dyDescent="0.25">
      <c r="B53" s="31" t="s">
        <v>27</v>
      </c>
      <c r="C53" s="24" t="s">
        <v>23</v>
      </c>
      <c r="D53" s="14">
        <v>40</v>
      </c>
      <c r="E53" s="17">
        <v>18.2</v>
      </c>
      <c r="F53" s="32">
        <f t="shared" si="2"/>
        <v>728</v>
      </c>
    </row>
    <row r="55" spans="2:6" x14ac:dyDescent="0.25">
      <c r="F55" s="16">
        <f>SUM(F43:F54)</f>
        <v>75224.740000000005</v>
      </c>
    </row>
    <row r="56" spans="2:6" s="23" customFormat="1" x14ac:dyDescent="0.25">
      <c r="F56" s="16"/>
    </row>
    <row r="57" spans="2:6" s="23" customFormat="1" x14ac:dyDescent="0.25">
      <c r="F57" s="16"/>
    </row>
    <row r="58" spans="2:6" ht="26.25" x14ac:dyDescent="0.4">
      <c r="B58" s="10" t="s">
        <v>14</v>
      </c>
      <c r="C58" s="23"/>
      <c r="D58" s="23"/>
      <c r="E58" s="23"/>
      <c r="F58" s="23"/>
    </row>
    <row r="59" spans="2:6" x14ac:dyDescent="0.25">
      <c r="B59" s="23"/>
      <c r="C59" s="23"/>
      <c r="D59" s="23"/>
      <c r="E59" s="23"/>
      <c r="F59" s="23"/>
    </row>
    <row r="60" spans="2:6" ht="15.75" x14ac:dyDescent="0.25">
      <c r="B60" s="1" t="s">
        <v>1</v>
      </c>
      <c r="C60" s="1"/>
      <c r="D60" s="15" t="s">
        <v>2</v>
      </c>
      <c r="E60" s="1" t="s">
        <v>5</v>
      </c>
      <c r="F60" s="1" t="s">
        <v>3</v>
      </c>
    </row>
    <row r="61" spans="2:6" x14ac:dyDescent="0.25">
      <c r="B61" s="25"/>
      <c r="C61" s="26"/>
      <c r="D61" s="27"/>
      <c r="E61" s="27"/>
      <c r="F61" s="27"/>
    </row>
    <row r="62" spans="2:6" ht="26.25" customHeight="1" x14ac:dyDescent="0.25">
      <c r="B62" s="25" t="s">
        <v>6</v>
      </c>
      <c r="C62" s="28" t="s">
        <v>4</v>
      </c>
      <c r="D62" s="28">
        <v>1</v>
      </c>
      <c r="E62" s="32">
        <v>1205.56</v>
      </c>
      <c r="F62" s="32">
        <f t="shared" ref="F62:F72" si="3">E62*D62</f>
        <v>1205.56</v>
      </c>
    </row>
    <row r="63" spans="2:6" ht="19.5" customHeight="1" x14ac:dyDescent="0.25">
      <c r="B63" s="31" t="s">
        <v>7</v>
      </c>
      <c r="C63" s="28" t="s">
        <v>4</v>
      </c>
      <c r="D63" s="29">
        <v>1</v>
      </c>
      <c r="E63" s="32">
        <v>1188.6400000000001</v>
      </c>
      <c r="F63" s="32">
        <f t="shared" si="3"/>
        <v>1188.6400000000001</v>
      </c>
    </row>
    <row r="64" spans="2:6" ht="19.5" customHeight="1" x14ac:dyDescent="0.25">
      <c r="B64" s="31" t="s">
        <v>8</v>
      </c>
      <c r="C64" s="30" t="s">
        <v>4</v>
      </c>
      <c r="D64" s="29">
        <v>8</v>
      </c>
      <c r="E64" s="32">
        <v>907.37</v>
      </c>
      <c r="F64" s="32">
        <f t="shared" si="3"/>
        <v>7258.96</v>
      </c>
    </row>
    <row r="65" spans="2:6" ht="19.5" customHeight="1" x14ac:dyDescent="0.25">
      <c r="B65" s="31" t="s">
        <v>9</v>
      </c>
      <c r="C65" s="24" t="s">
        <v>4</v>
      </c>
      <c r="D65" s="28">
        <v>9</v>
      </c>
      <c r="E65" s="32">
        <v>1028.18</v>
      </c>
      <c r="F65" s="32">
        <f t="shared" si="3"/>
        <v>9253.6200000000008</v>
      </c>
    </row>
    <row r="66" spans="2:6" ht="19.5" customHeight="1" x14ac:dyDescent="0.25">
      <c r="B66" s="31" t="s">
        <v>10</v>
      </c>
      <c r="C66" s="24" t="s">
        <v>4</v>
      </c>
      <c r="D66" s="28">
        <v>14</v>
      </c>
      <c r="E66" s="32">
        <v>4797.13</v>
      </c>
      <c r="F66" s="32">
        <f t="shared" si="3"/>
        <v>67159.820000000007</v>
      </c>
    </row>
    <row r="67" spans="2:6" ht="19.5" customHeight="1" x14ac:dyDescent="0.25">
      <c r="B67" s="31" t="s">
        <v>11</v>
      </c>
      <c r="C67" s="24" t="s">
        <v>4</v>
      </c>
      <c r="D67" s="28">
        <v>4</v>
      </c>
      <c r="E67" s="32">
        <v>5023.57</v>
      </c>
      <c r="F67" s="32">
        <f t="shared" si="3"/>
        <v>20094.28</v>
      </c>
    </row>
    <row r="68" spans="2:6" x14ac:dyDescent="0.25">
      <c r="B68" s="31" t="s">
        <v>22</v>
      </c>
      <c r="C68" s="24" t="s">
        <v>23</v>
      </c>
      <c r="D68" s="29">
        <v>3</v>
      </c>
      <c r="E68" s="17">
        <v>76.400000000000006</v>
      </c>
      <c r="F68" s="32">
        <f t="shared" si="3"/>
        <v>229.20000000000002</v>
      </c>
    </row>
    <row r="69" spans="2:6" s="23" customFormat="1" x14ac:dyDescent="0.25">
      <c r="B69" s="31" t="s">
        <v>24</v>
      </c>
      <c r="C69" s="24" t="s">
        <v>23</v>
      </c>
      <c r="D69" s="14">
        <v>2</v>
      </c>
      <c r="E69" s="17">
        <v>64.2</v>
      </c>
      <c r="F69" s="32">
        <f t="shared" si="3"/>
        <v>128.4</v>
      </c>
    </row>
    <row r="70" spans="2:6" s="23" customFormat="1" x14ac:dyDescent="0.25">
      <c r="B70" s="31" t="s">
        <v>25</v>
      </c>
      <c r="C70" s="24" t="s">
        <v>23</v>
      </c>
      <c r="D70" s="14">
        <v>38</v>
      </c>
      <c r="E70" s="17">
        <v>19.3</v>
      </c>
      <c r="F70" s="32">
        <f t="shared" si="3"/>
        <v>733.4</v>
      </c>
    </row>
    <row r="71" spans="2:6" s="23" customFormat="1" x14ac:dyDescent="0.25">
      <c r="B71" s="31" t="s">
        <v>26</v>
      </c>
      <c r="C71" s="24" t="s">
        <v>23</v>
      </c>
      <c r="D71" s="14">
        <v>3</v>
      </c>
      <c r="E71" s="17">
        <v>740.33</v>
      </c>
      <c r="F71" s="32">
        <f t="shared" si="3"/>
        <v>2220.9900000000002</v>
      </c>
    </row>
    <row r="72" spans="2:6" s="23" customFormat="1" ht="24" x14ac:dyDescent="0.25">
      <c r="B72" s="31" t="s">
        <v>27</v>
      </c>
      <c r="C72" s="24" t="s">
        <v>23</v>
      </c>
      <c r="D72" s="14">
        <v>60</v>
      </c>
      <c r="E72" s="17">
        <v>18.2</v>
      </c>
      <c r="F72" s="32">
        <f t="shared" si="3"/>
        <v>1092</v>
      </c>
    </row>
    <row r="73" spans="2:6" x14ac:dyDescent="0.25">
      <c r="F73" s="16">
        <f>SUM(F62:F68)</f>
        <v>106390.08</v>
      </c>
    </row>
    <row r="78" spans="2:6" ht="26.25" x14ac:dyDescent="0.4">
      <c r="B78" s="10" t="s">
        <v>19</v>
      </c>
    </row>
    <row r="81" spans="2:6" x14ac:dyDescent="0.25">
      <c r="B81" t="s">
        <v>15</v>
      </c>
      <c r="C81" s="22">
        <v>4656</v>
      </c>
    </row>
    <row r="82" spans="2:6" x14ac:dyDescent="0.25">
      <c r="B82" t="s">
        <v>16</v>
      </c>
      <c r="C82" s="22">
        <v>5500</v>
      </c>
    </row>
    <row r="83" spans="2:6" x14ac:dyDescent="0.25">
      <c r="B83" t="s">
        <v>17</v>
      </c>
      <c r="C83" s="22">
        <v>26598.33</v>
      </c>
    </row>
    <row r="84" spans="2:6" x14ac:dyDescent="0.25">
      <c r="B84" t="s">
        <v>18</v>
      </c>
      <c r="C84" s="22">
        <v>3250</v>
      </c>
    </row>
    <row r="85" spans="2:6" x14ac:dyDescent="0.25">
      <c r="B85" t="s">
        <v>20</v>
      </c>
      <c r="C85" s="22">
        <v>2500</v>
      </c>
    </row>
    <row r="86" spans="2:6" x14ac:dyDescent="0.25">
      <c r="C86" s="22"/>
    </row>
    <row r="87" spans="2:6" x14ac:dyDescent="0.25">
      <c r="C87" s="22">
        <f>SUM(C81:C86)</f>
        <v>42504.33</v>
      </c>
    </row>
    <row r="92" spans="2:6" ht="26.25" x14ac:dyDescent="0.4">
      <c r="B92" s="10" t="s">
        <v>21</v>
      </c>
      <c r="C92" s="23"/>
      <c r="D92" s="23"/>
      <c r="E92" s="23"/>
      <c r="F92" s="23"/>
    </row>
    <row r="93" spans="2:6" x14ac:dyDescent="0.25">
      <c r="B93" s="23"/>
      <c r="C93" s="23"/>
      <c r="D93" s="23"/>
      <c r="E93" s="23"/>
      <c r="F93" s="23"/>
    </row>
    <row r="94" spans="2:6" x14ac:dyDescent="0.25">
      <c r="B94" s="23"/>
      <c r="C94" s="23"/>
      <c r="D94" s="23"/>
      <c r="E94" s="23"/>
      <c r="F94" s="23"/>
    </row>
    <row r="95" spans="2:6" x14ac:dyDescent="0.25">
      <c r="B95" s="23" t="s">
        <v>15</v>
      </c>
      <c r="C95" s="22">
        <v>3926</v>
      </c>
      <c r="D95" s="23"/>
      <c r="E95" s="23"/>
      <c r="F95" s="23"/>
    </row>
    <row r="96" spans="2:6" x14ac:dyDescent="0.25">
      <c r="B96" s="23" t="s">
        <v>16</v>
      </c>
      <c r="C96" s="22">
        <v>5500</v>
      </c>
      <c r="D96" s="23"/>
      <c r="E96" s="23"/>
      <c r="F96" s="23"/>
    </row>
    <row r="97" spans="2:6" x14ac:dyDescent="0.25">
      <c r="B97" s="23" t="s">
        <v>17</v>
      </c>
      <c r="C97" s="22">
        <v>23598.33</v>
      </c>
      <c r="D97" s="23"/>
      <c r="E97" s="23"/>
      <c r="F97" s="23"/>
    </row>
    <row r="98" spans="2:6" x14ac:dyDescent="0.25">
      <c r="B98" s="23" t="s">
        <v>18</v>
      </c>
      <c r="C98" s="22">
        <v>5100</v>
      </c>
      <c r="D98" s="23"/>
      <c r="E98" s="23"/>
      <c r="F98" s="23"/>
    </row>
    <row r="99" spans="2:6" x14ac:dyDescent="0.25">
      <c r="B99" s="23" t="s">
        <v>20</v>
      </c>
      <c r="C99" s="22">
        <v>2500</v>
      </c>
      <c r="D99" s="23"/>
      <c r="E99" s="23"/>
      <c r="F99" s="23"/>
    </row>
    <row r="100" spans="2:6" x14ac:dyDescent="0.25">
      <c r="B100" s="23"/>
      <c r="C100" s="22"/>
      <c r="D100" s="23"/>
      <c r="E100" s="23"/>
      <c r="F100" s="23"/>
    </row>
    <row r="101" spans="2:6" x14ac:dyDescent="0.25">
      <c r="B101" s="23"/>
      <c r="C101" s="22">
        <f>SUM(C95:C100)</f>
        <v>40624.33</v>
      </c>
      <c r="D101" s="23"/>
      <c r="E101" s="23"/>
      <c r="F101" s="23"/>
    </row>
  </sheetData>
  <pageMargins left="0.25" right="0.25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chisa</dc:creator>
  <cp:lastModifiedBy>ventas chisa</cp:lastModifiedBy>
  <cp:lastPrinted>2026-02-06T18:38:29Z</cp:lastPrinted>
  <dcterms:created xsi:type="dcterms:W3CDTF">2026-02-06T17:01:04Z</dcterms:created>
  <dcterms:modified xsi:type="dcterms:W3CDTF">2026-02-06T19:53:02Z</dcterms:modified>
</cp:coreProperties>
</file>