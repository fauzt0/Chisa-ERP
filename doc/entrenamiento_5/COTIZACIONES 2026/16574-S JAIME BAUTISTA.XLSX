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8E51DCD9-6215-45E6-AD67-09C2E92D74C3}"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3" l="1"/>
  <c r="F29" i="3" s="1"/>
  <c r="F30" i="3" l="1"/>
  <c r="E14" i="1"/>
  <c r="E16" i="1"/>
  <c r="F31" i="3" l="1"/>
  <c r="E17" i="1"/>
  <c r="E18" i="1" s="1"/>
</calcChain>
</file>

<file path=xl/sharedStrings.xml><?xml version="1.0" encoding="utf-8"?>
<sst xmlns="http://schemas.openxmlformats.org/spreadsheetml/2006/main" count="71" uniqueCount="63">
  <si>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</si>
  <si>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</si>
  <si>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</si>
  <si>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</si>
  <si>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</si>
  <si>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</si>
  <si>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</si>
  <si>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</si>
  <si>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</si>
  <si>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</si>
  <si>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</si>
  <si>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</si>
  <si>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</si>
  <si>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</si>
  <si>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</si>
  <si>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</si>
  <si>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</si>
  <si>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</si>
  <si>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</si>
  <si>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</si>
  <si>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</si>
  <si>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</si>
  <si>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</si>
  <si>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</si>
  <si>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</si>
  <si>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</si>
  <si>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</si>
  <si>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</si>
  <si>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</si>
  <si>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</si>
  <si>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</si>
  <si>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</si>
  <si>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</si>
  <si>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</si>
  <si>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</si>
  <si>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</si>
  <si>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</si>
  <si>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</si>
  <si>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</si>
  <si>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</si>
  <si>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</si>
  <si>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</si>
  <si>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</si>
  <si>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</si>
  <si>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</si>
  <si>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</si>
  <si>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</si>
  <si>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</si>
  <si>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</si>
  <si>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</si>
  <si>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</si>
  <si>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</si>
  <si>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 xml:space="preserve">T O T A L: </t>
  </si>
  <si>
    <t>CUBETAS</t>
  </si>
  <si>
    <r>
      <t>PRESENTAMOS A SU AMABLE CONSIDERACIÓN EL PRESUPUESTO DE SUMINISTRO</t>
    </r>
    <r>
      <rPr>
        <sz val="9"/>
        <color theme="1"/>
        <rFont val="Times New Roman"/>
        <family val="1"/>
      </rPr>
      <t xml:space="preserve">DE LOS SIGUIENTES MATERIALES: </t>
    </r>
  </si>
  <si>
    <t xml:space="preserve">                         CHISA RECUBRIMIENTOS, S.A DE C.V </t>
  </si>
  <si>
    <t>CONSTRUCTORA: ENTRETENIMIENTO DIGITAL GG</t>
  </si>
  <si>
    <t>AT´N: ARIADNA MONTIEL</t>
  </si>
  <si>
    <t xml:space="preserve">OBRA: </t>
  </si>
  <si>
    <t>CIUDAD DE MEXICO A 22 DE JUNIO DEL 2026</t>
  </si>
  <si>
    <t>PRES. REF. 16574-S/2026CG</t>
  </si>
  <si>
    <t>1.- IMPERGLASS 5 AÑOSBLANCO (REND. 45-50M2)</t>
  </si>
  <si>
    <t xml:space="preserve">                             JAIME BAUTISTA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</si>
</sst>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314325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6"/>
      <c r="B1" s="26"/>
      <c r="C1" s="26"/>
      <c r="D1" s="26"/>
      <c r="E1" s="26"/>
    </row>
    <row r="2" spans="1:8" x14ac:dyDescent="0.25">
      <c r="A2" s="74" t="s">
        <v>44</v>
      </c>
      <c r="B2" s="74"/>
      <c r="C2" s="74"/>
      <c r="D2" s="74"/>
      <c r="E2" s="74"/>
      <c r="F2" s="7"/>
    </row>
    <row r="3" spans="1:8" x14ac:dyDescent="0.25">
      <c r="A3" s="34" t="s">
        <v>49</v>
      </c>
      <c r="B3" s="34"/>
      <c r="C3" s="26"/>
      <c r="D3" s="26"/>
      <c r="E3" s="26"/>
    </row>
    <row r="4" spans="1:8" x14ac:dyDescent="0.25">
      <c r="A4" s="34" t="s">
        <v>0</v>
      </c>
      <c r="B4" s="34"/>
      <c r="C4" s="26"/>
      <c r="D4" s="26"/>
      <c r="E4" s="26"/>
    </row>
    <row r="5" spans="1:8" x14ac:dyDescent="0.25">
      <c r="A5" s="34" t="s">
        <v>1</v>
      </c>
      <c r="B5" s="34"/>
      <c r="C5" s="26"/>
      <c r="D5" s="26"/>
      <c r="E5" s="26"/>
    </row>
    <row r="6" spans="1:8" x14ac:dyDescent="0.25">
      <c r="A6" s="73" t="s">
        <v>47</v>
      </c>
      <c r="B6" s="73"/>
      <c r="C6" s="73"/>
      <c r="D6" s="73"/>
      <c r="E6" s="73"/>
      <c r="F6" s="1"/>
      <c r="G6" s="1"/>
      <c r="H6" s="1"/>
    </row>
    <row r="7" spans="1:8" x14ac:dyDescent="0.25">
      <c r="A7" s="35"/>
      <c r="B7" s="35"/>
      <c r="C7" s="26"/>
      <c r="D7" s="26"/>
      <c r="E7" s="26"/>
    </row>
    <row r="8" spans="1:8" x14ac:dyDescent="0.25">
      <c r="A8" s="35"/>
      <c r="B8" s="35"/>
      <c r="C8" s="26"/>
      <c r="D8" s="26"/>
      <c r="E8" s="26"/>
    </row>
    <row r="9" spans="1:8" x14ac:dyDescent="0.25">
      <c r="A9" s="70" t="s">
        <v>38</v>
      </c>
      <c r="B9" s="70"/>
      <c r="C9" s="70"/>
      <c r="D9" s="70"/>
      <c r="E9" s="70"/>
    </row>
    <row r="10" spans="1:8" x14ac:dyDescent="0.25">
      <c r="A10" s="36" t="s">
        <v>51</v>
      </c>
      <c r="B10" s="36"/>
      <c r="C10" s="27"/>
      <c r="D10" s="27"/>
      <c r="E10" s="27"/>
    </row>
    <row r="11" spans="1:8" x14ac:dyDescent="0.25">
      <c r="A11" s="37" t="s">
        <v>2</v>
      </c>
      <c r="B11" s="37"/>
      <c r="C11" s="27"/>
      <c r="D11" s="27"/>
      <c r="E11" s="27"/>
    </row>
    <row r="12" spans="1:8" ht="30" customHeight="1" x14ac:dyDescent="0.25">
      <c r="A12" s="72" t="s">
        <v>40</v>
      </c>
      <c r="B12" s="72"/>
      <c r="C12" s="72"/>
      <c r="D12" s="72"/>
      <c r="E12" s="72"/>
      <c r="F12" s="3"/>
      <c r="G12" s="3"/>
      <c r="H12" s="3"/>
    </row>
    <row r="13" spans="1:8" ht="21.75" customHeight="1" x14ac:dyDescent="0.25">
      <c r="A13" s="36" t="s">
        <v>21</v>
      </c>
      <c r="B13" s="36" t="s">
        <v>35</v>
      </c>
      <c r="C13" s="36" t="s">
        <v>19</v>
      </c>
      <c r="D13" s="36" t="s">
        <v>41</v>
      </c>
      <c r="E13" s="36" t="s">
        <v>20</v>
      </c>
      <c r="F13" s="2"/>
      <c r="G13" s="2"/>
      <c r="H13" s="2"/>
    </row>
    <row r="14" spans="1:8" ht="204" customHeight="1" x14ac:dyDescent="0.25">
      <c r="A14" s="38" t="s">
        <v>42</v>
      </c>
      <c r="B14" s="28" t="s">
        <v>22</v>
      </c>
      <c r="C14" s="39">
        <v>300</v>
      </c>
      <c r="D14" s="40">
        <v>204.98</v>
      </c>
      <c r="E14" s="40">
        <f>C14*D14</f>
        <v>61494</v>
      </c>
      <c r="F14" s="5"/>
    </row>
    <row r="15" spans="1:8" x14ac:dyDescent="0.25">
      <c r="A15" s="41"/>
      <c r="B15" s="41"/>
      <c r="C15" s="42" t="s">
        <v>37</v>
      </c>
      <c r="D15" s="40"/>
      <c r="E15" s="40"/>
      <c r="F15" s="10"/>
    </row>
    <row r="16" spans="1:8" x14ac:dyDescent="0.25">
      <c r="A16" s="41"/>
      <c r="B16" s="41"/>
      <c r="C16" s="27"/>
      <c r="D16" s="41" t="s">
        <v>3</v>
      </c>
      <c r="E16" s="43">
        <f>SUM(E14:E15)</f>
        <v>61494</v>
      </c>
      <c r="F16" s="5"/>
      <c r="G16" s="13"/>
    </row>
    <row r="17" spans="1:7" x14ac:dyDescent="0.25">
      <c r="A17" s="41"/>
      <c r="B17" s="41"/>
      <c r="C17" s="41"/>
      <c r="D17" s="41" t="s">
        <v>4</v>
      </c>
      <c r="E17" s="43">
        <f>E16*16%</f>
        <v>9839.0400000000009</v>
      </c>
      <c r="F17" s="13"/>
      <c r="G17" s="13"/>
    </row>
    <row r="18" spans="1:7" ht="12" customHeight="1" x14ac:dyDescent="0.25">
      <c r="A18" s="41"/>
      <c r="B18" s="41"/>
      <c r="C18" s="33"/>
      <c r="D18" s="41" t="s">
        <v>5</v>
      </c>
      <c r="E18" s="43">
        <f>SUM(E16:E17)</f>
        <v>71333.040000000008</v>
      </c>
      <c r="F18" s="5"/>
      <c r="G18" s="13"/>
    </row>
    <row r="19" spans="1:7" ht="12" customHeight="1" x14ac:dyDescent="0.25">
      <c r="A19" s="41"/>
      <c r="B19" s="41"/>
      <c r="C19" s="33"/>
      <c r="D19" s="41"/>
      <c r="E19" s="43"/>
      <c r="F19" s="5"/>
      <c r="G19" s="13"/>
    </row>
    <row r="20" spans="1:7" ht="12" customHeight="1" x14ac:dyDescent="0.25">
      <c r="A20" s="41"/>
      <c r="B20" s="41"/>
      <c r="C20" s="33"/>
      <c r="D20" s="41"/>
      <c r="E20" s="43"/>
      <c r="F20" s="5"/>
      <c r="G20" s="13"/>
    </row>
    <row r="21" spans="1:7" x14ac:dyDescent="0.25">
      <c r="A21" s="70" t="s">
        <v>38</v>
      </c>
      <c r="B21" s="70"/>
      <c r="C21" s="70"/>
      <c r="D21" s="70"/>
      <c r="E21" s="70"/>
      <c r="F21" s="5"/>
    </row>
    <row r="22" spans="1:7" x14ac:dyDescent="0.25">
      <c r="A22" s="75" t="s">
        <v>48</v>
      </c>
      <c r="B22" s="75"/>
      <c r="C22" s="75"/>
      <c r="D22" s="75"/>
      <c r="E22" s="75"/>
    </row>
    <row r="23" spans="1:7" ht="27" customHeight="1" x14ac:dyDescent="0.25">
      <c r="A23" s="71" t="s">
        <v>45</v>
      </c>
      <c r="B23" s="71"/>
      <c r="C23" s="71"/>
      <c r="D23" s="71"/>
      <c r="E23" s="71"/>
    </row>
    <row r="24" spans="1:7" x14ac:dyDescent="0.25">
      <c r="A24" s="67" t="s">
        <v>6</v>
      </c>
      <c r="B24" s="67"/>
      <c r="C24" s="67"/>
      <c r="D24" s="67"/>
      <c r="E24" s="67"/>
    </row>
    <row r="25" spans="1:7" ht="57.75" customHeight="1" x14ac:dyDescent="0.25">
      <c r="A25" s="66" t="s">
        <v>43</v>
      </c>
      <c r="B25" s="66"/>
      <c r="C25" s="66"/>
      <c r="D25" s="66"/>
      <c r="E25" s="66"/>
      <c r="F25" s="5"/>
    </row>
    <row r="26" spans="1:7" x14ac:dyDescent="0.25">
      <c r="A26" s="67" t="s">
        <v>7</v>
      </c>
      <c r="B26" s="67"/>
      <c r="C26" s="67"/>
      <c r="D26" s="67"/>
      <c r="E26" s="67"/>
    </row>
    <row r="27" spans="1:7" ht="33.75" customHeight="1" x14ac:dyDescent="0.25">
      <c r="A27" s="66" t="s">
        <v>8</v>
      </c>
      <c r="B27" s="66"/>
      <c r="C27" s="66"/>
      <c r="D27" s="66"/>
      <c r="E27" s="66"/>
    </row>
    <row r="28" spans="1:7" ht="43.5" customHeight="1" x14ac:dyDescent="0.25">
      <c r="A28" s="68" t="s">
        <v>9</v>
      </c>
      <c r="B28" s="68"/>
      <c r="C28" s="68"/>
      <c r="D28" s="68"/>
      <c r="E28" s="68"/>
    </row>
    <row r="29" spans="1:7" ht="49.5" customHeight="1" x14ac:dyDescent="0.25">
      <c r="A29" s="68" t="s">
        <v>10</v>
      </c>
      <c r="B29" s="68"/>
      <c r="C29" s="68"/>
      <c r="D29" s="68"/>
      <c r="E29" s="68"/>
    </row>
    <row r="30" spans="1:7" ht="21" customHeight="1" x14ac:dyDescent="0.25">
      <c r="A30" s="68" t="s">
        <v>11</v>
      </c>
      <c r="B30" s="68"/>
      <c r="C30" s="68"/>
      <c r="D30" s="68"/>
      <c r="E30" s="68"/>
    </row>
    <row r="31" spans="1:7" ht="77.25" customHeight="1" x14ac:dyDescent="0.25">
      <c r="A31" s="66" t="s">
        <v>12</v>
      </c>
      <c r="B31" s="66"/>
      <c r="C31" s="66"/>
      <c r="D31" s="66"/>
      <c r="E31" s="66"/>
    </row>
    <row r="32" spans="1:7" ht="19.5" customHeight="1" x14ac:dyDescent="0.25">
      <c r="A32" s="66" t="s">
        <v>13</v>
      </c>
      <c r="B32" s="66"/>
      <c r="C32" s="66"/>
      <c r="D32" s="66"/>
      <c r="E32" s="66"/>
    </row>
    <row r="33" spans="1:5" ht="49.5" customHeight="1" x14ac:dyDescent="0.25">
      <c r="A33" s="66" t="s">
        <v>14</v>
      </c>
      <c r="B33" s="66"/>
      <c r="C33" s="66"/>
      <c r="D33" s="66"/>
      <c r="E33" s="66"/>
    </row>
    <row r="34" spans="1:5" ht="24" customHeight="1" x14ac:dyDescent="0.25">
      <c r="A34" s="69" t="s">
        <v>15</v>
      </c>
      <c r="B34" s="69"/>
      <c r="C34" s="69"/>
      <c r="D34" s="69"/>
      <c r="E34" s="69"/>
    </row>
    <row r="35" spans="1:5" ht="67.5" customHeight="1" x14ac:dyDescent="0.25">
      <c r="A35" s="68" t="s">
        <v>16</v>
      </c>
      <c r="B35" s="68"/>
      <c r="C35" s="68"/>
      <c r="D35" s="68"/>
      <c r="E35" s="68"/>
    </row>
    <row r="36" spans="1:5" ht="15" customHeight="1" x14ac:dyDescent="0.25">
      <c r="A36" s="66" t="s">
        <v>17</v>
      </c>
      <c r="B36" s="66"/>
      <c r="C36" s="66"/>
      <c r="D36" s="66"/>
      <c r="E36" s="66"/>
    </row>
    <row r="37" spans="1:5" x14ac:dyDescent="0.25">
      <c r="A37" s="37" t="s">
        <v>18</v>
      </c>
      <c r="B37" s="37"/>
      <c r="C37" s="27"/>
      <c r="D37" s="27"/>
      <c r="E37" s="27"/>
    </row>
    <row r="38" spans="1:5" x14ac:dyDescent="0.25">
      <c r="A38" s="44" t="s">
        <v>23</v>
      </c>
      <c r="B38" s="44"/>
      <c r="C38" s="65" t="s">
        <v>36</v>
      </c>
      <c r="D38" s="65"/>
      <c r="E38" s="65"/>
    </row>
    <row r="39" spans="1:5" x14ac:dyDescent="0.25">
      <c r="A39" s="37"/>
      <c r="B39" s="37"/>
      <c r="C39" s="27"/>
      <c r="D39" s="27"/>
      <c r="E39" s="27"/>
    </row>
    <row r="40" spans="1:5" x14ac:dyDescent="0.25">
      <c r="A40" s="37"/>
      <c r="B40" s="37"/>
      <c r="C40" s="27"/>
      <c r="D40" s="27"/>
      <c r="E40" s="27"/>
    </row>
    <row r="41" spans="1:5" x14ac:dyDescent="0.25">
      <c r="A41" s="45" t="s">
        <v>46</v>
      </c>
      <c r="B41" s="45"/>
      <c r="C41" s="27"/>
      <c r="D41" s="27"/>
      <c r="E41" s="27"/>
    </row>
    <row r="42" spans="1:5" x14ac:dyDescent="0.25">
      <c r="A42" s="46" t="s">
        <v>50</v>
      </c>
      <c r="B42" s="47"/>
      <c r="C42" s="26" t="s">
        <v>39</v>
      </c>
      <c r="D42" s="26"/>
      <c r="E42" s="26"/>
    </row>
    <row r="43" spans="1:5" x14ac:dyDescent="0.25">
      <c r="A43" s="29"/>
      <c r="B43" s="30"/>
      <c r="C43" s="26"/>
      <c r="D43" s="26"/>
      <c r="E43" s="26"/>
    </row>
    <row r="44" spans="1:5" x14ac:dyDescent="0.25">
      <c r="A44" s="30"/>
      <c r="B44" s="30"/>
      <c r="C44" s="27"/>
      <c r="D44" s="27"/>
      <c r="E44" s="27"/>
    </row>
    <row r="45" spans="1:5" x14ac:dyDescent="0.25">
      <c r="A45" s="31"/>
      <c r="B45" s="31"/>
      <c r="C45" s="27"/>
      <c r="D45" s="27"/>
      <c r="E45" s="27"/>
    </row>
    <row r="46" spans="1:5" x14ac:dyDescent="0.25">
      <c r="A46" s="6"/>
      <c r="B46" s="6"/>
      <c r="C46" s="27"/>
      <c r="D46" s="27"/>
      <c r="E46" s="27"/>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2"/>
  <sheetViews>
    <sheetView tabSelected="1" topLeftCell="A43" zoomScaleNormal="100" zoomScalePageLayoutView="50" workbookViewId="0">
      <selection activeCell="B50" sqref="B50"/>
    </sheetView>
  </sheetViews>
  <sheetFormatPr baseColWidth="10" defaultRowHeight="15" x14ac:dyDescent="0.25"/>
  <cols>
    <col min="1" max="1" width="5.85546875" style="17"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2"/>
      <c r="C4" s="22"/>
      <c r="D4" s="22"/>
      <c r="E4" s="22"/>
      <c r="F4" s="22"/>
    </row>
    <row r="5" spans="2:6" x14ac:dyDescent="0.25">
      <c r="B5" s="22"/>
      <c r="C5" s="22"/>
      <c r="D5" s="22"/>
      <c r="E5" s="22"/>
      <c r="F5" s="22"/>
    </row>
    <row r="6" spans="2:6" x14ac:dyDescent="0.25">
      <c r="B6" s="22"/>
      <c r="C6" s="22"/>
      <c r="D6" s="22"/>
      <c r="E6" s="22"/>
      <c r="F6" s="22"/>
    </row>
    <row r="7" spans="2:6" x14ac:dyDescent="0.25">
      <c r="B7" s="22"/>
      <c r="C7" s="22"/>
      <c r="D7" s="22"/>
      <c r="E7" s="22"/>
      <c r="F7" s="22"/>
    </row>
    <row r="8" spans="2:6" x14ac:dyDescent="0.25">
      <c r="B8" s="22"/>
      <c r="C8" s="22"/>
      <c r="D8" s="22"/>
      <c r="E8" s="22"/>
      <c r="F8" s="22"/>
    </row>
    <row r="9" spans="2:6" x14ac:dyDescent="0.25">
      <c r="B9" s="22"/>
      <c r="C9" s="22"/>
      <c r="D9" s="22"/>
      <c r="E9" s="22"/>
      <c r="F9" s="22"/>
    </row>
    <row r="10" spans="2:6" x14ac:dyDescent="0.25">
      <c r="B10" s="62" t="s">
        <v>59</v>
      </c>
      <c r="C10" s="62"/>
      <c r="D10" s="62"/>
      <c r="E10" s="62"/>
      <c r="F10" s="62"/>
    </row>
    <row r="11" spans="2:6" x14ac:dyDescent="0.25">
      <c r="B11" s="53"/>
      <c r="C11" s="53"/>
      <c r="D11" s="53"/>
      <c r="E11" s="53"/>
      <c r="F11" s="53"/>
    </row>
    <row r="12" spans="2:6" x14ac:dyDescent="0.25">
      <c r="B12" s="1" t="s">
        <v>56</v>
      </c>
      <c r="C12" s="1"/>
      <c r="D12" s="22"/>
      <c r="E12" s="22"/>
      <c r="F12" s="22"/>
    </row>
    <row r="13" spans="2:6" x14ac:dyDescent="0.25">
      <c r="B13" s="1" t="s">
        <v>0</v>
      </c>
      <c r="C13" s="1"/>
      <c r="D13" s="22"/>
      <c r="E13" s="22"/>
      <c r="F13" s="22"/>
    </row>
    <row r="14" spans="2:6" x14ac:dyDescent="0.25">
      <c r="B14" s="1"/>
      <c r="C14" s="1"/>
      <c r="D14" s="22"/>
      <c r="E14" s="22"/>
      <c r="F14" s="22"/>
    </row>
    <row r="15" spans="2:6" x14ac:dyDescent="0.25">
      <c r="B15" s="63" t="s">
        <v>57</v>
      </c>
      <c r="C15" s="63"/>
      <c r="D15" s="63"/>
      <c r="E15" s="63"/>
      <c r="F15" s="63"/>
    </row>
    <row r="16" spans="2:6" x14ac:dyDescent="0.25">
      <c r="B16" s="19"/>
      <c r="C16" s="19"/>
      <c r="D16" s="19"/>
      <c r="E16" s="19"/>
      <c r="F16" s="19"/>
    </row>
    <row r="17" spans="2:10" x14ac:dyDescent="0.25">
      <c r="B17" s="64"/>
      <c r="C17" s="64"/>
      <c r="D17" s="64"/>
      <c r="E17" s="64"/>
      <c r="F17" s="64"/>
    </row>
    <row r="18" spans="2:10" x14ac:dyDescent="0.25">
      <c r="B18" s="20" t="s">
        <v>58</v>
      </c>
      <c r="C18" s="20"/>
      <c r="D18" s="20"/>
      <c r="E18" s="20"/>
      <c r="F18" s="20"/>
    </row>
    <row r="19" spans="2:10" ht="12.75" customHeight="1" x14ac:dyDescent="0.25">
      <c r="B19" s="8" t="s">
        <v>60</v>
      </c>
      <c r="C19" s="8"/>
      <c r="D19" s="23"/>
      <c r="E19" s="23"/>
      <c r="F19" s="23"/>
    </row>
    <row r="20" spans="2:10" ht="12.75" customHeight="1" x14ac:dyDescent="0.25">
      <c r="B20" s="8"/>
      <c r="C20" s="8"/>
      <c r="D20" s="23"/>
      <c r="E20" s="23"/>
      <c r="F20" s="23"/>
    </row>
    <row r="21" spans="2:10" ht="13.5" customHeight="1" x14ac:dyDescent="0.25">
      <c r="B21" s="9" t="s">
        <v>2</v>
      </c>
      <c r="C21" s="9"/>
      <c r="D21" s="23"/>
      <c r="E21" s="23"/>
      <c r="F21" s="23"/>
    </row>
    <row r="22" spans="2:10" ht="14.25" customHeight="1" x14ac:dyDescent="0.25">
      <c r="B22" s="59" t="s">
        <v>54</v>
      </c>
      <c r="C22" s="59"/>
      <c r="D22" s="59"/>
      <c r="E22" s="59"/>
      <c r="F22" s="59"/>
    </row>
    <row r="23" spans="2:10" ht="13.5" customHeight="1" x14ac:dyDescent="0.25">
      <c r="B23" s="32"/>
      <c r="C23" s="32"/>
      <c r="D23" s="32"/>
      <c r="E23" s="32"/>
      <c r="F23" s="32"/>
    </row>
    <row r="24" spans="2:10" x14ac:dyDescent="0.25">
      <c r="B24" s="8" t="s">
        <v>21</v>
      </c>
      <c r="C24" s="8"/>
      <c r="D24" s="20" t="s">
        <v>19</v>
      </c>
      <c r="E24" s="20" t="s">
        <v>26</v>
      </c>
      <c r="F24" s="19" t="s">
        <v>20</v>
      </c>
    </row>
    <row r="25" spans="2:10" x14ac:dyDescent="0.25">
      <c r="B25" s="8"/>
      <c r="C25" s="8"/>
      <c r="D25" s="20"/>
      <c r="E25" s="20"/>
      <c r="F25" s="19"/>
    </row>
    <row r="26" spans="2:10" x14ac:dyDescent="0.25">
      <c r="B26" s="8"/>
      <c r="C26" s="8"/>
      <c r="D26" s="20"/>
      <c r="E26" s="20"/>
      <c r="F26" s="19"/>
    </row>
    <row r="27" spans="2:10" x14ac:dyDescent="0.25">
      <c r="B27" s="50" t="s">
        <v>61</v>
      </c>
      <c r="C27" s="7" t="s">
        <v>53</v>
      </c>
      <c r="D27" s="48">
        <v>6</v>
      </c>
      <c r="E27" s="55">
        <v>1399</v>
      </c>
      <c r="F27" s="54">
        <f>D27*E27</f>
        <v>8394</v>
      </c>
    </row>
    <row r="28" spans="2:10" x14ac:dyDescent="0.25">
      <c r="B28" s="51"/>
      <c r="C28" s="52"/>
      <c r="D28" s="11"/>
      <c r="E28" s="24"/>
      <c r="F28" s="12"/>
    </row>
    <row r="29" spans="2:10" x14ac:dyDescent="0.25">
      <c r="B29" s="4"/>
      <c r="C29" s="4"/>
      <c r="D29" s="11"/>
      <c r="E29" s="4" t="s">
        <v>3</v>
      </c>
      <c r="F29" s="54">
        <f>F27</f>
        <v>8394</v>
      </c>
      <c r="J29" s="49"/>
    </row>
    <row r="30" spans="2:10" x14ac:dyDescent="0.25">
      <c r="B30" s="4"/>
      <c r="C30" s="4"/>
      <c r="D30" s="23"/>
      <c r="E30" s="4" t="s">
        <v>4</v>
      </c>
      <c r="F30" s="54">
        <f>F29*16%</f>
        <v>1343.04</v>
      </c>
      <c r="H30" s="13"/>
    </row>
    <row r="31" spans="2:10" x14ac:dyDescent="0.25">
      <c r="B31" s="4"/>
      <c r="C31" s="4"/>
      <c r="D31" s="4"/>
      <c r="E31" s="4" t="s">
        <v>52</v>
      </c>
      <c r="F31" s="54">
        <f>F29+F30</f>
        <v>9737.0400000000009</v>
      </c>
    </row>
    <row r="32" spans="2:10" x14ac:dyDescent="0.25">
      <c r="B32" s="4"/>
      <c r="C32" s="4"/>
      <c r="D32" s="18"/>
      <c r="E32" s="4"/>
      <c r="F32" s="13"/>
    </row>
    <row r="33" spans="2:8" x14ac:dyDescent="0.25">
      <c r="B33" s="4"/>
      <c r="C33" s="4"/>
      <c r="D33" s="18"/>
      <c r="E33" s="4"/>
      <c r="F33" s="13"/>
    </row>
    <row r="34" spans="2:8" x14ac:dyDescent="0.25">
      <c r="B34" s="1" t="s">
        <v>24</v>
      </c>
      <c r="C34" s="1"/>
      <c r="D34" s="22"/>
      <c r="E34" s="22"/>
      <c r="F34" s="22"/>
    </row>
    <row r="35" spans="2:8" ht="27.75" customHeight="1" x14ac:dyDescent="0.25">
      <c r="B35" s="59" t="s">
        <v>27</v>
      </c>
      <c r="C35" s="59"/>
      <c r="D35" s="59"/>
      <c r="E35" s="59"/>
      <c r="F35" s="59"/>
    </row>
    <row r="36" spans="2:8" ht="17.25" customHeight="1" x14ac:dyDescent="0.25">
      <c r="B36" s="59" t="s">
        <v>28</v>
      </c>
      <c r="C36" s="59"/>
      <c r="D36" s="59"/>
      <c r="E36" s="59"/>
      <c r="F36" s="59"/>
    </row>
    <row r="37" spans="2:8" ht="15" customHeight="1" x14ac:dyDescent="0.25">
      <c r="B37" s="59" t="s">
        <v>29</v>
      </c>
      <c r="C37" s="59"/>
      <c r="D37" s="59"/>
      <c r="E37" s="59"/>
      <c r="F37" s="59"/>
    </row>
    <row r="38" spans="2:8" ht="18" customHeight="1" x14ac:dyDescent="0.25">
      <c r="B38" s="59" t="s">
        <v>30</v>
      </c>
      <c r="C38" s="59"/>
      <c r="D38" s="59"/>
      <c r="E38" s="59"/>
      <c r="F38" s="59"/>
    </row>
    <row r="39" spans="2:8" ht="96.75" customHeight="1" x14ac:dyDescent="0.25">
      <c r="B39" s="59" t="s">
        <v>31</v>
      </c>
      <c r="C39" s="59"/>
      <c r="D39" s="59"/>
      <c r="E39" s="59"/>
      <c r="F39" s="59"/>
    </row>
    <row r="40" spans="2:8" ht="20.25" customHeight="1" x14ac:dyDescent="0.25">
      <c r="B40" s="32"/>
      <c r="C40" s="32"/>
      <c r="D40" s="32"/>
      <c r="E40" s="32"/>
      <c r="F40" s="32"/>
    </row>
    <row r="41" spans="2:8" ht="20.25" customHeight="1" x14ac:dyDescent="0.25">
      <c r="B41" s="32"/>
      <c r="C41" s="32"/>
      <c r="D41" s="32"/>
      <c r="E41" s="32"/>
      <c r="F41" s="32"/>
    </row>
    <row r="42" spans="2:8" ht="20.25" customHeight="1" x14ac:dyDescent="0.25">
      <c r="B42" s="32"/>
      <c r="C42" s="32"/>
      <c r="D42" s="32"/>
      <c r="E42" s="32"/>
      <c r="F42" s="32"/>
    </row>
    <row r="43" spans="2:8" ht="20.25" customHeight="1" x14ac:dyDescent="0.25">
      <c r="B43" s="32"/>
      <c r="C43" s="32"/>
      <c r="D43" s="32"/>
      <c r="E43" s="32"/>
      <c r="F43" s="32"/>
    </row>
    <row r="44" spans="2:8" x14ac:dyDescent="0.25">
      <c r="B44" s="22"/>
      <c r="C44" s="22"/>
      <c r="D44" s="22"/>
      <c r="E44" s="22"/>
      <c r="F44" s="22"/>
      <c r="H44" s="16"/>
    </row>
    <row r="45" spans="2:8" x14ac:dyDescent="0.25">
      <c r="B45" s="7" t="s">
        <v>32</v>
      </c>
      <c r="C45" s="7"/>
      <c r="D45" s="58" t="s">
        <v>33</v>
      </c>
      <c r="E45" s="58"/>
      <c r="F45" s="58"/>
    </row>
    <row r="46" spans="2:8" x14ac:dyDescent="0.25">
      <c r="B46" s="9"/>
      <c r="C46" s="9"/>
      <c r="D46" s="23"/>
      <c r="E46" s="23"/>
      <c r="F46" s="23"/>
    </row>
    <row r="47" spans="2:8" x14ac:dyDescent="0.25">
      <c r="B47" s="9"/>
      <c r="C47" s="9"/>
      <c r="D47" s="23"/>
      <c r="E47" s="23"/>
      <c r="F47" s="23"/>
    </row>
    <row r="48" spans="2:8" x14ac:dyDescent="0.25">
      <c r="B48" s="14" t="s">
        <v>34</v>
      </c>
      <c r="C48" s="14"/>
      <c r="D48" s="23"/>
      <c r="E48" s="23"/>
      <c r="F48" s="23"/>
    </row>
    <row r="49" spans="2:15" x14ac:dyDescent="0.25">
      <c r="B49" s="25" t="s">
        <v>62</v>
      </c>
      <c r="C49" s="60" t="s">
        <v>55</v>
      </c>
      <c r="D49" s="61"/>
      <c r="E49" s="61"/>
      <c r="F49" s="61"/>
    </row>
    <row r="50" spans="2:15" x14ac:dyDescent="0.25">
      <c r="B50" s="15"/>
      <c r="C50" s="15"/>
      <c r="D50" s="23"/>
      <c r="E50" s="23"/>
      <c r="F50" s="23"/>
    </row>
    <row r="51" spans="2:15" x14ac:dyDescent="0.25">
      <c r="B51" s="15"/>
      <c r="C51" s="15"/>
      <c r="D51" s="23"/>
      <c r="E51" s="23"/>
      <c r="F51" s="23"/>
    </row>
    <row r="52" spans="2:15" x14ac:dyDescent="0.25">
      <c r="B52" s="15"/>
      <c r="C52" s="15"/>
      <c r="D52" s="23"/>
      <c r="E52" s="23"/>
      <c r="F52" s="23"/>
    </row>
    <row r="53" spans="2:15" x14ac:dyDescent="0.25">
      <c r="B53" s="15"/>
      <c r="C53" s="15"/>
      <c r="D53" s="23"/>
      <c r="E53" s="23"/>
      <c r="F53" s="23"/>
    </row>
    <row r="54" spans="2:15" x14ac:dyDescent="0.25">
      <c r="B54" s="15"/>
      <c r="C54" s="15"/>
      <c r="D54" s="23"/>
      <c r="E54" s="23"/>
      <c r="F54" s="23"/>
    </row>
    <row r="55" spans="2:15" x14ac:dyDescent="0.25">
      <c r="B55" s="56" t="s">
        <v>25</v>
      </c>
      <c r="C55" s="56"/>
      <c r="D55" s="57"/>
      <c r="E55" s="57"/>
      <c r="F55" s="57"/>
      <c r="G55" s="21"/>
      <c r="H55" s="21"/>
      <c r="I55" s="21"/>
      <c r="J55" s="21"/>
      <c r="K55" s="21"/>
      <c r="L55" s="21"/>
      <c r="M55" s="21"/>
      <c r="N55" s="21"/>
      <c r="O55" s="21"/>
    </row>
    <row r="56" spans="2:15" x14ac:dyDescent="0.25">
      <c r="B56" s="57"/>
      <c r="C56" s="57"/>
      <c r="D56" s="57"/>
      <c r="E56" s="57"/>
      <c r="F56" s="57"/>
      <c r="G56" s="21"/>
      <c r="H56" s="21"/>
      <c r="I56" s="21"/>
      <c r="J56" s="21"/>
      <c r="K56" s="21"/>
      <c r="L56" s="21"/>
      <c r="M56" s="21"/>
      <c r="N56" s="21"/>
      <c r="O56" s="21"/>
    </row>
    <row r="57" spans="2:15" x14ac:dyDescent="0.25">
      <c r="B57" s="57"/>
      <c r="C57" s="57"/>
      <c r="D57" s="57"/>
      <c r="E57" s="57"/>
      <c r="F57" s="57"/>
      <c r="G57" s="21"/>
      <c r="H57" s="21"/>
      <c r="I57" s="21"/>
      <c r="J57" s="21"/>
      <c r="K57" s="21"/>
      <c r="L57" s="21"/>
      <c r="M57" s="21"/>
      <c r="N57" s="21"/>
      <c r="O57" s="21"/>
    </row>
    <row r="58" spans="2:15" x14ac:dyDescent="0.25">
      <c r="B58" s="57"/>
      <c r="C58" s="57"/>
      <c r="D58" s="57"/>
      <c r="E58" s="57"/>
      <c r="F58" s="57"/>
      <c r="G58" s="21"/>
      <c r="H58" s="21"/>
      <c r="I58" s="21"/>
      <c r="J58" s="21"/>
      <c r="K58" s="21"/>
      <c r="L58" s="21"/>
      <c r="M58" s="21"/>
      <c r="N58" s="21"/>
      <c r="O58" s="21"/>
    </row>
    <row r="59" spans="2:15" x14ac:dyDescent="0.25">
      <c r="B59" s="21"/>
      <c r="C59" s="21"/>
      <c r="D59" s="21"/>
      <c r="E59" s="21"/>
      <c r="F59" s="21"/>
      <c r="G59" s="21"/>
      <c r="H59" s="21"/>
      <c r="I59" s="21"/>
      <c r="J59" s="21"/>
      <c r="K59" s="21"/>
      <c r="L59" s="21"/>
      <c r="M59" s="21"/>
      <c r="N59" s="21"/>
      <c r="O59" s="21"/>
    </row>
    <row r="60" spans="2:15" x14ac:dyDescent="0.25">
      <c r="B60" s="21"/>
      <c r="C60" s="21"/>
      <c r="D60" s="21"/>
      <c r="E60" s="21"/>
      <c r="F60" s="21"/>
      <c r="G60" s="21"/>
      <c r="H60" s="21"/>
      <c r="I60" s="21"/>
      <c r="J60" s="21"/>
      <c r="K60" s="21"/>
      <c r="L60" s="21"/>
      <c r="M60" s="21"/>
      <c r="N60" s="21"/>
      <c r="O60" s="21"/>
    </row>
    <row r="61" spans="2:15" x14ac:dyDescent="0.25">
      <c r="B61" s="21"/>
      <c r="C61" s="21"/>
      <c r="D61" s="21"/>
      <c r="E61" s="21"/>
      <c r="F61" s="21"/>
      <c r="G61" s="21"/>
      <c r="H61" s="21"/>
      <c r="I61" s="21"/>
      <c r="J61" s="21"/>
      <c r="K61" s="21"/>
      <c r="L61" s="21"/>
      <c r="M61" s="21"/>
      <c r="N61" s="21"/>
      <c r="O61" s="21"/>
    </row>
    <row r="62" spans="2:15" x14ac:dyDescent="0.25">
      <c r="B62" s="21"/>
      <c r="C62" s="21"/>
      <c r="D62" s="21"/>
      <c r="E62" s="21"/>
      <c r="F62" s="21"/>
      <c r="G62" s="21"/>
      <c r="H62" s="21"/>
      <c r="I62" s="21"/>
      <c r="J62" s="21"/>
      <c r="K62" s="21"/>
      <c r="L62" s="21"/>
      <c r="M62" s="21"/>
      <c r="N62" s="21"/>
      <c r="O62" s="21"/>
    </row>
  </sheetData>
  <mergeCells count="12">
    <mergeCell ref="B10:F10"/>
    <mergeCell ref="B15:F15"/>
    <mergeCell ref="B17:F17"/>
    <mergeCell ref="B22:F22"/>
    <mergeCell ref="B39:F39"/>
    <mergeCell ref="B55:F58"/>
    <mergeCell ref="D45:F45"/>
    <mergeCell ref="B35:F35"/>
    <mergeCell ref="B36:F36"/>
    <mergeCell ref="B37:F37"/>
    <mergeCell ref="B38:F38"/>
    <mergeCell ref="C49:F49"/>
  </mergeCells>
  <pageMargins left="0.7" right="0.7" top="0.75" bottom="0.75" header="0.3" footer="0.3"/>
  <pageSetup paperSize="9" scale="7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2026-06-22T17:09:07Z</cp:lastPrinted>
  <dcterms:created xsi:type="dcterms:W3CDTF">2020-12-14T19:54:01Z</dcterms:created>
  <dcterms:modified xsi:type="dcterms:W3CDTF">2026-06-22T17:09:12Z</dcterms:modified>
</cp:coreProperties>
</file>