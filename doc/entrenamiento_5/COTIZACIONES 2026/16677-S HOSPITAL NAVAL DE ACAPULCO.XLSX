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13D7255-787C-404E-A670-5937136A863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32" i="3"/>
  <c r="F31" i="3"/>
  <c r="F30" i="3"/>
  <c r="F29" i="3"/>
  <c r="F28" i="3"/>
  <c r="F27" i="3"/>
  <c r="F26" i="3"/>
  <c r="F25" i="3"/>
  <c r="F38" i="3" l="1"/>
  <c r="F40" i="3" s="1"/>
  <c r="E14" i="1"/>
  <c r="E16" i="1"/>
  <c r="F41" i="3" l="1"/>
  <c r="F42" i="3" s="1"/>
  <c r="E17" i="1"/>
  <c r="E18" i="1" s="1"/>
</calcChain>
</file>

<file path=xl/sharedStrings.xml><?xml version="1.0" encoding="utf-8"?>
<sst xmlns="http://schemas.openxmlformats.org/spreadsheetml/2006/main" count="92" uniqueCount="76">
  <si>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</si>
  <si>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</si>
  <si>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</si>
  <si>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</si>
  <si>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</si>
  <si>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</si>
  <si>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</si>
  <si>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</si>
  <si>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</si>
  <si>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</si>
  <si>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</si>
  <si>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</si>
  <si>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</si>
  <si>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</si>
  <si>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</si>
  <si>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</si>
  <si>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</si>
  <si>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</si>
  <si>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</si>
  <si>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</si>
  <si>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</si>
  <si>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</si>
  <si>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</si>
  <si>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</si>
  <si>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</si>
  <si>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</si>
  <si>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</si>
  <si>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</si>
  <si>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</si>
  <si>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</si>
  <si>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</si>
  <si>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</si>
  <si>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</si>
  <si>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</si>
  <si>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</si>
  <si>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</si>
  <si>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</si>
  <si>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</si>
  <si>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</si>
  <si>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</si>
  <si>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</si>
  <si>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</si>
  <si>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</si>
  <si>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</si>
  <si>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</si>
  <si>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</si>
  <si>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</si>
  <si>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</si>
  <si>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</si>
  <si>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</si>
  <si>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</si>
  <si>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PZAS</t>
  </si>
  <si>
    <t>COMPRESOR CON CAPACIDAD DE 30LBRS CONTINUAS, MANGUERA DE 10 MTRS, CONEXIONES RAPIDAS Y PISTOLA PARA APLICAR EL RECUBRIMIENTO.</t>
  </si>
  <si>
    <t xml:space="preserve">SECRETARIA DE MARINA </t>
  </si>
  <si>
    <t>SECRETARIA DE LA DEFENSA NACIONAL</t>
  </si>
  <si>
    <t>AT¨N: TTE. XIOMARA CHAVEZ</t>
  </si>
  <si>
    <t xml:space="preserve">OBRA: HOSPITAL NAVAL DE ACAPULCO  </t>
  </si>
  <si>
    <t>PRES. REF. 16404-S/2026CG</t>
  </si>
  <si>
    <r>
      <t xml:space="preserve">PRESENTAMOS A SU AMABLE CONSIDERACIÓN EL PRESUPUESTO PARA 820m2 DE SUMINISTRO </t>
    </r>
    <r>
      <rPr>
        <sz val="9"/>
        <color theme="1"/>
        <rFont val="Times New Roman"/>
        <family val="1"/>
      </rPr>
      <t xml:space="preserve">DE LOS SIGUIENTES MATERIALES: </t>
    </r>
  </si>
  <si>
    <t xml:space="preserve">1.- MORTERO PLASTICO MALLA 350-400 (REND. 16M2) </t>
  </si>
  <si>
    <t>CUBETAS</t>
  </si>
  <si>
    <t>2.- ARENA SILICA MALLA 250-300 (REND. 22M2)</t>
  </si>
  <si>
    <t xml:space="preserve">3.- PRAIMER GLASS REF. S.M.A (REND. 85M2) </t>
  </si>
  <si>
    <t>4.- CHISA GLASS REF. S.M.A  (REND. 55/60M2)</t>
  </si>
  <si>
    <t>CUBETA</t>
  </si>
  <si>
    <t>5.- VITROGLASS ECOLOGICO (REND. 180M2)</t>
  </si>
  <si>
    <t>6.- RODILLO DE FELPA (REND 250M2)</t>
  </si>
  <si>
    <t>7.- BROCHA PARA APLICACIÓN (REND. 350M2)</t>
  </si>
  <si>
    <t>8.- LIJA MEDIANA No. 80 (REND. 20M2)</t>
  </si>
  <si>
    <t>9.- PAPEL PARA PROTECCIÓN (REND. 250M2)</t>
  </si>
  <si>
    <t>10.- MASKING TAPE PARA PROTECCIÓN (REND. 12.5M2)</t>
  </si>
  <si>
    <t xml:space="preserve">11.- KIT DE APLICACIÓN DE CHISA, QUE CONSISTE EN: </t>
  </si>
  <si>
    <t>PZA</t>
  </si>
  <si>
    <t>DESC 12%</t>
  </si>
  <si>
    <t>SUB TOTAL</t>
  </si>
  <si>
    <t>CIUDAD DE MEXICO A 26 DE AGOSTO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</si>
</sst>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1" fillId="0" borderId="0" xfId="0" applyFont="1" applyAlignment="1">
      <alignment horizontal="center"/>
    </xf>
    <xf numFmtId="164" fontId="1" fillId="0" borderId="0" xfId="0" applyNumberFormat="1"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5" fillId="0" borderId="0" xfId="0" applyFont="1" applyAlignment="1">
      <alignment horizontal="justify" vertical="center" wrapText="1"/>
    </xf>
    <xf numFmtId="0" fontId="1" fillId="0" borderId="0" xfId="0" applyFont="1" applyAlignment="1">
      <alignment horizontal="center" wrapText="1"/>
    </xf>
    <xf numFmtId="164" fontId="1" fillId="0" borderId="0" xfId="1" applyNumberFormat="1" applyFont="1" applyAlignment="1">
      <alignment horizontal="right" vertical="center"/>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2" fillId="0" borderId="0" xfId="0" applyFont="1" applyAlignment="1">
      <alignment horizontal="left" vertical="center"/>
    </xf>
    <xf numFmtId="164" fontId="1" fillId="0" borderId="0" xfId="0" applyNumberFormat="1" applyFont="1" applyAlignment="1">
      <alignment horizontal="righ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1" t="s">
        <v>38</v>
      </c>
      <c r="B2" s="71"/>
      <c r="C2" s="71"/>
      <c r="D2" s="71"/>
      <c r="E2" s="71"/>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0" t="s">
        <v>41</v>
      </c>
      <c r="B6" s="70"/>
      <c r="C6" s="70"/>
      <c r="D6" s="70"/>
      <c r="E6" s="70"/>
      <c r="F6" s="1"/>
      <c r="G6" s="1"/>
      <c r="H6" s="1"/>
    </row>
    <row r="7" spans="1:8" x14ac:dyDescent="0.25">
      <c r="A7" s="31"/>
      <c r="B7" s="31"/>
      <c r="C7" s="22"/>
      <c r="D7" s="22"/>
      <c r="E7" s="22"/>
    </row>
    <row r="8" spans="1:8" x14ac:dyDescent="0.25">
      <c r="A8" s="31"/>
      <c r="B8" s="31"/>
      <c r="C8" s="22"/>
      <c r="D8" s="22"/>
      <c r="E8" s="22"/>
    </row>
    <row r="9" spans="1:8" x14ac:dyDescent="0.25">
      <c r="A9" s="67" t="s">
        <v>32</v>
      </c>
      <c r="B9" s="67"/>
      <c r="C9" s="67"/>
      <c r="D9" s="67"/>
      <c r="E9" s="67"/>
    </row>
    <row r="10" spans="1:8" x14ac:dyDescent="0.25">
      <c r="A10" s="32" t="s">
        <v>45</v>
      </c>
      <c r="B10" s="32"/>
      <c r="C10" s="23"/>
      <c r="D10" s="23"/>
      <c r="E10" s="23"/>
    </row>
    <row r="11" spans="1:8" x14ac:dyDescent="0.25">
      <c r="A11" s="33" t="s">
        <v>2</v>
      </c>
      <c r="B11" s="33"/>
      <c r="C11" s="23"/>
      <c r="D11" s="23"/>
      <c r="E11" s="23"/>
    </row>
    <row r="12" spans="1:8" ht="30" customHeight="1" x14ac:dyDescent="0.25">
      <c r="A12" s="69" t="s">
        <v>34</v>
      </c>
      <c r="B12" s="69"/>
      <c r="C12" s="69"/>
      <c r="D12" s="69"/>
      <c r="E12" s="69"/>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7" t="s">
        <v>32</v>
      </c>
      <c r="B21" s="67"/>
      <c r="C21" s="67"/>
      <c r="D21" s="67"/>
      <c r="E21" s="67"/>
      <c r="F21" s="5"/>
    </row>
    <row r="22" spans="1:7" x14ac:dyDescent="0.25">
      <c r="A22" s="72" t="s">
        <v>42</v>
      </c>
      <c r="B22" s="72"/>
      <c r="C22" s="72"/>
      <c r="D22" s="72"/>
      <c r="E22" s="72"/>
    </row>
    <row r="23" spans="1:7" ht="27" customHeight="1" x14ac:dyDescent="0.25">
      <c r="A23" s="68" t="s">
        <v>39</v>
      </c>
      <c r="B23" s="68"/>
      <c r="C23" s="68"/>
      <c r="D23" s="68"/>
      <c r="E23" s="68"/>
    </row>
    <row r="24" spans="1:7" x14ac:dyDescent="0.25">
      <c r="A24" s="75" t="s">
        <v>6</v>
      </c>
      <c r="B24" s="75"/>
      <c r="C24" s="75"/>
      <c r="D24" s="75"/>
      <c r="E24" s="75"/>
    </row>
    <row r="25" spans="1:7" ht="57.75" customHeight="1" x14ac:dyDescent="0.25">
      <c r="A25" s="74" t="s">
        <v>37</v>
      </c>
      <c r="B25" s="74"/>
      <c r="C25" s="74"/>
      <c r="D25" s="74"/>
      <c r="E25" s="74"/>
      <c r="F25" s="5"/>
    </row>
    <row r="26" spans="1:7" x14ac:dyDescent="0.25">
      <c r="A26" s="75" t="s">
        <v>7</v>
      </c>
      <c r="B26" s="75"/>
      <c r="C26" s="75"/>
      <c r="D26" s="75"/>
      <c r="E26" s="75"/>
    </row>
    <row r="27" spans="1:7" ht="33.75" customHeight="1" x14ac:dyDescent="0.25">
      <c r="A27" s="74" t="s">
        <v>8</v>
      </c>
      <c r="B27" s="74"/>
      <c r="C27" s="74"/>
      <c r="D27" s="74"/>
      <c r="E27" s="74"/>
    </row>
    <row r="28" spans="1:7" ht="43.5" customHeight="1" x14ac:dyDescent="0.25">
      <c r="A28" s="76" t="s">
        <v>9</v>
      </c>
      <c r="B28" s="76"/>
      <c r="C28" s="76"/>
      <c r="D28" s="76"/>
      <c r="E28" s="76"/>
    </row>
    <row r="29" spans="1:7" ht="49.5" customHeight="1" x14ac:dyDescent="0.25">
      <c r="A29" s="76" t="s">
        <v>10</v>
      </c>
      <c r="B29" s="76"/>
      <c r="C29" s="76"/>
      <c r="D29" s="76"/>
      <c r="E29" s="76"/>
    </row>
    <row r="30" spans="1:7" ht="21" customHeight="1" x14ac:dyDescent="0.25">
      <c r="A30" s="76" t="s">
        <v>11</v>
      </c>
      <c r="B30" s="76"/>
      <c r="C30" s="76"/>
      <c r="D30" s="76"/>
      <c r="E30" s="76"/>
    </row>
    <row r="31" spans="1:7" ht="77.25" customHeight="1" x14ac:dyDescent="0.25">
      <c r="A31" s="74" t="s">
        <v>12</v>
      </c>
      <c r="B31" s="74"/>
      <c r="C31" s="74"/>
      <c r="D31" s="74"/>
      <c r="E31" s="74"/>
    </row>
    <row r="32" spans="1:7" ht="19.5" customHeight="1" x14ac:dyDescent="0.25">
      <c r="A32" s="74" t="s">
        <v>13</v>
      </c>
      <c r="B32" s="74"/>
      <c r="C32" s="74"/>
      <c r="D32" s="74"/>
      <c r="E32" s="74"/>
    </row>
    <row r="33" spans="1:5" ht="49.5" customHeight="1" x14ac:dyDescent="0.25">
      <c r="A33" s="74" t="s">
        <v>14</v>
      </c>
      <c r="B33" s="74"/>
      <c r="C33" s="74"/>
      <c r="D33" s="74"/>
      <c r="E33" s="74"/>
    </row>
    <row r="34" spans="1:5" ht="24" customHeight="1" x14ac:dyDescent="0.25">
      <c r="A34" s="77" t="s">
        <v>15</v>
      </c>
      <c r="B34" s="77"/>
      <c r="C34" s="77"/>
      <c r="D34" s="77"/>
      <c r="E34" s="77"/>
    </row>
    <row r="35" spans="1:5" ht="67.5" customHeight="1" x14ac:dyDescent="0.25">
      <c r="A35" s="76" t="s">
        <v>16</v>
      </c>
      <c r="B35" s="76"/>
      <c r="C35" s="76"/>
      <c r="D35" s="76"/>
      <c r="E35" s="76"/>
    </row>
    <row r="36" spans="1:5" ht="15" customHeight="1" x14ac:dyDescent="0.25">
      <c r="A36" s="74" t="s">
        <v>17</v>
      </c>
      <c r="B36" s="74"/>
      <c r="C36" s="74"/>
      <c r="D36" s="74"/>
      <c r="E36" s="74"/>
    </row>
    <row r="37" spans="1:5" x14ac:dyDescent="0.25">
      <c r="A37" s="33" t="s">
        <v>18</v>
      </c>
      <c r="B37" s="33"/>
      <c r="C37" s="23"/>
      <c r="D37" s="23"/>
      <c r="E37" s="23"/>
    </row>
    <row r="38" spans="1:5" x14ac:dyDescent="0.25">
      <c r="A38" s="40" t="s">
        <v>23</v>
      </c>
      <c r="B38" s="40"/>
      <c r="C38" s="73" t="s">
        <v>30</v>
      </c>
      <c r="D38" s="73"/>
      <c r="E38" s="73"/>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62"/>
  <sheetViews>
    <sheetView tabSelected="1" topLeftCell="A16" zoomScaleNormal="100" zoomScalePageLayoutView="50" workbookViewId="0">
      <selection activeCell="B54" sqref="B54"/>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8" t="s">
        <v>75</v>
      </c>
      <c r="C8" s="58"/>
      <c r="D8" s="58"/>
      <c r="E8" s="58"/>
      <c r="F8" s="58"/>
    </row>
    <row r="9" spans="2:6" x14ac:dyDescent="0.25">
      <c r="B9" s="46"/>
      <c r="C9" s="46"/>
      <c r="D9" s="46"/>
      <c r="E9" s="46"/>
      <c r="F9" s="46"/>
    </row>
    <row r="10" spans="2:6" x14ac:dyDescent="0.25">
      <c r="B10" s="46"/>
      <c r="C10" s="46"/>
      <c r="D10" s="46"/>
      <c r="E10" s="46"/>
      <c r="F10" s="46"/>
    </row>
    <row r="11" spans="2:6" x14ac:dyDescent="0.25">
      <c r="B11" s="1" t="s">
        <v>53</v>
      </c>
      <c r="C11" s="1"/>
      <c r="D11" s="19"/>
      <c r="E11" s="19"/>
      <c r="F11" s="19"/>
    </row>
    <row r="12" spans="2:6" x14ac:dyDescent="0.25">
      <c r="B12" s="1" t="s">
        <v>54</v>
      </c>
      <c r="C12" s="1"/>
      <c r="D12" s="19"/>
      <c r="E12" s="19"/>
      <c r="F12" s="19"/>
    </row>
    <row r="13" spans="2:6" x14ac:dyDescent="0.25">
      <c r="B13" s="1" t="s">
        <v>0</v>
      </c>
      <c r="C13" s="1"/>
      <c r="D13" s="19"/>
      <c r="E13" s="19"/>
      <c r="F13" s="19"/>
    </row>
    <row r="14" spans="2:6" x14ac:dyDescent="0.25">
      <c r="B14" s="59" t="s">
        <v>55</v>
      </c>
      <c r="C14" s="59"/>
      <c r="D14" s="59"/>
      <c r="E14" s="59"/>
      <c r="F14" s="59"/>
    </row>
    <row r="15" spans="2:6" x14ac:dyDescent="0.25">
      <c r="B15" s="17"/>
      <c r="C15" s="17"/>
      <c r="D15" s="17"/>
      <c r="E15" s="17"/>
      <c r="F15" s="17"/>
    </row>
    <row r="16" spans="2:6" x14ac:dyDescent="0.25">
      <c r="B16" s="17"/>
      <c r="C16" s="17"/>
      <c r="D16" s="17"/>
      <c r="E16" s="17"/>
      <c r="F16" s="17"/>
    </row>
    <row r="17" spans="2:10" x14ac:dyDescent="0.25">
      <c r="B17" s="78" t="s">
        <v>56</v>
      </c>
      <c r="C17" s="78"/>
      <c r="D17" s="78"/>
      <c r="E17" s="78"/>
      <c r="F17" s="78"/>
    </row>
    <row r="18" spans="2:10" ht="12.75" customHeight="1" x14ac:dyDescent="0.25">
      <c r="B18" s="8" t="s">
        <v>57</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60" t="s">
        <v>58</v>
      </c>
      <c r="C21" s="60"/>
      <c r="D21" s="60"/>
      <c r="E21" s="60"/>
      <c r="F21" s="60"/>
    </row>
    <row r="22" spans="2:10" ht="24" customHeight="1" x14ac:dyDescent="0.25">
      <c r="B22" s="28"/>
      <c r="C22" s="28"/>
      <c r="D22" s="28"/>
      <c r="E22" s="28"/>
      <c r="F22" s="28"/>
    </row>
    <row r="23" spans="2:10" ht="13.5" customHeight="1" x14ac:dyDescent="0.25">
      <c r="B23" s="49" t="s">
        <v>21</v>
      </c>
      <c r="C23" s="49"/>
      <c r="D23" s="49" t="s">
        <v>19</v>
      </c>
      <c r="E23" s="49" t="s">
        <v>25</v>
      </c>
      <c r="F23" s="49" t="s">
        <v>20</v>
      </c>
    </row>
    <row r="24" spans="2:10" ht="27" customHeight="1" x14ac:dyDescent="0.25">
      <c r="B24" s="8"/>
      <c r="C24" s="8"/>
      <c r="D24" s="18"/>
      <c r="E24" s="18"/>
      <c r="F24" s="17"/>
    </row>
    <row r="25" spans="2:10" x14ac:dyDescent="0.25">
      <c r="B25" s="51" t="s">
        <v>59</v>
      </c>
      <c r="C25" s="53" t="s">
        <v>60</v>
      </c>
      <c r="D25" s="47">
        <v>51</v>
      </c>
      <c r="E25" s="79">
        <v>1205.56</v>
      </c>
      <c r="F25" s="48">
        <f>D25*E25</f>
        <v>61483.56</v>
      </c>
    </row>
    <row r="26" spans="2:10" x14ac:dyDescent="0.25">
      <c r="B26" s="52" t="s">
        <v>61</v>
      </c>
      <c r="C26" s="53" t="s">
        <v>60</v>
      </c>
      <c r="D26" s="5">
        <v>37</v>
      </c>
      <c r="E26" s="79">
        <v>1188.6400000000001</v>
      </c>
      <c r="F26" s="48">
        <f t="shared" ref="F26" si="0">D26*E26</f>
        <v>43979.68</v>
      </c>
    </row>
    <row r="27" spans="2:10" x14ac:dyDescent="0.25">
      <c r="B27" s="52" t="s">
        <v>62</v>
      </c>
      <c r="C27" s="53" t="s">
        <v>60</v>
      </c>
      <c r="D27" s="47">
        <v>10</v>
      </c>
      <c r="E27" s="54">
        <v>1028.18</v>
      </c>
      <c r="F27" s="48">
        <f t="shared" ref="F27" si="1">E27*D27</f>
        <v>10281.800000000001</v>
      </c>
    </row>
    <row r="28" spans="2:10" x14ac:dyDescent="0.25">
      <c r="B28" s="51" t="s">
        <v>63</v>
      </c>
      <c r="C28" s="53" t="s">
        <v>64</v>
      </c>
      <c r="D28" s="5">
        <v>14</v>
      </c>
      <c r="E28" s="56">
        <v>4797.13</v>
      </c>
      <c r="F28" s="57">
        <f t="shared" ref="F28:F29" si="2">D28*E28</f>
        <v>67159.820000000007</v>
      </c>
    </row>
    <row r="29" spans="2:10" x14ac:dyDescent="0.25">
      <c r="B29" s="51" t="s">
        <v>65</v>
      </c>
      <c r="C29" s="53" t="s">
        <v>64</v>
      </c>
      <c r="D29" s="5">
        <v>4</v>
      </c>
      <c r="E29" s="56">
        <v>5023.57</v>
      </c>
      <c r="F29" s="57">
        <f t="shared" si="2"/>
        <v>20094.28</v>
      </c>
      <c r="J29" s="44"/>
    </row>
    <row r="30" spans="2:10" x14ac:dyDescent="0.25">
      <c r="B30" s="52" t="s">
        <v>66</v>
      </c>
      <c r="C30" s="5" t="s">
        <v>51</v>
      </c>
      <c r="D30" s="47">
        <v>3</v>
      </c>
      <c r="E30" s="54">
        <v>76.400000000000006</v>
      </c>
      <c r="F30" s="48">
        <f t="shared" ref="F30:F34" si="3">E30*D30</f>
        <v>229.20000000000002</v>
      </c>
      <c r="H30" s="12"/>
    </row>
    <row r="31" spans="2:10" x14ac:dyDescent="0.25">
      <c r="B31" s="52" t="s">
        <v>67</v>
      </c>
      <c r="C31" s="5" t="s">
        <v>51</v>
      </c>
      <c r="D31" s="55">
        <v>2</v>
      </c>
      <c r="E31" s="54">
        <v>64.2</v>
      </c>
      <c r="F31" s="48">
        <f t="shared" si="3"/>
        <v>128.4</v>
      </c>
    </row>
    <row r="32" spans="2:10" x14ac:dyDescent="0.25">
      <c r="B32" s="52" t="s">
        <v>68</v>
      </c>
      <c r="C32" s="5" t="s">
        <v>51</v>
      </c>
      <c r="D32" s="55">
        <v>41</v>
      </c>
      <c r="E32" s="54">
        <v>19.3</v>
      </c>
      <c r="F32" s="48">
        <f t="shared" si="3"/>
        <v>791.30000000000007</v>
      </c>
    </row>
    <row r="33" spans="2:6" x14ac:dyDescent="0.25">
      <c r="B33" s="52" t="s">
        <v>69</v>
      </c>
      <c r="C33" s="5" t="s">
        <v>51</v>
      </c>
      <c r="D33" s="55">
        <v>3</v>
      </c>
      <c r="E33" s="54">
        <v>740.33</v>
      </c>
      <c r="F33" s="48">
        <f t="shared" si="3"/>
        <v>2220.9900000000002</v>
      </c>
    </row>
    <row r="34" spans="2:6" x14ac:dyDescent="0.25">
      <c r="B34" s="52" t="s">
        <v>70</v>
      </c>
      <c r="C34" s="5" t="s">
        <v>51</v>
      </c>
      <c r="D34" s="55">
        <v>65</v>
      </c>
      <c r="E34" s="54">
        <v>18.2</v>
      </c>
      <c r="F34" s="48">
        <f t="shared" si="3"/>
        <v>1183</v>
      </c>
    </row>
    <row r="35" spans="2:6" x14ac:dyDescent="0.25">
      <c r="B35" s="45" t="s">
        <v>71</v>
      </c>
      <c r="C35" s="5" t="s">
        <v>72</v>
      </c>
      <c r="D35" s="5">
        <v>1</v>
      </c>
      <c r="E35" s="56">
        <v>12569.9</v>
      </c>
      <c r="F35" s="57">
        <f>E35*D35</f>
        <v>12569.9</v>
      </c>
    </row>
    <row r="36" spans="2:6" ht="36" x14ac:dyDescent="0.25">
      <c r="B36" s="4" t="s">
        <v>52</v>
      </c>
      <c r="C36" s="55"/>
      <c r="D36" s="5"/>
      <c r="E36" s="11"/>
      <c r="F36" s="11"/>
    </row>
    <row r="37" spans="2:6" x14ac:dyDescent="0.25">
      <c r="B37" s="4"/>
      <c r="C37" s="4"/>
      <c r="D37" s="20"/>
      <c r="E37" s="4"/>
      <c r="F37" s="12"/>
    </row>
    <row r="38" spans="2:6" ht="21" customHeight="1" x14ac:dyDescent="0.25">
      <c r="B38" s="4"/>
      <c r="C38" s="4"/>
      <c r="D38" s="4"/>
      <c r="E38" s="4" t="s">
        <v>3</v>
      </c>
      <c r="F38" s="56">
        <f>SUM(F25:F37)</f>
        <v>220121.92999999996</v>
      </c>
    </row>
    <row r="39" spans="2:6" ht="21" customHeight="1" x14ac:dyDescent="0.25">
      <c r="B39" s="4"/>
      <c r="C39" s="4"/>
      <c r="D39" s="4"/>
      <c r="E39" s="4" t="s">
        <v>73</v>
      </c>
      <c r="F39" s="56">
        <v>26414.63</v>
      </c>
    </row>
    <row r="40" spans="2:6" ht="21" customHeight="1" x14ac:dyDescent="0.25">
      <c r="B40" s="4"/>
      <c r="C40" s="4"/>
      <c r="D40" s="4"/>
      <c r="E40" s="4" t="s">
        <v>74</v>
      </c>
      <c r="F40" s="56">
        <f>F38-F39</f>
        <v>193707.29999999996</v>
      </c>
    </row>
    <row r="41" spans="2:6" ht="21" customHeight="1" x14ac:dyDescent="0.25">
      <c r="B41" s="4"/>
      <c r="C41" s="4"/>
      <c r="D41" s="16"/>
      <c r="E41" s="4" t="s">
        <v>4</v>
      </c>
      <c r="F41" s="56">
        <f>F40*16%</f>
        <v>30993.167999999994</v>
      </c>
    </row>
    <row r="42" spans="2:6" ht="21" customHeight="1" x14ac:dyDescent="0.25">
      <c r="B42" s="4"/>
      <c r="C42" s="4"/>
      <c r="D42" s="16"/>
      <c r="E42" s="4" t="s">
        <v>5</v>
      </c>
      <c r="F42" s="56">
        <f>F40+F41</f>
        <v>224700.46799999996</v>
      </c>
    </row>
    <row r="43" spans="2:6" x14ac:dyDescent="0.25">
      <c r="B43" s="49"/>
      <c r="C43" s="50"/>
      <c r="D43" s="50"/>
      <c r="E43" s="50"/>
      <c r="F43" s="50"/>
    </row>
    <row r="44" spans="2:6" x14ac:dyDescent="0.25">
      <c r="B44" s="61" t="s">
        <v>24</v>
      </c>
      <c r="C44" s="62"/>
      <c r="D44" s="62"/>
      <c r="E44" s="62"/>
      <c r="F44" s="62"/>
    </row>
    <row r="45" spans="2:6" x14ac:dyDescent="0.25">
      <c r="B45" s="61"/>
      <c r="C45" s="62"/>
      <c r="D45" s="62"/>
      <c r="E45" s="62"/>
      <c r="F45" s="62"/>
    </row>
    <row r="46" spans="2:6" ht="27" customHeight="1" x14ac:dyDescent="0.25">
      <c r="B46" s="60" t="s">
        <v>26</v>
      </c>
      <c r="C46" s="60"/>
      <c r="D46" s="60"/>
      <c r="E46" s="60"/>
      <c r="F46" s="60"/>
    </row>
    <row r="47" spans="2:6" ht="15" customHeight="1" x14ac:dyDescent="0.25">
      <c r="B47" s="60" t="s">
        <v>27</v>
      </c>
      <c r="C47" s="60"/>
      <c r="D47" s="60"/>
      <c r="E47" s="60"/>
      <c r="F47" s="60"/>
    </row>
    <row r="48" spans="2:6" ht="13.5" customHeight="1" x14ac:dyDescent="0.25">
      <c r="B48" s="60" t="s">
        <v>46</v>
      </c>
      <c r="C48" s="60"/>
      <c r="D48" s="60"/>
      <c r="E48" s="60"/>
      <c r="F48" s="60"/>
    </row>
    <row r="49" spans="2:8" ht="15" customHeight="1" x14ac:dyDescent="0.25">
      <c r="B49" s="60" t="s">
        <v>28</v>
      </c>
      <c r="C49" s="60"/>
      <c r="D49" s="60"/>
      <c r="E49" s="60"/>
      <c r="F49" s="60"/>
    </row>
    <row r="50" spans="2:8" ht="69" customHeight="1" x14ac:dyDescent="0.25">
      <c r="B50" s="60" t="s">
        <v>47</v>
      </c>
      <c r="C50" s="60"/>
      <c r="D50" s="60"/>
      <c r="E50" s="60"/>
      <c r="F50" s="60"/>
    </row>
    <row r="51" spans="2:8" ht="16.5" customHeight="1" x14ac:dyDescent="0.25">
      <c r="B51" s="28"/>
      <c r="C51" s="28"/>
      <c r="D51" s="28"/>
      <c r="E51" s="28"/>
      <c r="F51" s="28"/>
    </row>
    <row r="52" spans="2:8" ht="16.5" customHeight="1" x14ac:dyDescent="0.25">
      <c r="B52" s="19"/>
      <c r="C52" s="19"/>
      <c r="D52" s="19"/>
      <c r="E52" s="19"/>
      <c r="F52" s="19"/>
    </row>
    <row r="53" spans="2:8" ht="20.25" customHeight="1" x14ac:dyDescent="0.25">
      <c r="B53" s="65" t="s">
        <v>48</v>
      </c>
      <c r="C53" s="62"/>
      <c r="D53" s="62"/>
      <c r="E53" s="62"/>
      <c r="F53" s="62"/>
    </row>
    <row r="54" spans="2:8" x14ac:dyDescent="0.25">
      <c r="B54" s="9"/>
      <c r="C54" s="9"/>
      <c r="D54" s="20"/>
      <c r="E54" s="20"/>
      <c r="F54" s="20"/>
      <c r="H54" s="14"/>
    </row>
    <row r="55" spans="2:8" x14ac:dyDescent="0.25">
      <c r="B55" s="9"/>
      <c r="C55" s="9"/>
      <c r="D55" s="20"/>
      <c r="E55" s="20"/>
      <c r="F55" s="20"/>
    </row>
    <row r="56" spans="2:8" x14ac:dyDescent="0.25">
      <c r="B56" s="65" t="s">
        <v>49</v>
      </c>
      <c r="C56" s="62"/>
      <c r="D56" s="62"/>
      <c r="E56" s="62"/>
      <c r="F56" s="62"/>
    </row>
    <row r="57" spans="2:8" x14ac:dyDescent="0.25">
      <c r="B57" s="66" t="s">
        <v>50</v>
      </c>
      <c r="C57" s="62"/>
      <c r="D57" s="62"/>
      <c r="E57" s="62"/>
      <c r="F57" s="62"/>
    </row>
    <row r="58" spans="2:8" x14ac:dyDescent="0.25">
      <c r="B58" s="13"/>
      <c r="C58" s="13"/>
      <c r="D58" s="20"/>
      <c r="E58" s="20"/>
      <c r="F58" s="20"/>
    </row>
    <row r="59" spans="2:8" x14ac:dyDescent="0.25">
      <c r="B59" s="21"/>
      <c r="C59" s="63"/>
      <c r="D59" s="64"/>
      <c r="E59" s="64"/>
      <c r="F59" s="64"/>
    </row>
    <row r="60" spans="2:8" x14ac:dyDescent="0.25">
      <c r="B60" s="13"/>
      <c r="C60" s="13"/>
      <c r="D60" s="20"/>
      <c r="E60" s="20"/>
      <c r="F60" s="20"/>
    </row>
    <row r="61" spans="2:8" x14ac:dyDescent="0.25">
      <c r="B61" s="13"/>
      <c r="C61" s="13"/>
      <c r="D61" s="20"/>
      <c r="E61" s="20"/>
      <c r="F61" s="20"/>
    </row>
    <row r="62" spans="2:8" x14ac:dyDescent="0.25">
      <c r="B62" s="13"/>
      <c r="C62" s="13"/>
      <c r="D62" s="20"/>
      <c r="E62" s="20"/>
      <c r="F62" s="20"/>
    </row>
  </sheetData>
  <mergeCells count="15">
    <mergeCell ref="B47:F47"/>
    <mergeCell ref="B48:F48"/>
    <mergeCell ref="B49:F49"/>
    <mergeCell ref="B50:F50"/>
    <mergeCell ref="C59:F59"/>
    <mergeCell ref="B53:F53"/>
    <mergeCell ref="B56:F56"/>
    <mergeCell ref="B57:F57"/>
    <mergeCell ref="B8:F8"/>
    <mergeCell ref="B14:F14"/>
    <mergeCell ref="B21:F21"/>
    <mergeCell ref="B46:F46"/>
    <mergeCell ref="B44:F44"/>
    <mergeCell ref="B45:F45"/>
    <mergeCell ref="B17:F17"/>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2026-08-26T22:59:55Z</cp:lastPrinted>
  <dcterms:created xsi:type="dcterms:W3CDTF">2020-12-14T19:54:01Z</dcterms:created>
  <dcterms:modified xsi:type="dcterms:W3CDTF">2026-08-26T23:01:42Z</dcterms:modified>
</cp:coreProperties>
</file>