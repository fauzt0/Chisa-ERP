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heckCompatibility="1"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96A8D454-CF44-4827-B2A6-666F39D53659}"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2" i="3" l="1"/>
  <c r="F41" i="3"/>
  <c r="F40" i="3"/>
  <c r="F36" i="3"/>
  <c r="F35" i="3"/>
  <c r="F34" i="3"/>
  <c r="F33" i="3"/>
  <c r="F31" i="3"/>
  <c r="F32" i="3"/>
  <c r="F30" i="3"/>
  <c r="E17" i="1" l="1"/>
  <c r="E16" i="1"/>
  <c r="E19" i="1" l="1"/>
  <c r="E20" i="1" l="1"/>
  <c r="E21" i="1" s="1"/>
</calcChain>
</file>

<file path=xl/sharedStrings.xml><?xml version="1.0" encoding="utf-8"?>
<sst xmlns="http://schemas.openxmlformats.org/spreadsheetml/2006/main" count="79" uniqueCount="69">
  <si>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</si>
  <si>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</si>
  <si>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</si>
  <si>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</si>
  <si>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</si>
  <si>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</si>
  <si>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</si>
  <si>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</si>
  <si>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</si>
  <si>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</si>
  <si>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</si>
  <si>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</si>
  <si>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</si>
  <si>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</si>
  <si>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</si>
  <si>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</si>
  <si>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</si>
  <si>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</si>
  <si>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</si>
  <si>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</si>
  <si>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</si>
  <si>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</si>
  <si>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</si>
  <si>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</si>
  <si>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</si>
  <si>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</si>
  <si>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</si>
  <si>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</si>
  <si>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</si>
  <si>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</si>
  <si>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</si>
  <si>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</si>
  <si>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</si>
  <si>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</si>
  <si>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</si>
  <si>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</si>
  <si>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</si>
  <si>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</si>
  <si>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</si>
  <si>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</si>
  <si>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</si>
  <si>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</si>
  <si>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</si>
  <si>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</si>
  <si>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</si>
  <si>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</si>
  <si>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r>
      <t>PRESENTAMOS A SU AMABLE CONSIDERACIÓN EL PRESUPUESTO DE SUMINISTRO PARA</t>
    </r>
    <r>
      <rPr>
        <sz val="9"/>
        <color theme="1"/>
        <rFont val="Times New Roman"/>
        <family val="1"/>
      </rPr>
      <t xml:space="preserve"> LOS SIGUIENTES MATERIALES: </t>
    </r>
  </si>
  <si>
    <t>CUBETAS</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</si>
  <si>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</si>
  <si>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</si>
  <si>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 xml:space="preserve">  A T E N T A M E N T E</t>
  </si>
  <si>
    <t xml:space="preserve">          HAPA SOLUCIONES INTEGRALES EN RECUBRIMIENTOS</t>
  </si>
  <si>
    <t xml:space="preserve">                                                                                           _______________________________________________</t>
  </si>
  <si>
    <t>UNIDAD</t>
  </si>
  <si>
    <t>SUB TOTAL</t>
  </si>
  <si>
    <t xml:space="preserve">IVA </t>
  </si>
  <si>
    <t>TOTAL</t>
  </si>
  <si>
    <t>2.- EPOXIGLASS REF. GRIS VARILLA (REND. 110M2)</t>
  </si>
  <si>
    <t xml:space="preserve">3.- ESMALTE AQUA 100  (REND. 150M2) </t>
  </si>
  <si>
    <t>5.- CHISA GLASS REF. S.M.A  (REND. 60M2)</t>
  </si>
  <si>
    <t>TAMBOS</t>
  </si>
  <si>
    <t>1.- PINTUFLEX REF. S.M.A (REND. 900M2)</t>
  </si>
  <si>
    <t xml:space="preserve">4.- PRAIMER GLASS REF. S.M.A (REND. 850M2) </t>
  </si>
  <si>
    <t>6.- VITROGLASS ECOLOGICO (REND. 1800M2)</t>
  </si>
  <si>
    <t>7.- POLY COLOR- CORT PLAST REF- S.M.A. (REND 220)</t>
  </si>
  <si>
    <t>CIUDAD DE MEXICO A 02 DE SEPTIEMBRE DEL 2026</t>
  </si>
  <si>
    <t>CONSTRUCTORA: ASIRE</t>
  </si>
  <si>
    <t>ARQ. CARLOS ALVAREZ</t>
  </si>
  <si>
    <t>PRES. REF. 16689-S/2026CG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</si>
</sst>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4"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10"/>
      <color theme="1"/>
      <name val="Times New Roman"/>
      <family val="1"/>
    </font>
    <font>
      <b/>
      <u/>
      <sz val="10"/>
      <color theme="1"/>
      <name val="Times New Roman"/>
      <family val="1"/>
    </font>
    <font>
      <sz val="10"/>
      <name val="Arial"/>
      <family val="2"/>
    </font>
  </fonts>
  <fills count="2">
    <fill>
      <patternFill patternType="none"/>
    </fill>
    <fill>
      <patternFill patternType="gray125"/>
    </fill>
  </fills>
  <borders count="1">
    <border>
      <left/>
      <right/>
      <top/>
      <bottom/>
      <diagonal/>
    </border>
  </borders>
  <cellStyleXfs count="90">
    <xf numFmtId="0" fontId="0" fillId="0" borderId="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13" fillId="0" borderId="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cellStyleXfs>
  <cellXfs count="73">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8"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11" fillId="0" borderId="0" xfId="0" applyFont="1" applyAlignment="1">
      <alignment horizontal="center"/>
    </xf>
    <xf numFmtId="44" fontId="11" fillId="0" borderId="0" xfId="0" applyNumberFormat="1" applyFont="1" applyAlignment="1">
      <alignment horizontal="center"/>
    </xf>
    <xf numFmtId="0" fontId="12" fillId="0" borderId="0" xfId="0" applyFont="1" applyAlignment="1">
      <alignment horizontal="justify" vertical="center" wrapText="1"/>
    </xf>
    <xf numFmtId="0" fontId="11" fillId="0" borderId="0" xfId="0" applyFont="1" applyAlignment="1">
      <alignment horizontal="center" wrapText="1"/>
    </xf>
    <xf numFmtId="0" fontId="2" fillId="0" borderId="0" xfId="0" applyFont="1" applyAlignment="1">
      <alignment horizontal="justify" vertical="justify" wrapText="1"/>
    </xf>
    <xf numFmtId="0" fontId="1" fillId="0" borderId="0" xfId="0" applyFont="1" applyAlignment="1">
      <alignment horizontal="center" wrapText="1"/>
    </xf>
    <xf numFmtId="0" fontId="12" fillId="0" borderId="0" xfId="0" applyFont="1" applyAlignment="1">
      <alignment horizontal="justify" vertical="top" wrapText="1"/>
    </xf>
    <xf numFmtId="44" fontId="11" fillId="0" borderId="0" xfId="0" applyNumberFormat="1" applyFont="1" applyAlignment="1">
      <alignment horizontal="right" vertical="center"/>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center"/>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2" fillId="0" borderId="0" xfId="0" applyFont="1" applyAlignment="1">
      <alignment vertical="center"/>
    </xf>
    <xf numFmtId="0" fontId="0" fillId="0" borderId="0" xfId="0"/>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1" fillId="0" borderId="0" xfId="0" applyFont="1" applyAlignment="1">
      <alignment horizontal="justify" vertical="top" wrapText="1"/>
    </xf>
    <xf numFmtId="0" fontId="4" fillId="0" borderId="0" xfId="0" applyFont="1" applyAlignment="1">
      <alignment horizontal="left" vertical="center"/>
    </xf>
    <xf numFmtId="0" fontId="5" fillId="0" borderId="0" xfId="0" applyFont="1" applyAlignment="1">
      <alignment horizontal="justify" vertical="center" wrapText="1"/>
    </xf>
    <xf numFmtId="0" fontId="1" fillId="0" borderId="0" xfId="0" applyFont="1" applyAlignment="1">
      <alignment horizontal="center"/>
    </xf>
    <xf numFmtId="164" fontId="1" fillId="0" borderId="0" xfId="1" applyNumberFormat="1" applyFont="1" applyAlignment="1">
      <alignment horizontal="right" vertical="center"/>
    </xf>
    <xf numFmtId="164" fontId="1" fillId="0" borderId="0" xfId="0" applyNumberFormat="1" applyFont="1" applyAlignment="1">
      <alignment horizontal="right" vertical="center"/>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164" fontId="11" fillId="0" borderId="0" xfId="0" applyNumberFormat="1" applyFont="1"/>
    <xf numFmtId="164" fontId="11" fillId="0" borderId="0" xfId="0" applyNumberFormat="1" applyFont="1" applyAlignment="1">
      <alignment horizontal="right"/>
    </xf>
    <xf numFmtId="164" fontId="1" fillId="0" borderId="0" xfId="0" applyNumberFormat="1" applyFont="1" applyAlignment="1">
      <alignment vertical="center"/>
    </xf>
  </cellXfs>
  <cellStyles count="90">
    <cellStyle name="Moneda" xfId="1" builtinId="4"/>
    <cellStyle name="Moneda 10" xfId="59" xr:uid="{3A9D665F-B3E1-46E0-9EE2-395E31254B34}"/>
    <cellStyle name="Moneda 11" xfId="88" xr:uid="{88C5F707-2F08-40F0-8011-F27869904920}"/>
    <cellStyle name="Moneda 12" xfId="53" xr:uid="{856B0E05-3BC0-4471-9F01-A493DF0C527B}"/>
    <cellStyle name="Moneda 13" xfId="89" xr:uid="{B67D4135-9C77-415B-A81A-33304D43AB18}"/>
    <cellStyle name="Moneda 14" xfId="20" xr:uid="{5E46663D-FCCA-4795-B196-A3797304CE09}"/>
    <cellStyle name="Moneda 15" xfId="19" xr:uid="{36BE78B3-604E-485D-AC44-FD69DAF30771}"/>
    <cellStyle name="Moneda 2" xfId="2" xr:uid="{F9BF1E17-30DC-4FC5-A0E7-D545E34C2A8D}"/>
    <cellStyle name="Moneda 2 2" xfId="8" xr:uid="{4821B204-3C93-4D4D-ADF2-5AF3A1DAF25A}"/>
    <cellStyle name="Moneda 2 2 2" xfId="15" xr:uid="{0147B34C-2CDD-4193-B1D8-1B811FCFECDD}"/>
    <cellStyle name="Moneda 2 2 2 2" xfId="48" xr:uid="{C6CF96CA-D505-45AB-9319-EFACE23B9843}"/>
    <cellStyle name="Moneda 2 2 2 3" xfId="71" xr:uid="{4D0C8AF9-DFED-45FF-9260-943A22DC3099}"/>
    <cellStyle name="Moneda 2 2 2 4" xfId="32" xr:uid="{8CFF326A-53A0-4175-8B5F-D97FA44A9C59}"/>
    <cellStyle name="Moneda 2 2 3" xfId="41" xr:uid="{2F535164-E812-444F-9993-43B6E0FEB66A}"/>
    <cellStyle name="Moneda 2 2 3 2" xfId="80" xr:uid="{AC08499E-9756-4B44-9275-9FC9936AFBA2}"/>
    <cellStyle name="Moneda 2 2 4" xfId="87" xr:uid="{F7253FA3-0D0A-4FE6-85C4-678E2E5D973E}"/>
    <cellStyle name="Moneda 2 2 5" xfId="64" xr:uid="{88AA6745-6D3E-4889-8378-820AA838FDDF}"/>
    <cellStyle name="Moneda 2 2 6" xfId="58" xr:uid="{C421F919-580F-4DCB-B519-F23FD0EDD698}"/>
    <cellStyle name="Moneda 2 2 7" xfId="25" xr:uid="{2B7115B8-265D-4369-8413-F40F6510CCBE}"/>
    <cellStyle name="Moneda 2 3" xfId="12" xr:uid="{029C4C8F-0F98-4EC8-9BAE-BE7ADDB1587F}"/>
    <cellStyle name="Moneda 2 3 2" xfId="45" xr:uid="{17095D47-8BDF-4CD0-B113-1B4F3ED2D89D}"/>
    <cellStyle name="Moneda 2 3 3" xfId="68" xr:uid="{17D9E808-0C13-42B0-B012-20F9DAB8DA81}"/>
    <cellStyle name="Moneda 2 3 4" xfId="29" xr:uid="{0111E875-7F3E-4229-BE4F-74E74515A580}"/>
    <cellStyle name="Moneda 2 4" xfId="18" xr:uid="{A3E89D77-11D6-4022-A2D4-3EB05CA95D1D}"/>
    <cellStyle name="Moneda 2 4 2" xfId="51" xr:uid="{B30A3B05-152F-4F76-966F-D7D62D8CAF5B}"/>
    <cellStyle name="Moneda 2 4 3" xfId="74" xr:uid="{BEC06D1D-7AAA-41EE-BC13-1E16A8E29D85}"/>
    <cellStyle name="Moneda 2 4 4" xfId="35" xr:uid="{756378FD-1EDA-4A1E-A6DF-225FA10DB376}"/>
    <cellStyle name="Moneda 2 5" xfId="5" xr:uid="{F6975D40-02B2-4069-9788-CB88AC3DA13F}"/>
    <cellStyle name="Moneda 2 5 2" xfId="77" xr:uid="{155E9678-7C01-40EF-8E2A-7C932E634FD3}"/>
    <cellStyle name="Moneda 2 5 3" xfId="38" xr:uid="{CFF0E0B5-9225-4EDC-960E-F6D71E30762D}"/>
    <cellStyle name="Moneda 2 6" xfId="83" xr:uid="{93C97146-BB2E-4A44-8153-6F5948E5F10E}"/>
    <cellStyle name="Moneda 2 7" xfId="61" xr:uid="{E9D550E6-44B3-42F1-A093-62A555E78CB7}"/>
    <cellStyle name="Moneda 2 8" xfId="55" xr:uid="{6925BD7D-F62B-4025-8867-619D57F63C21}"/>
    <cellStyle name="Moneda 2 9" xfId="22" xr:uid="{855AC84B-0359-451F-B4F2-B0F9660F227C}"/>
    <cellStyle name="Moneda 3" xfId="4" xr:uid="{CBBDF81F-1F11-4B7D-98CF-5973670B70CF}"/>
    <cellStyle name="Moneda 3 2" xfId="7" xr:uid="{93B21E95-230E-465A-98F5-C12701FEC6F4}"/>
    <cellStyle name="Moneda 3 2 2" xfId="14" xr:uid="{2573D7B0-4DE5-4DFC-B0AB-4DF38B3AEDDA}"/>
    <cellStyle name="Moneda 3 2 2 2" xfId="47" xr:uid="{E7ED150B-173F-4489-A0A0-A32963D87B6F}"/>
    <cellStyle name="Moneda 3 2 2 3" xfId="70" xr:uid="{B49D7540-373E-4F92-A0FF-D3499A53D182}"/>
    <cellStyle name="Moneda 3 2 2 4" xfId="31" xr:uid="{2580AE1D-D308-4FC1-92E6-EFBC17E4DB35}"/>
    <cellStyle name="Moneda 3 2 3" xfId="40" xr:uid="{99787A30-6FB1-491B-ADB8-894E06BF61F0}"/>
    <cellStyle name="Moneda 3 2 3 2" xfId="79" xr:uid="{A5433DD9-63CA-4109-87F3-66F781E2E6D5}"/>
    <cellStyle name="Moneda 3 2 4" xfId="86" xr:uid="{DF6F524A-5984-4192-9E3B-B4B101033FB7}"/>
    <cellStyle name="Moneda 3 2 5" xfId="63" xr:uid="{1E65D841-EB9D-4D04-B5CA-48A972BC6EEE}"/>
    <cellStyle name="Moneda 3 2 6" xfId="57" xr:uid="{3FE96CA2-4C2F-41CC-BED0-F241E4F76841}"/>
    <cellStyle name="Moneda 3 2 7" xfId="24" xr:uid="{A3692192-9027-4A4C-86FC-D3B02EFAFE30}"/>
    <cellStyle name="Moneda 3 3" xfId="11" xr:uid="{B80E1C77-D3A2-49AC-A873-A47E9DD82C82}"/>
    <cellStyle name="Moneda 3 3 2" xfId="44" xr:uid="{E722F99A-28F3-4D4D-854B-8F429F63808B}"/>
    <cellStyle name="Moneda 3 3 3" xfId="67" xr:uid="{72ABF5AC-8753-461F-BF04-75472D4A67F0}"/>
    <cellStyle name="Moneda 3 3 4" xfId="28" xr:uid="{CF7EF6DE-EEAF-4B01-A500-F9A31364F046}"/>
    <cellStyle name="Moneda 3 4" xfId="37" xr:uid="{C6410BD5-511D-4BB5-B8D7-F2E3C6F67E01}"/>
    <cellStyle name="Moneda 3 4 2" xfId="76" xr:uid="{B54EC380-B0D7-4813-90BB-300C95AF42F4}"/>
    <cellStyle name="Moneda 3 5" xfId="82" xr:uid="{4E01B783-4049-4355-B116-F30D6CA84B53}"/>
    <cellStyle name="Moneda 3 6" xfId="60" xr:uid="{FA248B91-86A3-4A7F-8BD9-79AD58CCDFB9}"/>
    <cellStyle name="Moneda 3 7" xfId="54" xr:uid="{5613DE7F-4F85-4BF9-8528-02D411E761F6}"/>
    <cellStyle name="Moneda 3 8" xfId="21" xr:uid="{2ACA7682-05D3-4F23-B116-DEAB5BB2CDFA}"/>
    <cellStyle name="Moneda 4" xfId="6" xr:uid="{0AF88C0D-145E-4A1D-A518-B85749781EF6}"/>
    <cellStyle name="Moneda 4 2" xfId="13" xr:uid="{222090F9-98D2-42BB-A2B6-C239C22CDF15}"/>
    <cellStyle name="Moneda 4 2 2" xfId="46" xr:uid="{E95D299A-8368-4543-B1FC-EA9C974B349C}"/>
    <cellStyle name="Moneda 4 2 3" xfId="69" xr:uid="{8F3F76EC-6D3A-4AE4-AC00-5B123DF779EB}"/>
    <cellStyle name="Moneda 4 2 4" xfId="30" xr:uid="{CEE25D3F-454A-4D95-92D0-70E1ECB794F7}"/>
    <cellStyle name="Moneda 4 3" xfId="39" xr:uid="{8EA20679-7B18-4883-831F-39A8EECB4367}"/>
    <cellStyle name="Moneda 4 3 2" xfId="78" xr:uid="{8C9A8A87-AFD6-403F-AC96-9FE80FEB4041}"/>
    <cellStyle name="Moneda 4 4" xfId="84" xr:uid="{F41D897B-0F67-47C2-8224-B4AB8EC61149}"/>
    <cellStyle name="Moneda 4 5" xfId="62" xr:uid="{88445C59-0CC1-4262-8245-D4B6EFC6088D}"/>
    <cellStyle name="Moneda 4 6" xfId="56" xr:uid="{7B44A7AD-7816-4CB4-8888-CA62D1E213A9}"/>
    <cellStyle name="Moneda 4 7" xfId="23" xr:uid="{4FB89C64-760F-40C1-A767-D115C8CA4AE4}"/>
    <cellStyle name="Moneda 5" xfId="9" xr:uid="{A46A1BC3-A213-450B-AC40-43130E3E9DE5}"/>
    <cellStyle name="Moneda 5 2" xfId="16" xr:uid="{CB6D4ACD-2B46-40ED-AEEA-DE14600EDC07}"/>
    <cellStyle name="Moneda 5 2 2" xfId="49" xr:uid="{6CD192CD-6D2F-4E5B-BDB7-97F2C158C3B6}"/>
    <cellStyle name="Moneda 5 2 3" xfId="72" xr:uid="{38275908-AEB8-4122-964D-108C24DD75DC}"/>
    <cellStyle name="Moneda 5 2 4" xfId="33" xr:uid="{9CDF3198-6105-4F75-BDB5-18B3FDCD6654}"/>
    <cellStyle name="Moneda 5 3" xfId="42" xr:uid="{CDEFC397-F273-4F54-B63E-F1001BA96FF9}"/>
    <cellStyle name="Moneda 5 3 2" xfId="85" xr:uid="{6E74A3D9-772D-491A-B6CD-63200D82CFA7}"/>
    <cellStyle name="Moneda 5 4" xfId="65" xr:uid="{52259BD9-6F91-465A-8F11-9B20964235DE}"/>
    <cellStyle name="Moneda 5 5" xfId="26" xr:uid="{35D1914D-AACE-4247-B44F-025887143FAF}"/>
    <cellStyle name="Moneda 6" xfId="10" xr:uid="{CDC133C7-5CEB-47F6-8B92-ACDEED33F5CB}"/>
    <cellStyle name="Moneda 6 2" xfId="43" xr:uid="{BA9DECB4-26A8-4EE8-9AF6-41283C24CA93}"/>
    <cellStyle name="Moneda 6 3" xfId="66" xr:uid="{575BC1CE-17D8-4431-8FDD-869E23BBBE7F}"/>
    <cellStyle name="Moneda 6 4" xfId="27" xr:uid="{8533B90F-5BE2-4D33-BFB8-1725355BD966}"/>
    <cellStyle name="Moneda 7" xfId="17" xr:uid="{E521CC09-21CB-4991-A926-E17772E3A01E}"/>
    <cellStyle name="Moneda 7 2" xfId="50" xr:uid="{F67C0624-9BC1-44D0-9EE7-2148339D9D74}"/>
    <cellStyle name="Moneda 7 3" xfId="73" xr:uid="{A3DC0282-183B-40D0-8B4A-1241B19E3AF6}"/>
    <cellStyle name="Moneda 7 4" xfId="34" xr:uid="{F787987E-616E-416C-998A-9A2A1C32E1AD}"/>
    <cellStyle name="Moneda 8" xfId="3" xr:uid="{02D096EA-AFE9-4270-AED6-0704EB6B66D1}"/>
    <cellStyle name="Moneda 8 2" xfId="75" xr:uid="{EE886645-DC61-4CD1-A096-3E195284F738}"/>
    <cellStyle name="Moneda 8 3" xfId="36" xr:uid="{CE50CD79-49CE-4522-A70C-1572E9A444E7}"/>
    <cellStyle name="Moneda 9" xfId="81" xr:uid="{7AE059FE-746A-42FF-9409-09B1F6E66312}"/>
    <cellStyle name="Normal" xfId="0" builtinId="0"/>
    <cellStyle name="Normal 2" xfId="52" xr:uid="{7BF26284-F036-4E18-B72B-EED0986283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589579</xdr:colOff>
      <xdr:row>0</xdr:row>
      <xdr:rowOff>123825</xdr:rowOff>
    </xdr:from>
    <xdr:to>
      <xdr:col>5</xdr:col>
      <xdr:colOff>1020553</xdr:colOff>
      <xdr:row>5</xdr:row>
      <xdr:rowOff>130174</xdr:rowOff>
    </xdr:to>
    <xdr:pic>
      <xdr:nvPicPr>
        <xdr:cNvPr id="4" name="Imagen 3">
          <a:extLst>
            <a:ext uri="{FF2B5EF4-FFF2-40B4-BE49-F238E27FC236}">
              <a16:creationId xmlns:a16="http://schemas.microsoft.com/office/drawing/2014/main" id="{B0B0E1FB-05FA-F4C7-48CF-0D34CF207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56729" y="123825"/>
          <a:ext cx="2869374" cy="95884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53" t="s">
        <v>37</v>
      </c>
      <c r="B2" s="53"/>
      <c r="C2" s="53"/>
      <c r="D2" s="53"/>
      <c r="E2" s="53"/>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54" t="s">
        <v>38</v>
      </c>
      <c r="B8" s="54"/>
      <c r="C8" s="54"/>
      <c r="D8" s="54"/>
      <c r="E8" s="54"/>
      <c r="F8" s="1"/>
      <c r="G8" s="1"/>
      <c r="H8" s="1"/>
    </row>
    <row r="9" spans="1:8" x14ac:dyDescent="0.25">
      <c r="A9" s="2"/>
      <c r="B9" s="2"/>
    </row>
    <row r="10" spans="1:8" x14ac:dyDescent="0.25">
      <c r="A10" s="2"/>
      <c r="B10" s="2"/>
    </row>
    <row r="11" spans="1:8" x14ac:dyDescent="0.25">
      <c r="A11" s="55" t="s">
        <v>39</v>
      </c>
      <c r="B11" s="55"/>
      <c r="C11" s="55"/>
      <c r="D11" s="55"/>
      <c r="E11" s="55"/>
    </row>
    <row r="12" spans="1:8" x14ac:dyDescent="0.25">
      <c r="A12" s="12" t="s">
        <v>45</v>
      </c>
      <c r="B12" s="12"/>
      <c r="C12" s="11"/>
      <c r="D12" s="11"/>
      <c r="E12" s="11"/>
    </row>
    <row r="13" spans="1:8" x14ac:dyDescent="0.25">
      <c r="A13" s="13" t="s">
        <v>2</v>
      </c>
      <c r="B13" s="13"/>
      <c r="C13" s="11"/>
      <c r="D13" s="11"/>
      <c r="E13" s="11"/>
    </row>
    <row r="14" spans="1:8" ht="30" customHeight="1" x14ac:dyDescent="0.25">
      <c r="A14" s="62" t="s">
        <v>3</v>
      </c>
      <c r="B14" s="62"/>
      <c r="C14" s="62"/>
      <c r="D14" s="62"/>
      <c r="E14" s="62"/>
      <c r="F14" s="4"/>
      <c r="G14" s="4"/>
      <c r="H14" s="4"/>
    </row>
    <row r="15" spans="1:8" x14ac:dyDescent="0.25">
      <c r="A15" s="3" t="s">
        <v>24</v>
      </c>
      <c r="B15" s="3" t="s">
        <v>34</v>
      </c>
      <c r="C15" s="3" t="s">
        <v>22</v>
      </c>
      <c r="D15" s="3" t="s">
        <v>25</v>
      </c>
      <c r="E15" s="3" t="s">
        <v>23</v>
      </c>
      <c r="F15" s="3"/>
      <c r="G15" s="3"/>
      <c r="H15" s="3"/>
    </row>
    <row r="16" spans="1:8" ht="220.5" customHeight="1" x14ac:dyDescent="0.25">
      <c r="A16" s="10" t="s">
        <v>40</v>
      </c>
      <c r="B16" s="17" t="s">
        <v>26</v>
      </c>
      <c r="C16" s="20">
        <v>320</v>
      </c>
      <c r="D16" s="21">
        <v>189.9</v>
      </c>
      <c r="E16" s="21">
        <f>C16*D16</f>
        <v>60768</v>
      </c>
      <c r="F16" s="3"/>
      <c r="G16" s="3"/>
      <c r="H16" s="3"/>
    </row>
    <row r="17" spans="1:7" ht="175.5" customHeight="1" x14ac:dyDescent="0.25">
      <c r="A17" s="33" t="s">
        <v>41</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63" t="s">
        <v>44</v>
      </c>
      <c r="B23" s="63"/>
      <c r="C23" s="63"/>
      <c r="D23" s="63"/>
      <c r="E23" s="63"/>
    </row>
    <row r="24" spans="1:7" x14ac:dyDescent="0.25">
      <c r="A24" s="55" t="s">
        <v>43</v>
      </c>
      <c r="B24" s="55"/>
      <c r="C24" s="55"/>
      <c r="D24" s="55"/>
      <c r="E24" s="55"/>
    </row>
    <row r="25" spans="1:7" x14ac:dyDescent="0.25">
      <c r="A25" s="59" t="s">
        <v>8</v>
      </c>
      <c r="B25" s="59"/>
      <c r="C25" s="59"/>
      <c r="D25" s="59"/>
      <c r="E25" s="59"/>
    </row>
    <row r="26" spans="1:7" ht="69" customHeight="1" x14ac:dyDescent="0.25">
      <c r="A26" s="58" t="s">
        <v>42</v>
      </c>
      <c r="B26" s="58"/>
      <c r="C26" s="58"/>
      <c r="D26" s="58"/>
      <c r="E26" s="58"/>
      <c r="F26" s="6"/>
    </row>
    <row r="27" spans="1:7" x14ac:dyDescent="0.25">
      <c r="A27" s="3" t="s">
        <v>9</v>
      </c>
      <c r="B27" s="3"/>
      <c r="C27" s="11"/>
      <c r="D27" s="11"/>
      <c r="E27" s="11"/>
    </row>
    <row r="28" spans="1:7" ht="40.5" customHeight="1" x14ac:dyDescent="0.25">
      <c r="A28" s="58" t="s">
        <v>10</v>
      </c>
      <c r="B28" s="58"/>
      <c r="C28" s="58"/>
      <c r="D28" s="58"/>
      <c r="E28" s="58"/>
    </row>
    <row r="29" spans="1:7" ht="50.25" customHeight="1" x14ac:dyDescent="0.25">
      <c r="A29" s="60" t="s">
        <v>11</v>
      </c>
      <c r="B29" s="60"/>
      <c r="C29" s="60"/>
      <c r="D29" s="60"/>
      <c r="E29" s="60"/>
    </row>
    <row r="30" spans="1:7" ht="49.5" customHeight="1" x14ac:dyDescent="0.25">
      <c r="A30" s="60" t="s">
        <v>12</v>
      </c>
      <c r="B30" s="60"/>
      <c r="C30" s="60"/>
      <c r="D30" s="60"/>
      <c r="E30" s="60"/>
    </row>
    <row r="31" spans="1:7" ht="27.75" customHeight="1" x14ac:dyDescent="0.25">
      <c r="A31" s="60" t="s">
        <v>13</v>
      </c>
      <c r="B31" s="60"/>
      <c r="C31" s="60"/>
      <c r="D31" s="60"/>
      <c r="E31" s="60"/>
    </row>
    <row r="32" spans="1:7" ht="77.25" customHeight="1" x14ac:dyDescent="0.25">
      <c r="A32" s="58" t="s">
        <v>14</v>
      </c>
      <c r="B32" s="58"/>
      <c r="C32" s="58"/>
      <c r="D32" s="58"/>
      <c r="E32" s="58"/>
    </row>
    <row r="33" spans="1:5" ht="30.75" customHeight="1" x14ac:dyDescent="0.25">
      <c r="A33" s="58" t="s">
        <v>15</v>
      </c>
      <c r="B33" s="58"/>
      <c r="C33" s="58"/>
      <c r="D33" s="58"/>
      <c r="E33" s="58"/>
    </row>
    <row r="34" spans="1:5" ht="57" customHeight="1" x14ac:dyDescent="0.25">
      <c r="A34" s="58" t="s">
        <v>16</v>
      </c>
      <c r="B34" s="58"/>
      <c r="C34" s="58"/>
      <c r="D34" s="58"/>
      <c r="E34" s="58"/>
    </row>
    <row r="35" spans="1:5" ht="24" customHeight="1" x14ac:dyDescent="0.25">
      <c r="A35" s="58" t="s">
        <v>17</v>
      </c>
      <c r="B35" s="58"/>
      <c r="C35" s="58"/>
      <c r="D35" s="58"/>
      <c r="E35" s="11"/>
    </row>
    <row r="36" spans="1:5" ht="94.5" customHeight="1" x14ac:dyDescent="0.25">
      <c r="A36" s="61" t="s">
        <v>18</v>
      </c>
      <c r="B36" s="61"/>
      <c r="C36" s="61"/>
      <c r="D36" s="61"/>
      <c r="E36" s="61"/>
    </row>
    <row r="37" spans="1:5" ht="24.75" customHeight="1" x14ac:dyDescent="0.25">
      <c r="A37" s="58" t="s">
        <v>19</v>
      </c>
      <c r="B37" s="58"/>
      <c r="C37" s="58"/>
      <c r="D37" s="58"/>
      <c r="E37" s="58"/>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9" t="s">
        <v>27</v>
      </c>
      <c r="D40" s="49"/>
      <c r="E40" s="49"/>
    </row>
    <row r="41" spans="1:5" x14ac:dyDescent="0.25">
      <c r="A41" s="16"/>
      <c r="B41" s="16"/>
      <c r="C41" s="11"/>
      <c r="D41" s="11"/>
      <c r="E41" s="11"/>
    </row>
    <row r="42" spans="1:5" x14ac:dyDescent="0.25">
      <c r="A42" s="13"/>
      <c r="B42" s="13"/>
      <c r="C42" s="11"/>
      <c r="D42" s="11"/>
      <c r="E42" s="11"/>
    </row>
    <row r="43" spans="1:5" x14ac:dyDescent="0.25">
      <c r="A43" s="24" t="s">
        <v>36</v>
      </c>
      <c r="B43" s="24"/>
      <c r="C43" s="11"/>
      <c r="D43" s="11"/>
      <c r="E43" s="11"/>
    </row>
    <row r="44" spans="1:5" x14ac:dyDescent="0.25">
      <c r="A44" s="25" t="s">
        <v>35</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A24:E24"/>
    <mergeCell ref="A14:E14"/>
    <mergeCell ref="A8:E8"/>
    <mergeCell ref="A2:E2"/>
    <mergeCell ref="A11:E11"/>
    <mergeCell ref="A23:E23"/>
    <mergeCell ref="C40:E40"/>
    <mergeCell ref="A37:E37"/>
    <mergeCell ref="A25:E25"/>
    <mergeCell ref="A26:E26"/>
    <mergeCell ref="A28:E28"/>
    <mergeCell ref="A29:E29"/>
    <mergeCell ref="A32:E32"/>
    <mergeCell ref="A33:E33"/>
    <mergeCell ref="A34:E34"/>
    <mergeCell ref="A36:E36"/>
    <mergeCell ref="A35:D35"/>
    <mergeCell ref="A30:E30"/>
    <mergeCell ref="A31:E31"/>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70"/>
  <sheetViews>
    <sheetView tabSelected="1" topLeftCell="A26" zoomScaleNormal="100" zoomScalePageLayoutView="50" workbookViewId="0">
      <selection activeCell="F43" sqref="F43"/>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0"/>
      <c r="C4" s="30"/>
      <c r="D4" s="30"/>
      <c r="E4" s="30"/>
      <c r="F4" s="30"/>
    </row>
    <row r="5" spans="2:6" x14ac:dyDescent="0.25">
      <c r="B5" s="30"/>
      <c r="C5" s="30"/>
      <c r="D5" s="30"/>
      <c r="E5" s="30"/>
      <c r="F5" s="30"/>
    </row>
    <row r="6" spans="2:6" x14ac:dyDescent="0.25">
      <c r="B6" s="30"/>
      <c r="C6" s="30"/>
      <c r="D6" s="30"/>
      <c r="E6" s="30"/>
      <c r="F6" s="30"/>
    </row>
    <row r="7" spans="2:6" x14ac:dyDescent="0.25">
      <c r="B7" s="30"/>
      <c r="C7" s="30"/>
      <c r="D7" s="30"/>
      <c r="E7" s="30"/>
      <c r="F7" s="30"/>
    </row>
    <row r="8" spans="2:6" x14ac:dyDescent="0.25">
      <c r="B8" s="30"/>
      <c r="C8" s="30"/>
      <c r="D8" s="30"/>
      <c r="E8" s="30"/>
      <c r="F8" s="30"/>
    </row>
    <row r="9" spans="2:6" x14ac:dyDescent="0.25">
      <c r="B9" s="30"/>
      <c r="C9" s="30"/>
      <c r="D9" s="30"/>
      <c r="E9" s="30"/>
      <c r="F9" s="30"/>
    </row>
    <row r="10" spans="2:6" x14ac:dyDescent="0.25">
      <c r="B10" s="30"/>
      <c r="C10" s="30"/>
      <c r="D10" s="30"/>
      <c r="E10" s="30"/>
      <c r="F10" s="30"/>
    </row>
    <row r="11" spans="2:6" x14ac:dyDescent="0.25">
      <c r="B11" s="53" t="s">
        <v>65</v>
      </c>
      <c r="C11" s="53"/>
      <c r="D11" s="53"/>
      <c r="E11" s="53"/>
      <c r="F11" s="53"/>
    </row>
    <row r="12" spans="2:6" x14ac:dyDescent="0.25">
      <c r="B12" s="34"/>
      <c r="C12" s="34"/>
      <c r="D12" s="34"/>
      <c r="E12" s="34"/>
      <c r="F12" s="34"/>
    </row>
    <row r="13" spans="2:6" x14ac:dyDescent="0.25">
      <c r="B13" s="34"/>
      <c r="C13" s="34"/>
      <c r="D13" s="34"/>
      <c r="E13" s="34"/>
      <c r="F13" s="34"/>
    </row>
    <row r="14" spans="2:6" x14ac:dyDescent="0.25">
      <c r="B14" s="1" t="s">
        <v>66</v>
      </c>
      <c r="C14" s="1"/>
      <c r="D14" s="30"/>
      <c r="E14" s="30"/>
      <c r="F14" s="30"/>
    </row>
    <row r="15" spans="2:6" x14ac:dyDescent="0.25">
      <c r="B15" s="1" t="s">
        <v>0</v>
      </c>
      <c r="C15" s="1"/>
      <c r="D15" s="30"/>
      <c r="E15" s="30"/>
      <c r="F15" s="30"/>
    </row>
    <row r="16" spans="2:6" x14ac:dyDescent="0.25">
      <c r="B16" s="1"/>
      <c r="C16" s="1"/>
      <c r="D16" s="30"/>
      <c r="E16" s="30"/>
      <c r="F16" s="30"/>
    </row>
    <row r="17" spans="2:7" x14ac:dyDescent="0.25">
      <c r="B17" s="54"/>
      <c r="C17" s="54"/>
      <c r="D17" s="54"/>
      <c r="E17" s="54"/>
      <c r="F17" s="54"/>
    </row>
    <row r="18" spans="2:7" x14ac:dyDescent="0.25">
      <c r="B18" s="54" t="s">
        <v>67</v>
      </c>
      <c r="C18" s="54"/>
      <c r="D18" s="54"/>
      <c r="E18" s="54"/>
      <c r="F18" s="54"/>
    </row>
    <row r="19" spans="2:7" x14ac:dyDescent="0.25">
      <c r="B19" s="2"/>
      <c r="C19" s="2"/>
      <c r="D19" s="2"/>
      <c r="E19" s="2"/>
      <c r="F19" s="2"/>
    </row>
    <row r="20" spans="2:7" x14ac:dyDescent="0.25">
      <c r="B20" s="55"/>
      <c r="C20" s="55"/>
      <c r="D20" s="55"/>
      <c r="E20" s="55"/>
      <c r="F20" s="55"/>
    </row>
    <row r="21" spans="2:7" ht="12.75" customHeight="1" x14ac:dyDescent="0.25">
      <c r="B21" s="12" t="s">
        <v>68</v>
      </c>
      <c r="C21" s="12"/>
      <c r="D21" s="31"/>
      <c r="E21" s="31"/>
      <c r="F21" s="31"/>
    </row>
    <row r="22" spans="2:7" ht="13.5" customHeight="1" x14ac:dyDescent="0.25">
      <c r="B22" s="12"/>
      <c r="C22" s="13"/>
      <c r="D22" s="31"/>
      <c r="E22" s="31"/>
      <c r="F22" s="31"/>
    </row>
    <row r="23" spans="2:7" ht="13.5" customHeight="1" x14ac:dyDescent="0.25">
      <c r="B23" s="13"/>
      <c r="C23" s="13"/>
      <c r="D23" s="31"/>
      <c r="E23" s="31"/>
      <c r="F23" s="31"/>
    </row>
    <row r="24" spans="2:7" ht="15.75" customHeight="1" x14ac:dyDescent="0.25">
      <c r="B24" s="47" t="s">
        <v>46</v>
      </c>
      <c r="C24" s="47"/>
      <c r="D24" s="47"/>
      <c r="E24" s="47"/>
      <c r="F24" s="47"/>
    </row>
    <row r="25" spans="2:7" ht="15.75" customHeight="1" x14ac:dyDescent="0.25">
      <c r="B25" s="35"/>
      <c r="C25" s="35"/>
      <c r="D25" s="35"/>
      <c r="E25" s="35"/>
      <c r="F25" s="35"/>
    </row>
    <row r="26" spans="2:7" ht="15.75" customHeight="1" x14ac:dyDescent="0.25">
      <c r="B26" s="41"/>
      <c r="C26" s="35"/>
      <c r="D26" s="35"/>
      <c r="E26" s="35"/>
      <c r="F26" s="35"/>
    </row>
    <row r="27" spans="2:7" x14ac:dyDescent="0.25">
      <c r="B27" s="36" t="s">
        <v>24</v>
      </c>
      <c r="C27" s="36" t="s">
        <v>53</v>
      </c>
      <c r="D27" s="36" t="s">
        <v>22</v>
      </c>
      <c r="E27" s="36" t="s">
        <v>30</v>
      </c>
      <c r="F27" s="36" t="s">
        <v>23</v>
      </c>
    </row>
    <row r="28" spans="2:7" x14ac:dyDescent="0.25">
      <c r="B28" s="12"/>
      <c r="C28" s="12"/>
      <c r="D28" s="2"/>
      <c r="E28" s="2"/>
      <c r="F28" s="2"/>
    </row>
    <row r="29" spans="2:7" x14ac:dyDescent="0.25">
      <c r="B29" s="12"/>
      <c r="C29" s="12"/>
      <c r="D29" s="2"/>
      <c r="E29" s="2"/>
      <c r="F29" s="2"/>
    </row>
    <row r="30" spans="2:7" x14ac:dyDescent="0.25">
      <c r="B30" s="39" t="s">
        <v>61</v>
      </c>
      <c r="C30" s="40" t="s">
        <v>60</v>
      </c>
      <c r="D30" s="37">
        <v>29</v>
      </c>
      <c r="E30" s="71">
        <v>27108.7</v>
      </c>
      <c r="F30" s="70">
        <f>D30*E30</f>
        <v>786152.3</v>
      </c>
    </row>
    <row r="31" spans="2:7" x14ac:dyDescent="0.25">
      <c r="B31" s="33" t="s">
        <v>57</v>
      </c>
      <c r="C31" s="9" t="s">
        <v>47</v>
      </c>
      <c r="D31" s="9">
        <v>4</v>
      </c>
      <c r="E31" s="69">
        <v>12456.9</v>
      </c>
      <c r="F31" s="68">
        <f>E31*D31</f>
        <v>49827.6</v>
      </c>
      <c r="G31" s="44"/>
    </row>
    <row r="32" spans="2:7" x14ac:dyDescent="0.25">
      <c r="B32" s="43" t="s">
        <v>58</v>
      </c>
      <c r="C32" s="37" t="s">
        <v>47</v>
      </c>
      <c r="D32" s="37">
        <v>46</v>
      </c>
      <c r="E32" s="71">
        <v>6339.78</v>
      </c>
      <c r="F32" s="70">
        <f>D32*E32</f>
        <v>291629.88</v>
      </c>
    </row>
    <row r="33" spans="2:11" x14ac:dyDescent="0.25">
      <c r="B33" s="64" t="s">
        <v>62</v>
      </c>
      <c r="C33" s="42" t="s">
        <v>60</v>
      </c>
      <c r="D33" s="65">
        <v>10.199999999999999</v>
      </c>
      <c r="E33" s="66">
        <v>10281.799999999999</v>
      </c>
      <c r="F33" s="67">
        <f t="shared" ref="F33" si="0">E33*D33</f>
        <v>104874.35999999999</v>
      </c>
    </row>
    <row r="34" spans="2:11" x14ac:dyDescent="0.25">
      <c r="B34" s="10" t="s">
        <v>59</v>
      </c>
      <c r="C34" s="42" t="s">
        <v>47</v>
      </c>
      <c r="D34" s="6">
        <v>145</v>
      </c>
      <c r="E34" s="68">
        <v>4797.13</v>
      </c>
      <c r="F34" s="69">
        <f t="shared" ref="F34:F35" si="1">D34*E34</f>
        <v>695583.85</v>
      </c>
    </row>
    <row r="35" spans="2:11" x14ac:dyDescent="0.25">
      <c r="B35" s="10" t="s">
        <v>63</v>
      </c>
      <c r="C35" s="42" t="s">
        <v>60</v>
      </c>
      <c r="D35" s="6">
        <v>5</v>
      </c>
      <c r="E35" s="68">
        <v>50235.7</v>
      </c>
      <c r="F35" s="69">
        <f t="shared" si="1"/>
        <v>251178.5</v>
      </c>
    </row>
    <row r="36" spans="2:11" x14ac:dyDescent="0.25">
      <c r="B36" s="64" t="s">
        <v>64</v>
      </c>
      <c r="C36" s="6" t="s">
        <v>60</v>
      </c>
      <c r="D36" s="9">
        <v>43</v>
      </c>
      <c r="E36" s="67">
        <v>23736.400000000001</v>
      </c>
      <c r="F36" s="72">
        <f>D36*E36</f>
        <v>1020665.2000000001</v>
      </c>
    </row>
    <row r="37" spans="2:11" x14ac:dyDescent="0.25">
      <c r="B37" s="39"/>
      <c r="C37" s="40"/>
      <c r="D37" s="37"/>
      <c r="E37" s="38"/>
      <c r="F37" s="38"/>
    </row>
    <row r="38" spans="2:11" x14ac:dyDescent="0.25">
      <c r="B38" s="39"/>
      <c r="C38" s="40"/>
      <c r="D38" s="37"/>
      <c r="E38" s="38"/>
      <c r="F38" s="38"/>
    </row>
    <row r="39" spans="2:11" x14ac:dyDescent="0.25">
      <c r="B39" s="39"/>
      <c r="C39" s="40"/>
      <c r="D39" s="37"/>
      <c r="E39" s="38"/>
      <c r="F39" s="38"/>
    </row>
    <row r="40" spans="2:11" x14ac:dyDescent="0.25">
      <c r="B40" s="39"/>
      <c r="C40" s="40"/>
      <c r="D40" s="37"/>
      <c r="E40" s="38" t="s">
        <v>54</v>
      </c>
      <c r="F40" s="71">
        <f>SUM(F30:F39)</f>
        <v>3199911.6900000004</v>
      </c>
    </row>
    <row r="41" spans="2:11" x14ac:dyDescent="0.25">
      <c r="B41" s="39"/>
      <c r="C41" s="40"/>
      <c r="D41" s="37"/>
      <c r="E41" s="38" t="s">
        <v>55</v>
      </c>
      <c r="F41" s="71">
        <f>F40*16%</f>
        <v>511985.87040000007</v>
      </c>
    </row>
    <row r="42" spans="2:11" x14ac:dyDescent="0.25">
      <c r="B42" s="39"/>
      <c r="C42" s="40"/>
      <c r="D42" s="37"/>
      <c r="E42" s="38" t="s">
        <v>56</v>
      </c>
      <c r="F42" s="71">
        <f>F40+F41</f>
        <v>3711897.5604000003</v>
      </c>
    </row>
    <row r="43" spans="2:11" x14ac:dyDescent="0.25">
      <c r="B43" s="5"/>
      <c r="C43" s="5"/>
      <c r="D43" s="28"/>
      <c r="E43" s="5"/>
      <c r="F43" s="22"/>
    </row>
    <row r="44" spans="2:11" x14ac:dyDescent="0.25">
      <c r="B44" s="50" t="s">
        <v>29</v>
      </c>
      <c r="C44" s="51"/>
      <c r="D44" s="51"/>
      <c r="E44" s="51"/>
      <c r="F44" s="51"/>
    </row>
    <row r="45" spans="2:11" ht="18" customHeight="1" x14ac:dyDescent="0.25">
      <c r="B45" s="56"/>
      <c r="C45" s="57"/>
      <c r="D45" s="57"/>
      <c r="E45" s="57"/>
      <c r="F45" s="57"/>
      <c r="J45" s="5"/>
      <c r="K45" s="22"/>
    </row>
    <row r="46" spans="2:11" ht="27.75" customHeight="1" x14ac:dyDescent="0.25">
      <c r="B46" s="47" t="s">
        <v>31</v>
      </c>
      <c r="C46" s="47"/>
      <c r="D46" s="47"/>
      <c r="E46" s="47"/>
      <c r="F46" s="47"/>
      <c r="J46" s="5"/>
      <c r="K46" s="22"/>
    </row>
    <row r="47" spans="2:11" ht="18" customHeight="1" x14ac:dyDescent="0.25">
      <c r="B47" s="47" t="s">
        <v>32</v>
      </c>
      <c r="C47" s="47"/>
      <c r="D47" s="47"/>
      <c r="E47" s="47"/>
      <c r="F47" s="47"/>
      <c r="J47" s="5"/>
      <c r="K47" s="22"/>
    </row>
    <row r="48" spans="2:11" ht="18.75" customHeight="1" x14ac:dyDescent="0.25">
      <c r="B48" s="47" t="s">
        <v>48</v>
      </c>
      <c r="C48" s="47"/>
      <c r="D48" s="47"/>
      <c r="E48" s="47"/>
      <c r="F48" s="47"/>
    </row>
    <row r="49" spans="2:15" ht="15.75" customHeight="1" x14ac:dyDescent="0.25">
      <c r="B49" s="47" t="s">
        <v>33</v>
      </c>
      <c r="C49" s="47"/>
      <c r="D49" s="47"/>
      <c r="E49" s="47"/>
      <c r="F49" s="47"/>
    </row>
    <row r="50" spans="2:15" ht="67.5" customHeight="1" x14ac:dyDescent="0.25">
      <c r="B50" s="47" t="s">
        <v>49</v>
      </c>
      <c r="C50" s="47"/>
      <c r="D50" s="47"/>
      <c r="E50" s="47"/>
      <c r="F50" s="47"/>
      <c r="H50" s="26"/>
    </row>
    <row r="51" spans="2:15" ht="15" customHeight="1" x14ac:dyDescent="0.25">
      <c r="B51" s="35"/>
      <c r="C51" s="35"/>
      <c r="D51" s="35"/>
      <c r="E51" s="35"/>
      <c r="F51" s="35"/>
      <c r="H51" s="26"/>
    </row>
    <row r="52" spans="2:15" ht="15" customHeight="1" x14ac:dyDescent="0.25">
      <c r="B52" s="35"/>
      <c r="C52" s="35"/>
      <c r="D52" s="35"/>
      <c r="E52" s="35"/>
      <c r="F52" s="35"/>
      <c r="H52" s="26"/>
    </row>
    <row r="53" spans="2:15" x14ac:dyDescent="0.25">
      <c r="B53" s="30"/>
      <c r="C53" s="30"/>
      <c r="D53" s="30"/>
      <c r="E53" s="30"/>
      <c r="F53" s="30"/>
      <c r="H53" s="26"/>
    </row>
    <row r="54" spans="2:15" x14ac:dyDescent="0.25">
      <c r="B54" s="30"/>
      <c r="C54" s="30"/>
      <c r="D54" s="30"/>
      <c r="E54" s="30"/>
      <c r="F54" s="30"/>
      <c r="H54" s="26"/>
    </row>
    <row r="55" spans="2:15" x14ac:dyDescent="0.25">
      <c r="B55" s="30"/>
      <c r="C55" s="30"/>
      <c r="D55" s="30"/>
      <c r="E55" s="30"/>
      <c r="F55" s="30"/>
      <c r="H55" s="26"/>
    </row>
    <row r="56" spans="2:15" x14ac:dyDescent="0.25">
      <c r="B56" s="50" t="s">
        <v>50</v>
      </c>
      <c r="C56" s="51"/>
      <c r="D56" s="51"/>
      <c r="E56" s="51"/>
      <c r="F56" s="51"/>
      <c r="H56" s="26"/>
    </row>
    <row r="57" spans="2:15" x14ac:dyDescent="0.25">
      <c r="B57" s="13"/>
      <c r="C57" s="13"/>
      <c r="D57" s="31"/>
      <c r="E57" s="31"/>
      <c r="F57" s="31"/>
    </row>
    <row r="58" spans="2:15" x14ac:dyDescent="0.25">
      <c r="B58" s="13"/>
      <c r="C58" s="13"/>
      <c r="D58" s="31"/>
      <c r="E58" s="31"/>
      <c r="F58" s="31"/>
    </row>
    <row r="59" spans="2:15" x14ac:dyDescent="0.25">
      <c r="B59" s="24" t="s">
        <v>52</v>
      </c>
      <c r="C59" s="24"/>
      <c r="D59" s="24"/>
      <c r="E59" s="24"/>
      <c r="F59" s="24"/>
    </row>
    <row r="60" spans="2:15" x14ac:dyDescent="0.25">
      <c r="B60" s="52" t="s">
        <v>51</v>
      </c>
      <c r="C60" s="51"/>
      <c r="D60" s="51"/>
      <c r="E60" s="51"/>
      <c r="F60" s="51"/>
    </row>
    <row r="61" spans="2:15" x14ac:dyDescent="0.25">
      <c r="B61" s="32"/>
      <c r="C61" s="48"/>
      <c r="D61" s="49"/>
      <c r="E61" s="49"/>
      <c r="F61" s="49"/>
    </row>
    <row r="62" spans="2:15" x14ac:dyDescent="0.25">
      <c r="B62" s="25"/>
      <c r="C62" s="25"/>
      <c r="D62" s="31"/>
      <c r="E62" s="31"/>
      <c r="F62" s="31"/>
    </row>
    <row r="63" spans="2:15" x14ac:dyDescent="0.25">
      <c r="B63" s="45"/>
      <c r="C63" s="45"/>
      <c r="D63" s="46"/>
      <c r="E63" s="46"/>
      <c r="F63" s="46"/>
      <c r="G63" s="29"/>
      <c r="H63" s="29"/>
      <c r="I63" s="29"/>
      <c r="J63" s="29"/>
      <c r="K63" s="29"/>
      <c r="L63" s="29"/>
      <c r="M63" s="29"/>
      <c r="N63" s="29"/>
      <c r="O63" s="29"/>
    </row>
    <row r="64" spans="2:15" x14ac:dyDescent="0.25">
      <c r="B64" s="46"/>
      <c r="C64" s="46"/>
      <c r="D64" s="46"/>
      <c r="E64" s="46"/>
      <c r="F64" s="46"/>
      <c r="G64" s="29"/>
      <c r="H64" s="29"/>
      <c r="I64" s="29"/>
      <c r="J64" s="29"/>
      <c r="K64" s="29"/>
      <c r="L64" s="29"/>
      <c r="M64" s="29"/>
      <c r="N64" s="29"/>
      <c r="O64" s="29"/>
    </row>
    <row r="65" spans="2:15" x14ac:dyDescent="0.25">
      <c r="B65" s="46"/>
      <c r="C65" s="46"/>
      <c r="D65" s="46"/>
      <c r="E65" s="46"/>
      <c r="F65" s="46"/>
      <c r="G65" s="29"/>
      <c r="H65" s="29"/>
      <c r="I65" s="29"/>
      <c r="J65" s="29"/>
      <c r="K65" s="29"/>
      <c r="L65" s="29"/>
      <c r="M65" s="29"/>
      <c r="N65" s="29"/>
      <c r="O65" s="29"/>
    </row>
    <row r="66" spans="2:15" x14ac:dyDescent="0.25">
      <c r="B66" s="46"/>
      <c r="C66" s="46"/>
      <c r="D66" s="46"/>
      <c r="E66" s="46"/>
      <c r="F66" s="46"/>
      <c r="G66" s="29"/>
      <c r="H66" s="29"/>
      <c r="I66" s="29"/>
      <c r="J66" s="29"/>
      <c r="K66" s="29"/>
      <c r="L66" s="29"/>
      <c r="M66" s="29"/>
      <c r="N66" s="29"/>
      <c r="O66" s="29"/>
    </row>
    <row r="67" spans="2:15" x14ac:dyDescent="0.25">
      <c r="B67" s="29"/>
      <c r="C67" s="29"/>
      <c r="D67" s="29"/>
      <c r="E67" s="29"/>
      <c r="F67" s="29"/>
      <c r="G67" s="29"/>
      <c r="H67" s="29"/>
      <c r="I67" s="29"/>
      <c r="J67" s="29"/>
      <c r="K67" s="29"/>
      <c r="L67" s="29"/>
      <c r="M67" s="29"/>
      <c r="N67" s="29"/>
      <c r="O67" s="29"/>
    </row>
    <row r="68" spans="2:15" x14ac:dyDescent="0.25">
      <c r="B68" s="29"/>
      <c r="C68" s="29"/>
      <c r="D68" s="29"/>
      <c r="E68" s="29"/>
      <c r="F68" s="29"/>
      <c r="G68" s="29"/>
      <c r="H68" s="29"/>
      <c r="I68" s="29"/>
      <c r="J68" s="29"/>
      <c r="K68" s="29"/>
      <c r="L68" s="29"/>
      <c r="M68" s="29"/>
      <c r="N68" s="29"/>
      <c r="O68" s="29"/>
    </row>
    <row r="69" spans="2:15" x14ac:dyDescent="0.25">
      <c r="B69" s="29"/>
      <c r="C69" s="29"/>
      <c r="D69" s="29"/>
      <c r="E69" s="29"/>
      <c r="F69" s="29"/>
      <c r="G69" s="29"/>
      <c r="H69" s="29"/>
      <c r="I69" s="29"/>
      <c r="J69" s="29"/>
      <c r="K69" s="29"/>
      <c r="L69" s="29"/>
      <c r="M69" s="29"/>
      <c r="N69" s="29"/>
      <c r="O69" s="29"/>
    </row>
    <row r="70" spans="2:15" x14ac:dyDescent="0.25">
      <c r="B70" s="29"/>
      <c r="C70" s="29"/>
      <c r="D70" s="29"/>
      <c r="E70" s="29"/>
      <c r="F70" s="29"/>
      <c r="G70" s="29"/>
      <c r="H70" s="29"/>
      <c r="I70" s="29"/>
      <c r="J70" s="29"/>
      <c r="K70" s="29"/>
      <c r="L70" s="29"/>
      <c r="M70" s="29"/>
      <c r="N70" s="29"/>
      <c r="O70" s="29"/>
    </row>
  </sheetData>
  <mergeCells count="16">
    <mergeCell ref="B11:F11"/>
    <mergeCell ref="B17:F17"/>
    <mergeCell ref="B20:F20"/>
    <mergeCell ref="B24:F24"/>
    <mergeCell ref="B49:F49"/>
    <mergeCell ref="B44:F44"/>
    <mergeCell ref="B18:F18"/>
    <mergeCell ref="B45:F45"/>
    <mergeCell ref="B63:F66"/>
    <mergeCell ref="B46:F46"/>
    <mergeCell ref="B47:F47"/>
    <mergeCell ref="B48:F48"/>
    <mergeCell ref="C61:F61"/>
    <mergeCell ref="B50:F50"/>
    <mergeCell ref="B56:F56"/>
    <mergeCell ref="B60:F60"/>
  </mergeCells>
  <pageMargins left="0.7" right="0.7" top="0.75" bottom="0.75" header="0.3" footer="0.3"/>
  <pageSetup paperSize="9" scale="7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2026-09-02T23:50:12Z</cp:lastPrinted>
  <dcterms:created xsi:type="dcterms:W3CDTF">2020-12-14T19:54:01Z</dcterms:created>
  <dcterms:modified xsi:type="dcterms:W3CDTF">2026-09-02T23:50:21Z</dcterms:modified>
</cp:coreProperties>
</file>