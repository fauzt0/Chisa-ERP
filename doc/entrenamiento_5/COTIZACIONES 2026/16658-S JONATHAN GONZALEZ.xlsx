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5C03FA54-1947-4F3F-9BB5-30232A87109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3" l="1"/>
  <c r="F23" i="3"/>
  <c r="F26" i="3" s="1"/>
  <c r="D21" i="1" l="1"/>
  <c r="D22" i="1" s="1"/>
  <c r="F27" i="3" l="1"/>
  <c r="F28" i="3" s="1"/>
</calcChain>
</file>

<file path=xl/sharedStrings.xml><?xml version="1.0" encoding="utf-8"?>
<sst xmlns="http://schemas.openxmlformats.org/spreadsheetml/2006/main" count="63" uniqueCount="56">
  <si>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</si>
  <si>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</si>
  <si>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</si>
  <si>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</si>
  <si>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</si>
  <si>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</si>
  <si>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</si>
  <si>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</si>
  <si>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</si>
  <si>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</si>
  <si>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</si>
  <si>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</si>
  <si>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</si>
  <si>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</si>
  <si>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</si>
  <si>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</si>
  <si>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</si>
  <si>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</si>
  <si>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</si>
  <si>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</si>
  <si>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</si>
  <si>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</si>
  <si>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</si>
  <si>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</si>
  <si>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</si>
  <si>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</si>
  <si>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</si>
  <si>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</si>
  <si>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</si>
  <si>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</si>
  <si>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</si>
  <si>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</si>
  <si>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</si>
  <si>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</si>
  <si>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</si>
  <si>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</si>
  <si>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</si>
  <si>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</si>
  <si>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</si>
  <si>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</si>
  <si>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</si>
  <si>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</si>
  <si>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</si>
  <si>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</si>
  <si>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</si>
  <si>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1.- MORTERO PLASTICO MALLA 350-400 (REND. 16-18M2)</t>
  </si>
  <si>
    <t>3.-ENTREGA DE MATERIALES L.A.B. EN LA PLANTA DE HAPA SOLUCIONES,  S.A. DE C.V.</t>
  </si>
  <si>
    <r>
      <t xml:space="preserve">5.-HAPA SOLUCIONES INTEGRALES EN RECUBRIMIENTOS, S.A. DE C.V. CON DOMICILIO EN CALLE MORAS NO. 506 COL DEL VALLE, ALCALDÍA BENITO JUAREZ, CDMX.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</si>
  <si>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HAPA SOLUCIONES INTEGRALES EN RECUBRIMIENTOS</t>
  </si>
  <si>
    <t xml:space="preserve"> _______________________________________________</t>
  </si>
  <si>
    <t>CIUDAD DE MEXICO A 13 DE AGOSTO DEL 2026</t>
  </si>
  <si>
    <t xml:space="preserve">CONSTRUCTORA: </t>
  </si>
  <si>
    <t>AT´N: JONATHAN GONZALEZ</t>
  </si>
  <si>
    <t xml:space="preserve">OBRA: </t>
  </si>
  <si>
    <t>PRES. REF. 16658-S/2026CG</t>
  </si>
  <si>
    <t>2- ARENA SILICA (22-25M2)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</si>
</sst>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9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justify" vertical="justify" wrapText="1"/>
    </xf>
    <xf numFmtId="0" fontId="4" fillId="0" borderId="0" xfId="0" applyFont="1" applyAlignment="1">
      <alignment horizontal="justify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219">
    <cellStyle name="Moneda" xfId="1" builtinId="4"/>
    <cellStyle name="Moneda 10" xfId="42" xr:uid="{39376F72-F81F-4D3C-82BE-463BF831B77E}"/>
    <cellStyle name="Moneda 10 2" xfId="80" xr:uid="{126BF8E4-6542-47F0-A303-DC4CD086C5D7}"/>
    <cellStyle name="Moneda 10 2 2" xfId="188" xr:uid="{C740B4E3-24CD-4A42-A9FD-6860508133D5}"/>
    <cellStyle name="Moneda 10 3" xfId="150" xr:uid="{3EB08BE4-8CE4-433C-B5D1-0145318B5BAD}"/>
    <cellStyle name="Moneda 11" xfId="71" xr:uid="{0327788B-816E-4064-B30E-9BE4070FCD34}"/>
    <cellStyle name="Moneda 11 2" xfId="109" xr:uid="{09D02B0D-B11F-475A-AC8A-D9A42464093A}"/>
    <cellStyle name="Moneda 11 2 2" xfId="217" xr:uid="{0A6CC79B-A0FF-4098-8035-363996375081}"/>
    <cellStyle name="Moneda 11 3" xfId="179" xr:uid="{FF6C742F-80F5-417B-A8F3-93EEF40FD9BA}"/>
    <cellStyle name="Moneda 12" xfId="36" xr:uid="{D6629D41-6374-4398-8AB6-CFC80CA5A620}"/>
    <cellStyle name="Moneda 12 2" xfId="74" xr:uid="{378A2401-F309-40A0-958B-87C74ADE0D19}"/>
    <cellStyle name="Moneda 12 2 2" xfId="182" xr:uid="{7D72766D-CEFC-4B4A-A528-08C0157A7842}"/>
    <cellStyle name="Moneda 12 3" xfId="144" xr:uid="{6FF9ADCB-718E-420A-A37F-225B38209724}"/>
    <cellStyle name="Moneda 13" xfId="72" xr:uid="{39568DB2-D652-47F3-90D8-175FF397E579}"/>
    <cellStyle name="Moneda 13 2" xfId="180" xr:uid="{77F70422-2DE4-497C-80EF-4FD50CAA96B5}"/>
    <cellStyle name="Moneda 14" xfId="3" xr:uid="{C1871C4D-0DD9-46A0-A65B-6D1EC1F29A29}"/>
    <cellStyle name="Moneda 14 2" xfId="123" xr:uid="{C95F8EEA-C2BD-4F2E-BB0C-BB7CBB25B3EE}"/>
    <cellStyle name="Moneda 15" xfId="73" xr:uid="{5325ABFD-8089-45AE-B1A0-127E474233EC}"/>
    <cellStyle name="Moneda 15 2" xfId="181" xr:uid="{57F14177-8325-4AD6-BD79-A1ED00765554}"/>
    <cellStyle name="Moneda 16" xfId="111" xr:uid="{5E8DBC12-9DE6-4E9B-87EE-F2CC2767A35F}"/>
    <cellStyle name="Moneda 17" xfId="2" xr:uid="{26A1D199-EB03-4DFE-BBAC-48473466D797}"/>
    <cellStyle name="Moneda 2" xfId="5" xr:uid="{95090A51-59E0-49C3-9785-46860E3E4512}"/>
    <cellStyle name="Moneda 2 10" xfId="113" xr:uid="{DA69B7E3-B8FD-4FDB-8CA4-D65A403B516F}"/>
    <cellStyle name="Moneda 2 2" xfId="8" xr:uid="{04BAC153-F9E1-4C27-85BD-9053268C1AFE}"/>
    <cellStyle name="Moneda 2 2 2" xfId="15" xr:uid="{1351BF6E-7253-40AF-B663-34747AC477B6}"/>
    <cellStyle name="Moneda 2 2 2 2" xfId="31" xr:uid="{53BDD136-0F01-4975-AAAA-E8909C90ACD9}"/>
    <cellStyle name="Moneda 2 2 2 2 2" xfId="140" xr:uid="{8E13C912-3A76-49E2-B478-62AC2126C7BB}"/>
    <cellStyle name="Moneda 2 2 2 3" xfId="54" xr:uid="{0281F118-5AED-41AF-94C0-24A170911729}"/>
    <cellStyle name="Moneda 2 2 2 3 2" xfId="162" xr:uid="{81B58F24-03C5-457E-B773-8A2FA94FC9F7}"/>
    <cellStyle name="Moneda 2 2 2 4" xfId="92" xr:uid="{F6645ED8-3761-48E9-8B89-C012CC5B81DB}"/>
    <cellStyle name="Moneda 2 2 2 4 2" xfId="200" xr:uid="{B9D8DF03-97EC-4C16-A6E4-C78DF6D0699B}"/>
    <cellStyle name="Moneda 2 2 2 5" xfId="122" xr:uid="{83100908-2897-484B-B790-6647EA9E6162}"/>
    <cellStyle name="Moneda 2 2 3" xfId="24" xr:uid="{C99D5282-33E6-49EE-B276-7371D71AA67B}"/>
    <cellStyle name="Moneda 2 2 3 2" xfId="63" xr:uid="{AD317F79-4C92-44C1-B613-3544E2B942A9}"/>
    <cellStyle name="Moneda 2 2 3 2 2" xfId="171" xr:uid="{BB1B806F-D6EA-45A3-BEB5-B2C01BA9AC88}"/>
    <cellStyle name="Moneda 2 2 3 3" xfId="101" xr:uid="{131B227F-4319-422B-BA4B-F778852660C9}"/>
    <cellStyle name="Moneda 2 2 3 3 2" xfId="209" xr:uid="{0CC2BE19-1194-4B27-BB6F-C2DDAABBF6FF}"/>
    <cellStyle name="Moneda 2 2 3 4" xfId="133" xr:uid="{61B296FD-F075-4698-A8DB-C00481D1C3D2}"/>
    <cellStyle name="Moneda 2 2 4" xfId="70" xr:uid="{98AAA995-0206-49F4-8942-3ACD664A4444}"/>
    <cellStyle name="Moneda 2 2 4 2" xfId="108" xr:uid="{8F0FCD10-A354-48E1-A5A8-334AE520DE46}"/>
    <cellStyle name="Moneda 2 2 4 2 2" xfId="216" xr:uid="{09F7A387-5866-4E68-8573-FD40BB468CDA}"/>
    <cellStyle name="Moneda 2 2 4 3" xfId="178" xr:uid="{04166219-51EB-412A-8A6B-8CC8D079467F}"/>
    <cellStyle name="Moneda 2 2 5" xfId="47" xr:uid="{5BAFE17D-E85C-4A47-BCD3-BBDF91937EA6}"/>
    <cellStyle name="Moneda 2 2 5 2" xfId="85" xr:uid="{E1285009-0394-4681-9517-DF6BFB234C3E}"/>
    <cellStyle name="Moneda 2 2 5 2 2" xfId="193" xr:uid="{08F6FB55-014B-4417-8D10-11BDF7573820}"/>
    <cellStyle name="Moneda 2 2 5 3" xfId="155" xr:uid="{28C36373-A403-4420-8476-5E521683A4F2}"/>
    <cellStyle name="Moneda 2 2 6" xfId="41" xr:uid="{C6C92031-E073-4A65-A45F-7CFDD499A935}"/>
    <cellStyle name="Moneda 2 2 6 2" xfId="149" xr:uid="{3EAE8DC6-F06F-4E40-8417-AC8182F7FA48}"/>
    <cellStyle name="Moneda 2 2 7" xfId="79" xr:uid="{7CD86104-A3FA-48E9-8651-5BAFF73D2395}"/>
    <cellStyle name="Moneda 2 2 7 2" xfId="187" xr:uid="{E5E68ACD-6CBA-4D23-8730-B2FB7F04F957}"/>
    <cellStyle name="Moneda 2 2 8" xfId="116" xr:uid="{F96D99AF-D7FD-46FE-B12C-BB82140768E4}"/>
    <cellStyle name="Moneda 2 3" xfId="12" xr:uid="{C548C08B-A64B-4C89-8311-BA8698E7AA13}"/>
    <cellStyle name="Moneda 2 3 2" xfId="28" xr:uid="{4C1FD6D3-AD45-45F7-8669-BF8AAB978E73}"/>
    <cellStyle name="Moneda 2 3 2 2" xfId="137" xr:uid="{269062A5-C402-4EF3-8334-36C63140C298}"/>
    <cellStyle name="Moneda 2 3 3" xfId="51" xr:uid="{F0A8C72C-8149-44A1-846F-BA3D2DC98356}"/>
    <cellStyle name="Moneda 2 3 3 2" xfId="159" xr:uid="{88CC8B77-1F01-4DDE-979C-13583069FCC4}"/>
    <cellStyle name="Moneda 2 3 4" xfId="89" xr:uid="{4F79C0C0-2457-45FB-9784-167EC1862A9F}"/>
    <cellStyle name="Moneda 2 3 4 2" xfId="197" xr:uid="{455ABE08-0803-4905-9FDC-1B2EEC6799E4}"/>
    <cellStyle name="Moneda 2 3 5" xfId="119" xr:uid="{A61F7C62-D1FE-4BDF-AAD8-506A8287232E}"/>
    <cellStyle name="Moneda 2 4" xfId="18" xr:uid="{61DA93F9-6DEF-46B7-BF69-A5F5F202A89F}"/>
    <cellStyle name="Moneda 2 4 2" xfId="34" xr:uid="{A2F76F36-689A-407E-84DE-8C1F25C9FDE4}"/>
    <cellStyle name="Moneda 2 4 2 2" xfId="143" xr:uid="{9D4AB78D-A619-4BFA-82EE-7BB77A12A3EF}"/>
    <cellStyle name="Moneda 2 4 3" xfId="57" xr:uid="{7CC422AA-8AEA-48A0-A0BC-9736B8E4DDC6}"/>
    <cellStyle name="Moneda 2 4 3 2" xfId="165" xr:uid="{7C08A603-C474-40F1-A144-1E0EF01F15BE}"/>
    <cellStyle name="Moneda 2 4 4" xfId="95" xr:uid="{91EBB53C-A2C1-4E2C-B712-6BFDA4EF8590}"/>
    <cellStyle name="Moneda 2 4 4 2" xfId="203" xr:uid="{88A11506-4777-45EB-A63F-C0DB7056E515}"/>
    <cellStyle name="Moneda 2 4 5" xfId="127" xr:uid="{9ADC541C-1D1B-49AF-82CE-E5493662148D}"/>
    <cellStyle name="Moneda 2 5" xfId="21" xr:uid="{B2DFA626-ECBB-47DB-B7E3-583EE8F0632E}"/>
    <cellStyle name="Moneda 2 5 2" xfId="60" xr:uid="{5B1380F4-1C02-4727-A093-87E06FF74084}"/>
    <cellStyle name="Moneda 2 5 2 2" xfId="168" xr:uid="{DBC74FAB-A899-44F3-8194-A1D784AF29E3}"/>
    <cellStyle name="Moneda 2 5 3" xfId="98" xr:uid="{1DA170B6-77B8-416F-803E-3C31031CAAD9}"/>
    <cellStyle name="Moneda 2 5 3 2" xfId="206" xr:uid="{9EF52814-C8C7-4D4E-B345-C2DDCEED8C40}"/>
    <cellStyle name="Moneda 2 5 4" xfId="130" xr:uid="{4A2E5A2C-8997-4D71-93AF-9F7D2E580E14}"/>
    <cellStyle name="Moneda 2 6" xfId="66" xr:uid="{026A842F-4A20-4BD9-AC89-C5BE8ADB3541}"/>
    <cellStyle name="Moneda 2 6 2" xfId="104" xr:uid="{620141A5-1244-4882-A9E4-0B069CCDF033}"/>
    <cellStyle name="Moneda 2 6 2 2" xfId="212" xr:uid="{9E669C7B-0AC8-4D65-93BD-F95B8D43EA01}"/>
    <cellStyle name="Moneda 2 6 3" xfId="174" xr:uid="{9ACA426B-BE1B-4AAC-88C1-B164CFCDB4B4}"/>
    <cellStyle name="Moneda 2 7" xfId="44" xr:uid="{9D36159A-6F0F-4139-8940-3DFD61E5251D}"/>
    <cellStyle name="Moneda 2 7 2" xfId="82" xr:uid="{C4E24103-E064-44EE-8FD8-746F024884D4}"/>
    <cellStyle name="Moneda 2 7 2 2" xfId="190" xr:uid="{31900FE5-6D45-443F-A0A3-2592C706A420}"/>
    <cellStyle name="Moneda 2 7 3" xfId="152" xr:uid="{F19C658F-2798-4C4D-8839-CF3FBF8D1873}"/>
    <cellStyle name="Moneda 2 8" xfId="38" xr:uid="{CAF04EB1-E6F7-4FF6-8282-CA68069667EE}"/>
    <cellStyle name="Moneda 2 8 2" xfId="110" xr:uid="{79D95150-9C7C-4006-BF2C-0547530FFC49}"/>
    <cellStyle name="Moneda 2 8 2 2" xfId="218" xr:uid="{C0186A90-7EFD-44E3-965D-D5E31BB5D269}"/>
    <cellStyle name="Moneda 2 8 3" xfId="146" xr:uid="{3F56B8A5-A142-40F9-9D71-D1692D6A04F3}"/>
    <cellStyle name="Moneda 2 9" xfId="76" xr:uid="{10276D6D-C880-49AD-869E-EF45666327FD}"/>
    <cellStyle name="Moneda 2 9 2" xfId="184" xr:uid="{F75B5146-45C9-4325-9F2F-42523F9085F9}"/>
    <cellStyle name="Moneda 3" xfId="4" xr:uid="{F179F019-7AC6-4A3E-A55B-A3759AAE25F7}"/>
    <cellStyle name="Moneda 3 2" xfId="7" xr:uid="{C3B32F6F-9F14-42B7-8AFE-1785F2556243}"/>
    <cellStyle name="Moneda 3 2 2" xfId="14" xr:uid="{0FD0883A-B8E2-484C-80C7-68D2D7870F1D}"/>
    <cellStyle name="Moneda 3 2 2 2" xfId="30" xr:uid="{E86AF6DF-394C-4FE5-B9B6-68E821914CBF}"/>
    <cellStyle name="Moneda 3 2 2 2 2" xfId="139" xr:uid="{87F08F46-E669-478C-84D3-C6D7E2E91DB6}"/>
    <cellStyle name="Moneda 3 2 2 3" xfId="53" xr:uid="{408FE984-F7B4-45B2-8EE9-B51FE1FCF374}"/>
    <cellStyle name="Moneda 3 2 2 3 2" xfId="161" xr:uid="{38BA3F83-D41C-43AE-AD40-C838F59A479E}"/>
    <cellStyle name="Moneda 3 2 2 4" xfId="91" xr:uid="{37E7254E-54F7-42BA-9046-02666A82D79A}"/>
    <cellStyle name="Moneda 3 2 2 4 2" xfId="199" xr:uid="{8E75DCE0-74B1-4767-8C6D-9C2A59236EB3}"/>
    <cellStyle name="Moneda 3 2 2 5" xfId="121" xr:uid="{125A406E-27E2-475D-AAC5-64752CA1309A}"/>
    <cellStyle name="Moneda 3 2 3" xfId="23" xr:uid="{5ABC38E4-E054-4954-9E13-45EF5BF696B4}"/>
    <cellStyle name="Moneda 3 2 3 2" xfId="62" xr:uid="{16770179-98AF-43FD-99E6-26919869CE24}"/>
    <cellStyle name="Moneda 3 2 3 2 2" xfId="170" xr:uid="{361E273E-7C58-4111-BA08-CD3F42334C5B}"/>
    <cellStyle name="Moneda 3 2 3 3" xfId="100" xr:uid="{BFD0B589-2647-4B4B-B56A-5736F249DE02}"/>
    <cellStyle name="Moneda 3 2 3 3 2" xfId="208" xr:uid="{09F0EFA2-93EA-4BE0-9EEC-D926159B9666}"/>
    <cellStyle name="Moneda 3 2 3 4" xfId="132" xr:uid="{73E76438-E990-45DE-9368-EDDED51BD64C}"/>
    <cellStyle name="Moneda 3 2 4" xfId="69" xr:uid="{59099AB4-D9D5-45BC-91E4-D3314D97618A}"/>
    <cellStyle name="Moneda 3 2 4 2" xfId="107" xr:uid="{9C1274CA-06F6-445F-8DE8-D3BFD2C47426}"/>
    <cellStyle name="Moneda 3 2 4 2 2" xfId="215" xr:uid="{256313BF-6E7D-4C48-B9A1-9AC54960F3FA}"/>
    <cellStyle name="Moneda 3 2 4 3" xfId="177" xr:uid="{F11DEE10-7986-4612-A572-A06837DBB355}"/>
    <cellStyle name="Moneda 3 2 5" xfId="46" xr:uid="{A6E786D7-6488-42B4-92DB-DC69971F4A63}"/>
    <cellStyle name="Moneda 3 2 5 2" xfId="84" xr:uid="{151DA0A2-40A0-406F-89EE-A73C5CB73131}"/>
    <cellStyle name="Moneda 3 2 5 2 2" xfId="192" xr:uid="{BDE4F290-0842-4418-ADBF-98A5250037D5}"/>
    <cellStyle name="Moneda 3 2 5 3" xfId="154" xr:uid="{EF7FFC3C-F7D4-4FF8-A448-9CB389AD7335}"/>
    <cellStyle name="Moneda 3 2 6" xfId="40" xr:uid="{31FE4780-A79A-4E55-9339-13DEE060C6CE}"/>
    <cellStyle name="Moneda 3 2 6 2" xfId="148" xr:uid="{EA5560DC-370D-4910-9B66-3122344C53F6}"/>
    <cellStyle name="Moneda 3 2 7" xfId="78" xr:uid="{37839ED3-63AC-4ABF-9BD5-6E056FD0DF41}"/>
    <cellStyle name="Moneda 3 2 7 2" xfId="186" xr:uid="{F799E49D-2FEE-4CEB-B79A-98225164ED68}"/>
    <cellStyle name="Moneda 3 2 8" xfId="115" xr:uid="{2B810FA1-C4CF-43D0-820E-4B6478B5732B}"/>
    <cellStyle name="Moneda 3 3" xfId="11" xr:uid="{E6C918B7-F508-4729-A33F-ADCCA97CCB07}"/>
    <cellStyle name="Moneda 3 3 2" xfId="27" xr:uid="{94C4097D-96F5-4588-B612-A235995E8B99}"/>
    <cellStyle name="Moneda 3 3 2 2" xfId="136" xr:uid="{A4060365-BE4B-4359-94EF-7FD250BB6D2B}"/>
    <cellStyle name="Moneda 3 3 3" xfId="50" xr:uid="{FFD30AFB-75D2-472C-8BE1-3A06909E4E9B}"/>
    <cellStyle name="Moneda 3 3 3 2" xfId="158" xr:uid="{E3E85086-4CE8-4217-B81A-562565F7E29D}"/>
    <cellStyle name="Moneda 3 3 4" xfId="88" xr:uid="{95FFB4A8-AABC-4202-A674-3318DBB8B4C0}"/>
    <cellStyle name="Moneda 3 3 4 2" xfId="196" xr:uid="{00AAAA12-3261-4EBC-9AD0-DD0891BE6B95}"/>
    <cellStyle name="Moneda 3 3 5" xfId="118" xr:uid="{60C08694-EE38-4D50-8634-75C7DE9059C4}"/>
    <cellStyle name="Moneda 3 4" xfId="20" xr:uid="{34215C8C-B63C-4BFF-BF60-796AE4850CF8}"/>
    <cellStyle name="Moneda 3 4 2" xfId="59" xr:uid="{4F365E86-BE45-4A16-94F6-F9401F57BDB6}"/>
    <cellStyle name="Moneda 3 4 2 2" xfId="167" xr:uid="{571089E9-2509-40B2-9BC8-56FE425B3C49}"/>
    <cellStyle name="Moneda 3 4 3" xfId="97" xr:uid="{E75277D0-C619-4BFF-A098-DDB9D07A5977}"/>
    <cellStyle name="Moneda 3 4 3 2" xfId="205" xr:uid="{FC1F35E2-C42F-4AB4-85F3-8BD995D19730}"/>
    <cellStyle name="Moneda 3 4 4" xfId="129" xr:uid="{D4189141-CA47-411B-8F63-C781195D9FEF}"/>
    <cellStyle name="Moneda 3 5" xfId="65" xr:uid="{67E1E441-63CB-44CF-84A7-F1C20CD3E880}"/>
    <cellStyle name="Moneda 3 5 2" xfId="103" xr:uid="{956382BC-FD3D-4E43-8AC4-BB0CBC6C6F31}"/>
    <cellStyle name="Moneda 3 5 2 2" xfId="211" xr:uid="{6B15C579-E53D-447A-9FB4-56153E46B81D}"/>
    <cellStyle name="Moneda 3 5 3" xfId="173" xr:uid="{FA31490F-C9B3-4D4A-84DC-19069CFA609D}"/>
    <cellStyle name="Moneda 3 6" xfId="43" xr:uid="{F836A15E-7467-4415-8718-3F45B9E21D70}"/>
    <cellStyle name="Moneda 3 6 2" xfId="81" xr:uid="{A99F0C3E-579D-4209-9FB3-0CCDC39B0695}"/>
    <cellStyle name="Moneda 3 6 2 2" xfId="189" xr:uid="{2F47EBEC-E5E1-4146-88DF-53558BB04310}"/>
    <cellStyle name="Moneda 3 6 3" xfId="151" xr:uid="{8AD1941F-D8F7-42CD-A0F5-6BE970D5616C}"/>
    <cellStyle name="Moneda 3 7" xfId="37" xr:uid="{DC9DD84E-E84A-4508-B30D-0BCDA0DA2B02}"/>
    <cellStyle name="Moneda 3 7 2" xfId="145" xr:uid="{CD7DCFF2-7CCB-4C18-8EDC-C3E9E11AD50B}"/>
    <cellStyle name="Moneda 3 8" xfId="75" xr:uid="{913282FC-F3CA-4CB3-A469-10B42A858C2C}"/>
    <cellStyle name="Moneda 3 8 2" xfId="183" xr:uid="{591B67D1-D988-4451-8F73-685961E818B1}"/>
    <cellStyle name="Moneda 3 9" xfId="112" xr:uid="{929C50D2-0B2A-4D4F-B248-794B3E3CE2C9}"/>
    <cellStyle name="Moneda 4" xfId="6" xr:uid="{25C71F92-06D0-4388-B320-7AFDCF3DC31E}"/>
    <cellStyle name="Moneda 4 2" xfId="13" xr:uid="{4C0E187A-4330-4CDB-B25C-40802B62D8F0}"/>
    <cellStyle name="Moneda 4 2 2" xfId="29" xr:uid="{5410E063-E169-4F93-93D8-8022E38BE594}"/>
    <cellStyle name="Moneda 4 2 2 2" xfId="138" xr:uid="{D944B2B4-2663-4498-AB24-56E75A777017}"/>
    <cellStyle name="Moneda 4 2 3" xfId="52" xr:uid="{9BA98E9C-2D9D-42F3-A5D2-5DCC62A680EE}"/>
    <cellStyle name="Moneda 4 2 3 2" xfId="160" xr:uid="{3526D027-3901-4F18-931A-973705A07074}"/>
    <cellStyle name="Moneda 4 2 4" xfId="90" xr:uid="{FC116B7C-62F7-4041-8295-A9BDE83BF1D3}"/>
    <cellStyle name="Moneda 4 2 4 2" xfId="198" xr:uid="{AE4A609B-0F61-45C5-89CE-9FE843462311}"/>
    <cellStyle name="Moneda 4 2 5" xfId="120" xr:uid="{8465FBF5-FAC2-4316-BA06-DA1BC180F9FE}"/>
    <cellStyle name="Moneda 4 3" xfId="22" xr:uid="{10222C95-6A33-45C6-8BEF-C28CF3C64EA6}"/>
    <cellStyle name="Moneda 4 3 2" xfId="61" xr:uid="{426E39AC-6786-42F8-BE99-5D0D71ECA58B}"/>
    <cellStyle name="Moneda 4 3 2 2" xfId="169" xr:uid="{D01C23D7-2FDD-41CC-9817-091B65E251E2}"/>
    <cellStyle name="Moneda 4 3 3" xfId="99" xr:uid="{A6057792-5D7E-47F3-B1B3-B69CFD6E01E1}"/>
    <cellStyle name="Moneda 4 3 3 2" xfId="207" xr:uid="{4C71956D-1B77-4C7D-B4A9-CC7D801892E4}"/>
    <cellStyle name="Moneda 4 3 4" xfId="131" xr:uid="{4D121CA8-9AF7-4401-920F-2B2FB32AB603}"/>
    <cellStyle name="Moneda 4 4" xfId="67" xr:uid="{3BED6AF8-DAF4-44E6-9986-98A8D2BECF2B}"/>
    <cellStyle name="Moneda 4 4 2" xfId="105" xr:uid="{594190DC-E361-4ADC-A70E-FE5969D44281}"/>
    <cellStyle name="Moneda 4 4 2 2" xfId="213" xr:uid="{B8D75F45-D016-46CE-9D7C-3837FEC6C30C}"/>
    <cellStyle name="Moneda 4 4 3" xfId="175" xr:uid="{C70C799D-4E91-42B1-B9F0-459372D806E5}"/>
    <cellStyle name="Moneda 4 5" xfId="45" xr:uid="{4152D6CB-210E-4D08-9375-D2AD90ECBF59}"/>
    <cellStyle name="Moneda 4 5 2" xfId="83" xr:uid="{09DF5078-646B-4B37-ABA0-6B269E4867CB}"/>
    <cellStyle name="Moneda 4 5 2 2" xfId="191" xr:uid="{5D03589D-02A4-4743-A17D-046CCD7F7AAE}"/>
    <cellStyle name="Moneda 4 5 3" xfId="153" xr:uid="{0247B70F-3161-4504-AC99-940011CD3357}"/>
    <cellStyle name="Moneda 4 6" xfId="39" xr:uid="{A9FD7006-E708-4771-BBDC-34F20D9E3809}"/>
    <cellStyle name="Moneda 4 6 2" xfId="147" xr:uid="{E5BAE348-F9B3-4578-A07F-F8D16C2DF423}"/>
    <cellStyle name="Moneda 4 7" xfId="77" xr:uid="{4481E9A9-681E-4D3F-BD73-18680183C702}"/>
    <cellStyle name="Moneda 4 7 2" xfId="185" xr:uid="{F37F4247-6B3E-4650-A078-6254FC5D3941}"/>
    <cellStyle name="Moneda 4 8" xfId="114" xr:uid="{F6F923AC-E5FE-417D-A942-19DA13E1526A}"/>
    <cellStyle name="Moneda 5" xfId="9" xr:uid="{04825DCB-AEDD-4F9C-BC52-C64B2D9E2782}"/>
    <cellStyle name="Moneda 5 2" xfId="16" xr:uid="{DD61390C-0F93-40C8-B5B0-EB475202A603}"/>
    <cellStyle name="Moneda 5 2 2" xfId="32" xr:uid="{9A5331ED-9BD8-4936-91F4-A2C1C1DA225F}"/>
    <cellStyle name="Moneda 5 2 2 2" xfId="141" xr:uid="{95E69351-6329-4DB1-82DC-68C137D15725}"/>
    <cellStyle name="Moneda 5 2 3" xfId="55" xr:uid="{35D25960-A30A-4C20-9B26-0D1EE7773100}"/>
    <cellStyle name="Moneda 5 2 3 2" xfId="163" xr:uid="{1FDB3130-4921-4381-8CD7-3564AE6124EB}"/>
    <cellStyle name="Moneda 5 2 4" xfId="93" xr:uid="{4376C0BB-4002-4C01-AB8B-7B5DEF52BA33}"/>
    <cellStyle name="Moneda 5 2 4 2" xfId="201" xr:uid="{AC4C5F73-201E-4058-839F-23BAF23BC5EB}"/>
    <cellStyle name="Moneda 5 2 5" xfId="125" xr:uid="{31C50F1A-A513-4322-90AB-CCF0C39BD417}"/>
    <cellStyle name="Moneda 5 3" xfId="25" xr:uid="{3A16341C-0423-4A6E-93EB-0629791BE387}"/>
    <cellStyle name="Moneda 5 3 2" xfId="68" xr:uid="{69814D8F-3066-4E79-9E6B-EF7131D341E1}"/>
    <cellStyle name="Moneda 5 3 2 2" xfId="176" xr:uid="{A8903387-5755-41B8-88B0-85C7162DA282}"/>
    <cellStyle name="Moneda 5 3 3" xfId="106" xr:uid="{54ABD2DD-6D7C-4966-B104-C81C4016755B}"/>
    <cellStyle name="Moneda 5 3 3 2" xfId="214" xr:uid="{C58453CB-F7CA-4285-9F76-AE1C71A8011A}"/>
    <cellStyle name="Moneda 5 3 4" xfId="134" xr:uid="{4E271E88-8C63-438A-914C-3BFC5F59804B}"/>
    <cellStyle name="Moneda 5 4" xfId="48" xr:uid="{177DF2E9-14B8-40DC-865F-E39B92427D6C}"/>
    <cellStyle name="Moneda 5 4 2" xfId="156" xr:uid="{7CF6D0FB-64E3-4C6E-9DF2-E93030423A49}"/>
    <cellStyle name="Moneda 5 5" xfId="86" xr:uid="{2AA9267F-59DC-4F82-B95F-5128AE369B3D}"/>
    <cellStyle name="Moneda 5 5 2" xfId="194" xr:uid="{2C181D00-61EF-40CB-B322-2ECCB4847F09}"/>
    <cellStyle name="Moneda 5 6" xfId="117" xr:uid="{26746A77-03D4-49D8-A775-2E080189F73F}"/>
    <cellStyle name="Moneda 6" xfId="10" xr:uid="{C4CF8E3A-DDD2-42CF-BC0D-213B7966EB70}"/>
    <cellStyle name="Moneda 6 2" xfId="26" xr:uid="{F783E308-22B5-4BFC-963A-9BF17C255D33}"/>
    <cellStyle name="Moneda 6 2 2" xfId="135" xr:uid="{143D575E-ADAE-46B2-ABB6-CB44D167BCAF}"/>
    <cellStyle name="Moneda 6 3" xfId="49" xr:uid="{13B3446F-07CB-4D30-A215-4018AF32AA90}"/>
    <cellStyle name="Moneda 6 3 2" xfId="157" xr:uid="{6DB0B269-F232-4C6C-80F7-0208BD1A32CD}"/>
    <cellStyle name="Moneda 6 4" xfId="87" xr:uid="{7DC832B8-4D54-4715-95D9-B9FDC94C686E}"/>
    <cellStyle name="Moneda 6 4 2" xfId="195" xr:uid="{9A2EDFBC-7239-4BB3-9C95-070A894EBCA2}"/>
    <cellStyle name="Moneda 6 5" xfId="124" xr:uid="{D1A724F0-8F80-4388-82DA-7576CDB157C0}"/>
    <cellStyle name="Moneda 7" xfId="17" xr:uid="{EEFBD2AD-F5A2-472D-B474-7F05A941811A}"/>
    <cellStyle name="Moneda 7 2" xfId="33" xr:uid="{1110FE74-24D7-41B8-94A1-696217DC24C9}"/>
    <cellStyle name="Moneda 7 2 2" xfId="142" xr:uid="{79645BE2-9B38-4848-BE6E-8AEB30EC01CF}"/>
    <cellStyle name="Moneda 7 3" xfId="56" xr:uid="{6B408C5C-26A9-4D96-B870-9F9991DA978D}"/>
    <cellStyle name="Moneda 7 3 2" xfId="164" xr:uid="{1A042F89-ED9D-40B2-8A50-F024634BE82B}"/>
    <cellStyle name="Moneda 7 4" xfId="94" xr:uid="{9E7BA5B5-4A7F-4FA4-B8A3-06E4438B931A}"/>
    <cellStyle name="Moneda 7 4 2" xfId="202" xr:uid="{67C6E8AB-FE9C-401B-8153-A6EF57DAAE18}"/>
    <cellStyle name="Moneda 7 5" xfId="126" xr:uid="{42E88CA8-BA43-491A-A2A6-C2FC15397E0B}"/>
    <cellStyle name="Moneda 8" xfId="19" xr:uid="{F70E63A9-521D-4BDB-9A99-9E34B3073C80}"/>
    <cellStyle name="Moneda 8 2" xfId="58" xr:uid="{39ACBC95-CEAD-43B9-8F84-9DBD6AA1B80F}"/>
    <cellStyle name="Moneda 8 2 2" xfId="166" xr:uid="{DC8E83D1-4778-4966-BFE1-589F7DE4B2AB}"/>
    <cellStyle name="Moneda 8 3" xfId="96" xr:uid="{795BC99E-39DF-4232-B476-4F675558D0E0}"/>
    <cellStyle name="Moneda 8 3 2" xfId="204" xr:uid="{21854932-A10C-4A2E-98D5-9327FD300161}"/>
    <cellStyle name="Moneda 8 4" xfId="128" xr:uid="{470A1D74-31A6-4A9D-BCAE-5FDF8CD3A955}"/>
    <cellStyle name="Moneda 9" xfId="64" xr:uid="{4FF88D94-C389-442D-98C3-96A73E12FA68}"/>
    <cellStyle name="Moneda 9 2" xfId="102" xr:uid="{A8C88710-E201-4673-B59B-804B830843C1}"/>
    <cellStyle name="Moneda 9 2 2" xfId="210" xr:uid="{6CE274BC-AB90-4954-89E5-D4B33292C5AD}"/>
    <cellStyle name="Moneda 9 3" xfId="172" xr:uid="{C5391B3D-7E68-4834-BF80-923679703479}"/>
    <cellStyle name="Normal" xfId="0" builtinId="0"/>
    <cellStyle name="Normal 2" xfId="35" xr:uid="{A4611F98-9FE5-4338-930D-AD8F8467D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3246885</xdr:colOff>
      <xdr:row>0</xdr:row>
      <xdr:rowOff>180974</xdr:rowOff>
    </xdr:from>
    <xdr:to>
      <xdr:col>6</xdr:col>
      <xdr:colOff>85725</xdr:colOff>
      <xdr:row>6</xdr:row>
      <xdr:rowOff>158749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0D8A73-C11F-E978-82BC-AB776D550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410" y="180974"/>
          <a:ext cx="3353940" cy="112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2" t="s">
        <v>33</v>
      </c>
      <c r="B4" s="42"/>
      <c r="C4" s="42"/>
      <c r="D4" s="42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34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36</v>
      </c>
      <c r="B13" s="55"/>
      <c r="C13" s="55"/>
      <c r="D13" s="55"/>
    </row>
    <row r="14" spans="1:7" ht="12" customHeight="1" x14ac:dyDescent="0.25">
      <c r="A14" s="8" t="s">
        <v>35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28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8" t="s">
        <v>29</v>
      </c>
      <c r="B17" s="24" t="s">
        <v>19</v>
      </c>
      <c r="C17" s="17" t="s">
        <v>23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30</v>
      </c>
      <c r="B18" s="33" t="s">
        <v>39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37</v>
      </c>
      <c r="B25" s="60"/>
      <c r="C25" s="60"/>
      <c r="D25" s="60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56" t="s">
        <v>31</v>
      </c>
      <c r="B27" s="56"/>
      <c r="C27" s="56"/>
      <c r="D27" s="56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27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32</v>
      </c>
      <c r="B43" s="21"/>
      <c r="C43" s="21"/>
      <c r="D43" s="21"/>
    </row>
    <row r="44" spans="1:4" x14ac:dyDescent="0.25">
      <c r="A44" s="13" t="s">
        <v>38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6"/>
  <sheetViews>
    <sheetView tabSelected="1" topLeftCell="A36" zoomScaleNormal="100" zoomScalePageLayoutView="50" workbookViewId="0">
      <selection activeCell="G41" sqref="G4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2" t="s">
        <v>50</v>
      </c>
      <c r="C9" s="42"/>
      <c r="D9" s="42"/>
      <c r="E9" s="42"/>
      <c r="F9" s="42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43" t="s">
        <v>52</v>
      </c>
      <c r="C14" s="43"/>
      <c r="D14" s="43"/>
      <c r="E14" s="43"/>
      <c r="F14" s="43"/>
    </row>
    <row r="15" spans="2:6" x14ac:dyDescent="0.25">
      <c r="B15" s="36"/>
      <c r="C15" s="36"/>
      <c r="D15" s="36"/>
      <c r="E15" s="36"/>
      <c r="F15" s="36"/>
    </row>
    <row r="16" spans="2:6" x14ac:dyDescent="0.25">
      <c r="B16" s="36"/>
      <c r="C16" s="36"/>
      <c r="D16" s="36"/>
      <c r="E16" s="36"/>
      <c r="F16" s="36"/>
    </row>
    <row r="17" spans="2:6" x14ac:dyDescent="0.25">
      <c r="B17" s="44" t="s">
        <v>53</v>
      </c>
      <c r="C17" s="44"/>
      <c r="D17" s="44"/>
      <c r="E17" s="44"/>
      <c r="F17" s="44"/>
    </row>
    <row r="18" spans="2:6" ht="12.75" customHeight="1" x14ac:dyDescent="0.25">
      <c r="B18" s="8" t="s">
        <v>54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8.5" customHeight="1" x14ac:dyDescent="0.25">
      <c r="B20" s="45" t="s">
        <v>44</v>
      </c>
      <c r="C20" s="45"/>
      <c r="D20" s="45"/>
      <c r="E20" s="45"/>
      <c r="F20" s="45"/>
    </row>
    <row r="21" spans="2:6" x14ac:dyDescent="0.25">
      <c r="B21" s="8" t="s">
        <v>21</v>
      </c>
      <c r="C21" s="8"/>
      <c r="D21" s="18" t="s">
        <v>19</v>
      </c>
      <c r="E21" s="18" t="s">
        <v>23</v>
      </c>
      <c r="F21" s="17" t="s">
        <v>20</v>
      </c>
    </row>
    <row r="22" spans="2:6" x14ac:dyDescent="0.25">
      <c r="B22" s="7"/>
      <c r="C22" s="8"/>
      <c r="D22" s="17"/>
      <c r="E22" s="17"/>
      <c r="F22" s="17"/>
    </row>
    <row r="23" spans="2:6" x14ac:dyDescent="0.25">
      <c r="B23" s="7" t="s">
        <v>45</v>
      </c>
      <c r="C23" s="25" t="s">
        <v>42</v>
      </c>
      <c r="D23" s="25">
        <v>2</v>
      </c>
      <c r="E23" s="37">
        <v>1205.56</v>
      </c>
      <c r="F23" s="37">
        <f>E23*D23</f>
        <v>2411.12</v>
      </c>
    </row>
    <row r="24" spans="2:6" x14ac:dyDescent="0.25">
      <c r="B24" s="41" t="s">
        <v>55</v>
      </c>
      <c r="C24" s="25" t="s">
        <v>42</v>
      </c>
      <c r="D24" s="5">
        <v>2</v>
      </c>
      <c r="E24" s="37">
        <v>1188.6400000000001</v>
      </c>
      <c r="F24" s="37">
        <f t="shared" ref="F24" si="0">E24*D24</f>
        <v>2377.2800000000002</v>
      </c>
    </row>
    <row r="25" spans="2:6" x14ac:dyDescent="0.25">
      <c r="B25" s="34"/>
      <c r="C25" s="5"/>
      <c r="D25" s="39"/>
      <c r="E25" s="38"/>
      <c r="F25" s="11"/>
    </row>
    <row r="26" spans="2:6" x14ac:dyDescent="0.25">
      <c r="B26" s="4"/>
      <c r="C26" s="4"/>
      <c r="D26" s="16"/>
      <c r="E26" s="4" t="s">
        <v>3</v>
      </c>
      <c r="F26" s="11">
        <f>SUM(F23:F25)</f>
        <v>4788.3999999999996</v>
      </c>
    </row>
    <row r="27" spans="2:6" x14ac:dyDescent="0.25">
      <c r="B27" s="4"/>
      <c r="C27" s="4"/>
      <c r="D27" s="16"/>
      <c r="E27" s="4" t="s">
        <v>40</v>
      </c>
      <c r="F27" s="11">
        <f>F26*0.16</f>
        <v>766.14400000000001</v>
      </c>
    </row>
    <row r="28" spans="2:6" x14ac:dyDescent="0.25">
      <c r="B28" s="4"/>
      <c r="C28" s="4"/>
      <c r="D28" s="16"/>
      <c r="E28" s="4" t="s">
        <v>41</v>
      </c>
      <c r="F28" s="11">
        <f>SUM(F26:F27)</f>
        <v>5554.5439999999999</v>
      </c>
    </row>
    <row r="29" spans="2:6" x14ac:dyDescent="0.25">
      <c r="B29" s="4"/>
      <c r="C29" s="4"/>
      <c r="D29" s="16"/>
      <c r="E29" s="4"/>
      <c r="F29" s="11"/>
    </row>
    <row r="30" spans="2:6" x14ac:dyDescent="0.25">
      <c r="B30" s="4"/>
      <c r="C30" s="4"/>
      <c r="D30" s="16"/>
      <c r="E30" s="4"/>
      <c r="F30" s="11"/>
    </row>
    <row r="31" spans="2:6" x14ac:dyDescent="0.25">
      <c r="B31" s="4"/>
      <c r="C31" s="4"/>
      <c r="D31" s="16"/>
      <c r="E31" s="4"/>
      <c r="F31" s="11"/>
    </row>
    <row r="32" spans="2:6" ht="32.25" customHeight="1" x14ac:dyDescent="0.25">
      <c r="B32" s="45" t="s">
        <v>24</v>
      </c>
      <c r="C32" s="45"/>
      <c r="D32" s="45"/>
      <c r="E32" s="45"/>
      <c r="F32" s="45"/>
    </row>
    <row r="33" spans="1:8" ht="16.5" customHeight="1" x14ac:dyDescent="0.25">
      <c r="B33" s="45" t="s">
        <v>25</v>
      </c>
      <c r="C33" s="45"/>
      <c r="D33" s="45"/>
      <c r="E33" s="45"/>
      <c r="F33" s="45"/>
    </row>
    <row r="34" spans="1:8" ht="17.25" customHeight="1" x14ac:dyDescent="0.25">
      <c r="B34" s="45" t="s">
        <v>46</v>
      </c>
      <c r="C34" s="45"/>
      <c r="D34" s="45"/>
      <c r="E34" s="45"/>
      <c r="F34" s="45"/>
    </row>
    <row r="35" spans="1:8" ht="18" customHeight="1" x14ac:dyDescent="0.25">
      <c r="B35" s="45" t="s">
        <v>26</v>
      </c>
      <c r="C35" s="45"/>
      <c r="D35" s="45"/>
      <c r="E35" s="45"/>
      <c r="F35" s="45"/>
    </row>
    <row r="36" spans="1:8" ht="78.75" customHeight="1" x14ac:dyDescent="0.25">
      <c r="B36" s="45" t="s">
        <v>47</v>
      </c>
      <c r="C36" s="45"/>
      <c r="D36" s="45"/>
      <c r="E36" s="45"/>
      <c r="F36" s="45"/>
    </row>
    <row r="37" spans="1:8" ht="32.25" customHeight="1" x14ac:dyDescent="0.25">
      <c r="B37" s="40"/>
      <c r="C37" s="40"/>
      <c r="D37" s="40"/>
      <c r="E37" s="40"/>
      <c r="F37" s="40"/>
    </row>
    <row r="38" spans="1:8" ht="14.25" customHeight="1" x14ac:dyDescent="0.25">
      <c r="B38" s="40"/>
      <c r="C38" s="40"/>
      <c r="D38" s="40"/>
      <c r="E38" s="40"/>
      <c r="F38" s="40"/>
    </row>
    <row r="39" spans="1:8" ht="14.25" customHeight="1" x14ac:dyDescent="0.25">
      <c r="B39" s="20"/>
      <c r="C39" s="20"/>
      <c r="D39" s="20"/>
      <c r="E39" s="20"/>
      <c r="F39" s="20"/>
    </row>
    <row r="40" spans="1:8" x14ac:dyDescent="0.25">
      <c r="B40" s="20"/>
      <c r="C40" s="20"/>
      <c r="D40" s="20"/>
      <c r="E40" s="20"/>
      <c r="F40" s="20"/>
      <c r="H40" s="14"/>
    </row>
    <row r="41" spans="1:8" x14ac:dyDescent="0.25">
      <c r="B41" s="20"/>
      <c r="C41" s="20"/>
      <c r="D41" s="20"/>
      <c r="E41" s="20"/>
      <c r="F41" s="20"/>
    </row>
    <row r="42" spans="1:8" x14ac:dyDescent="0.25">
      <c r="B42" s="48" t="s">
        <v>43</v>
      </c>
      <c r="C42" s="49"/>
      <c r="D42" s="49"/>
      <c r="E42" s="49"/>
      <c r="F42" s="49"/>
    </row>
    <row r="43" spans="1:8" x14ac:dyDescent="0.25">
      <c r="A43" s="51"/>
      <c r="B43" s="49"/>
      <c r="C43" s="49"/>
      <c r="D43" s="49"/>
      <c r="E43" s="49"/>
      <c r="F43" s="49"/>
    </row>
    <row r="44" spans="1:8" x14ac:dyDescent="0.25">
      <c r="A44" s="51"/>
      <c r="B44" s="49"/>
      <c r="C44" s="49"/>
      <c r="D44" s="49"/>
      <c r="E44" s="49"/>
      <c r="F44" s="49"/>
    </row>
    <row r="45" spans="1:8" x14ac:dyDescent="0.25">
      <c r="A45" s="51" t="s">
        <v>49</v>
      </c>
      <c r="B45" s="49"/>
      <c r="C45" s="49"/>
      <c r="D45" s="49"/>
      <c r="E45" s="49"/>
      <c r="F45" s="49"/>
    </row>
    <row r="46" spans="1:8" x14ac:dyDescent="0.25">
      <c r="B46" s="50" t="s">
        <v>48</v>
      </c>
      <c r="C46" s="49"/>
      <c r="D46" s="49"/>
      <c r="E46" s="49"/>
      <c r="F46" s="49"/>
    </row>
    <row r="47" spans="1:8" x14ac:dyDescent="0.25">
      <c r="B47" s="23"/>
      <c r="C47" s="35"/>
      <c r="D47" s="35"/>
      <c r="E47" s="35"/>
      <c r="F47" s="35"/>
    </row>
    <row r="48" spans="1:8" x14ac:dyDescent="0.25">
      <c r="B48" s="13"/>
      <c r="C48" s="13"/>
      <c r="D48" s="21"/>
      <c r="E48" s="21"/>
      <c r="F48" s="21"/>
    </row>
    <row r="49" spans="2:15" x14ac:dyDescent="0.25">
      <c r="B49" s="46"/>
      <c r="C49" s="46"/>
      <c r="D49" s="47"/>
      <c r="E49" s="47"/>
      <c r="F49" s="47"/>
      <c r="G49" s="19"/>
      <c r="H49" s="19"/>
      <c r="I49" s="19"/>
      <c r="J49" s="19"/>
      <c r="K49" s="19"/>
      <c r="L49" s="19"/>
      <c r="M49" s="19"/>
      <c r="N49" s="19"/>
      <c r="O49" s="19"/>
    </row>
    <row r="50" spans="2:15" x14ac:dyDescent="0.25">
      <c r="B50" s="47"/>
      <c r="C50" s="47"/>
      <c r="D50" s="47"/>
      <c r="E50" s="47"/>
      <c r="F50" s="47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47"/>
      <c r="C51" s="47"/>
      <c r="D51" s="47"/>
      <c r="E51" s="47"/>
      <c r="F51" s="47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47"/>
      <c r="C52" s="47"/>
      <c r="D52" s="47"/>
      <c r="E52" s="47"/>
      <c r="F52" s="47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</sheetData>
  <mergeCells count="15">
    <mergeCell ref="B49:F52"/>
    <mergeCell ref="B33:F33"/>
    <mergeCell ref="B34:F34"/>
    <mergeCell ref="B35:F35"/>
    <mergeCell ref="B36:F36"/>
    <mergeCell ref="B42:F42"/>
    <mergeCell ref="B46:F46"/>
    <mergeCell ref="A45:F45"/>
    <mergeCell ref="A43:F43"/>
    <mergeCell ref="A44:F44"/>
    <mergeCell ref="B9:F9"/>
    <mergeCell ref="B14:F14"/>
    <mergeCell ref="B17:F17"/>
    <mergeCell ref="B20:F20"/>
    <mergeCell ref="B32:F32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2026-08-13T18:29:26Z</cp:lastPrinted>
  <dcterms:created xsi:type="dcterms:W3CDTF">2020-12-14T19:54:01Z</dcterms:created>
  <dcterms:modified xsi:type="dcterms:W3CDTF">2026-08-14T16:23:36Z</dcterms:modified>
</cp:coreProperties>
</file>