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A73E494-32AE-4CAB-8D60-4BA9A5DC8FB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9" i="3"/>
  <c r="F28" i="3"/>
  <c r="F32" i="3" l="1"/>
  <c r="D21" i="1"/>
  <c r="D22" i="1" s="1"/>
  <c r="F33" i="3" l="1"/>
  <c r="F34" i="3" l="1"/>
</calcChain>
</file>

<file path=xl/sharedStrings.xml><?xml version="1.0" encoding="utf-8"?>
<sst xmlns="http://schemas.openxmlformats.org/spreadsheetml/2006/main" count="69" uniqueCount="61">
  <si>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</si>
  <si>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</si>
  <si>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</si>
  <si>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</si>
  <si>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</si>
  <si>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</si>
  <si>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</si>
  <si>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</si>
  <si>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</si>
  <si>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</si>
  <si>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</si>
  <si>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</si>
  <si>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</si>
  <si>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</si>
  <si>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</si>
  <si>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</si>
  <si>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</si>
  <si>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</si>
  <si>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</si>
  <si>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</si>
  <si>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</si>
  <si>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</si>
  <si>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</si>
  <si>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</si>
  <si>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</si>
  <si>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</si>
  <si>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</si>
  <si>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</si>
  <si>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</si>
  <si>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</si>
  <si>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</si>
  <si>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</si>
  <si>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</si>
  <si>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</si>
  <si>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</si>
  <si>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</si>
  <si>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</si>
  <si>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</si>
  <si>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</si>
  <si>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</si>
  <si>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</si>
  <si>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</si>
  <si>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</si>
  <si>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</si>
  <si>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</si>
  <si>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</si>
  <si>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</si>
  <si>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</si>
  <si>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</si>
  <si>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</si>
  <si>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</si>
  <si>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2.- PRAIMER GLASS REF. S.M.A (REND. 85-90M2) </t>
  </si>
  <si>
    <t xml:space="preserve">                                            CHISA RECUBRIMIENTOS, S.A DE C.V</t>
  </si>
  <si>
    <t>CONSTRUCTORA: SOLUCIONES ARQUITECTONICAS GAVA</t>
  </si>
  <si>
    <t>AT´N: C. VALERIA VAZQUEZ</t>
  </si>
  <si>
    <t>OBRA: HOSPITAL DEL IMSS MONTERREY</t>
  </si>
  <si>
    <t xml:space="preserve">                         C. VALERIA VAZQUEZ</t>
  </si>
  <si>
    <t>CIUDAD DE MEXICO A 22 DE JUNIO DEL 2026</t>
  </si>
  <si>
    <t>PRES. REF. 16577/2026CG</t>
  </si>
  <si>
    <t>3.- CHISA PLAST REF. S.M.A (REND. 16M2)</t>
  </si>
  <si>
    <t xml:space="preserve">PRESENTAMOS A SU AMABLE CONSIDERACIÓN EL PRESUPUESTO DE SUMINISTRO PARA 2,801.34M2 DE LOS SIGUIENTES MATERIALES: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</si>
</sst>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44" fontId="5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center"/>
    </xf>
    <xf numFmtId="0" fontId="11" fillId="0" borderId="0" xfId="33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35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Moneda 9" xfId="34" xr:uid="{5A01FF23-436A-431A-BC01-D9AFCFBF0C35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2"/>
      <c r="B1" s="63"/>
      <c r="C1" s="63"/>
      <c r="D1" s="6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9" t="s">
        <v>37</v>
      </c>
      <c r="B4" s="69"/>
      <c r="C4" s="69"/>
      <c r="D4" s="6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70" t="s">
        <v>38</v>
      </c>
      <c r="B10" s="70"/>
      <c r="C10" s="70"/>
      <c r="D10" s="7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4" t="s">
        <v>40</v>
      </c>
      <c r="B13" s="65"/>
      <c r="C13" s="65"/>
      <c r="D13" s="6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7" t="s">
        <v>32</v>
      </c>
      <c r="B16" s="67"/>
      <c r="C16" s="67"/>
      <c r="D16" s="6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71" t="s">
        <v>41</v>
      </c>
      <c r="B25" s="71"/>
      <c r="C25" s="71"/>
      <c r="D25" s="71"/>
      <c r="E25" s="11"/>
      <c r="F25" s="11"/>
    </row>
    <row r="26" spans="1:7" ht="12" customHeight="1" x14ac:dyDescent="0.25">
      <c r="A26" s="52" t="s">
        <v>6</v>
      </c>
      <c r="B26" s="52"/>
      <c r="C26" s="52"/>
      <c r="D26" s="52"/>
      <c r="E26" s="5"/>
      <c r="F26" s="11"/>
    </row>
    <row r="27" spans="1:7" ht="57" customHeight="1" x14ac:dyDescent="0.25">
      <c r="A27" s="66" t="s">
        <v>35</v>
      </c>
      <c r="B27" s="66"/>
      <c r="C27" s="66"/>
      <c r="D27" s="66"/>
      <c r="E27" s="5"/>
      <c r="F27" s="11"/>
    </row>
    <row r="28" spans="1:7" ht="15" customHeight="1" x14ac:dyDescent="0.25">
      <c r="A28" s="52" t="s">
        <v>7</v>
      </c>
      <c r="B28" s="52"/>
      <c r="C28" s="52"/>
      <c r="D28" s="52"/>
      <c r="E28" s="5"/>
    </row>
    <row r="29" spans="1:7" ht="33.75" customHeight="1" x14ac:dyDescent="0.25">
      <c r="A29" s="66" t="s">
        <v>8</v>
      </c>
      <c r="B29" s="66"/>
      <c r="C29" s="66"/>
      <c r="D29" s="66"/>
    </row>
    <row r="30" spans="1:7" ht="51" customHeight="1" x14ac:dyDescent="0.25">
      <c r="A30" s="67" t="s">
        <v>9</v>
      </c>
      <c r="B30" s="67"/>
      <c r="C30" s="67"/>
      <c r="D30" s="67"/>
    </row>
    <row r="31" spans="1:7" ht="57" customHeight="1" x14ac:dyDescent="0.25">
      <c r="A31" s="67" t="s">
        <v>10</v>
      </c>
      <c r="B31" s="67"/>
      <c r="C31" s="67"/>
      <c r="D31" s="67"/>
    </row>
    <row r="32" spans="1:7" ht="25.5" customHeight="1" x14ac:dyDescent="0.25">
      <c r="A32" s="67" t="s">
        <v>11</v>
      </c>
      <c r="B32" s="67"/>
      <c r="C32" s="67"/>
      <c r="D32" s="67"/>
      <c r="E32" s="5"/>
    </row>
    <row r="33" spans="1:4" ht="72" customHeight="1" x14ac:dyDescent="0.25">
      <c r="A33" s="66" t="s">
        <v>12</v>
      </c>
      <c r="B33" s="66"/>
      <c r="C33" s="66"/>
      <c r="D33" s="66"/>
    </row>
    <row r="34" spans="1:4" ht="27.75" customHeight="1" x14ac:dyDescent="0.25">
      <c r="A34" s="66" t="s">
        <v>13</v>
      </c>
      <c r="B34" s="66"/>
      <c r="C34" s="66"/>
      <c r="D34" s="66"/>
    </row>
    <row r="35" spans="1:4" ht="61.5" customHeight="1" x14ac:dyDescent="0.25">
      <c r="A35" s="66" t="s">
        <v>14</v>
      </c>
      <c r="B35" s="66"/>
      <c r="C35" s="66"/>
      <c r="D35" s="66"/>
    </row>
    <row r="36" spans="1:4" ht="25.5" customHeight="1" x14ac:dyDescent="0.25">
      <c r="A36" s="66" t="s">
        <v>15</v>
      </c>
      <c r="B36" s="66"/>
      <c r="C36" s="66"/>
      <c r="D36" s="66"/>
    </row>
    <row r="37" spans="1:4" ht="68.25" customHeight="1" x14ac:dyDescent="0.25">
      <c r="A37" s="67" t="s">
        <v>16</v>
      </c>
      <c r="B37" s="67"/>
      <c r="C37" s="67"/>
      <c r="D37" s="67"/>
    </row>
    <row r="38" spans="1:4" ht="29.25" customHeight="1" x14ac:dyDescent="0.25">
      <c r="A38" s="66" t="s">
        <v>17</v>
      </c>
      <c r="B38" s="66"/>
      <c r="C38" s="66"/>
      <c r="D38" s="6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8" t="s">
        <v>31</v>
      </c>
      <c r="C40" s="68"/>
      <c r="D40" s="6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1"/>
  <sheetViews>
    <sheetView tabSelected="1" topLeftCell="A18" zoomScaleNormal="100" zoomScalePageLayoutView="50" workbookViewId="0">
      <selection activeCell="A31" sqref="A31:XFD31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8" t="s">
        <v>57</v>
      </c>
      <c r="C11" s="48"/>
      <c r="D11" s="48"/>
      <c r="E11" s="48"/>
      <c r="F11" s="49"/>
    </row>
    <row r="12" spans="2:6" x14ac:dyDescent="0.25">
      <c r="B12" s="1"/>
      <c r="F12" s="44"/>
    </row>
    <row r="13" spans="2:6" x14ac:dyDescent="0.25">
      <c r="B13" s="1"/>
      <c r="F13" s="44"/>
    </row>
    <row r="14" spans="2:6" ht="26.25" customHeight="1" x14ac:dyDescent="0.25">
      <c r="B14" s="1" t="s">
        <v>53</v>
      </c>
      <c r="F14" s="44"/>
    </row>
    <row r="15" spans="2:6" x14ac:dyDescent="0.25">
      <c r="B15" s="45" t="s">
        <v>0</v>
      </c>
      <c r="C15" s="46"/>
      <c r="D15" s="46"/>
      <c r="E15" s="46"/>
      <c r="F15" s="46"/>
    </row>
    <row r="16" spans="2:6" x14ac:dyDescent="0.25">
      <c r="B16" s="45"/>
      <c r="C16" s="46"/>
      <c r="D16" s="46"/>
      <c r="E16" s="46"/>
      <c r="F16" s="46"/>
    </row>
    <row r="17" spans="2:6" x14ac:dyDescent="0.25">
      <c r="B17" s="50" t="s">
        <v>54</v>
      </c>
      <c r="C17" s="50"/>
      <c r="D17" s="50"/>
      <c r="E17" s="50"/>
      <c r="F17" s="50"/>
    </row>
    <row r="18" spans="2:6" x14ac:dyDescent="0.25">
      <c r="B18" s="38"/>
      <c r="C18" s="47"/>
      <c r="D18" s="47"/>
      <c r="E18" s="47"/>
      <c r="F18" s="47"/>
    </row>
    <row r="19" spans="2:6" ht="12.75" customHeight="1" x14ac:dyDescent="0.25">
      <c r="B19" s="54"/>
      <c r="C19" s="54"/>
      <c r="D19" s="54"/>
      <c r="E19" s="54"/>
      <c r="F19" s="54"/>
    </row>
    <row r="20" spans="2:6" ht="12.75" customHeight="1" x14ac:dyDescent="0.25">
      <c r="B20" s="8" t="s">
        <v>58</v>
      </c>
      <c r="C20" s="8"/>
      <c r="D20" s="21"/>
      <c r="E20" s="21"/>
      <c r="F20" s="21"/>
    </row>
    <row r="21" spans="2:6" ht="12.75" customHeight="1" x14ac:dyDescent="0.25">
      <c r="B21" s="55" t="s">
        <v>55</v>
      </c>
      <c r="C21" s="56"/>
      <c r="D21" s="56"/>
      <c r="E21" s="56"/>
      <c r="F21" s="56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26.25" customHeight="1" x14ac:dyDescent="0.25">
      <c r="B23" s="51" t="s">
        <v>60</v>
      </c>
      <c r="C23" s="51"/>
      <c r="D23" s="51"/>
      <c r="E23" s="51"/>
      <c r="F23" s="51"/>
    </row>
    <row r="24" spans="2:6" ht="18" customHeight="1" x14ac:dyDescent="0.25">
      <c r="B24" s="34"/>
      <c r="C24" s="34"/>
      <c r="D24" s="34"/>
      <c r="E24" s="34"/>
      <c r="F24" s="34"/>
    </row>
    <row r="25" spans="2:6" ht="18" customHeight="1" x14ac:dyDescent="0.25">
      <c r="B25" s="34"/>
      <c r="C25" s="34"/>
      <c r="D25" s="34"/>
      <c r="E25" s="34"/>
      <c r="F25" s="34"/>
    </row>
    <row r="26" spans="2:6" x14ac:dyDescent="0.25">
      <c r="B26" s="8" t="s">
        <v>21</v>
      </c>
      <c r="C26" s="8"/>
      <c r="D26" s="18" t="s">
        <v>19</v>
      </c>
      <c r="E26" s="18" t="s">
        <v>25</v>
      </c>
      <c r="F26" s="17" t="s">
        <v>20</v>
      </c>
    </row>
    <row r="27" spans="2:6" x14ac:dyDescent="0.25">
      <c r="B27" s="7"/>
      <c r="C27" s="8"/>
      <c r="D27" s="17"/>
      <c r="E27" s="17"/>
      <c r="F27" s="17"/>
    </row>
    <row r="28" spans="2:6" x14ac:dyDescent="0.25">
      <c r="B28" s="7" t="s">
        <v>50</v>
      </c>
      <c r="C28" s="39" t="s">
        <v>45</v>
      </c>
      <c r="D28" s="39">
        <v>31</v>
      </c>
      <c r="E28" s="43">
        <v>998.1</v>
      </c>
      <c r="F28" s="43">
        <f>D28*E28</f>
        <v>30941.100000000002</v>
      </c>
    </row>
    <row r="29" spans="2:6" x14ac:dyDescent="0.25">
      <c r="B29" s="41" t="s">
        <v>51</v>
      </c>
      <c r="C29" s="40" t="s">
        <v>45</v>
      </c>
      <c r="D29" s="39">
        <v>33</v>
      </c>
      <c r="E29" s="43">
        <v>1180.99</v>
      </c>
      <c r="F29" s="43">
        <f t="shared" ref="F29:F30" si="0">D29*E29</f>
        <v>38972.67</v>
      </c>
    </row>
    <row r="30" spans="2:6" x14ac:dyDescent="0.25">
      <c r="B30" s="41" t="s">
        <v>59</v>
      </c>
      <c r="C30" s="40" t="s">
        <v>45</v>
      </c>
      <c r="D30" s="39">
        <v>175</v>
      </c>
      <c r="E30" s="42">
        <v>1546.34</v>
      </c>
      <c r="F30" s="43">
        <f t="shared" si="0"/>
        <v>270609.5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"/>
      <c r="C32" s="4"/>
      <c r="D32" s="16"/>
      <c r="E32" s="4" t="s">
        <v>3</v>
      </c>
      <c r="F32" s="11">
        <f>SUM(F28:F31)</f>
        <v>340523.27</v>
      </c>
    </row>
    <row r="33" spans="2:8" x14ac:dyDescent="0.25">
      <c r="B33" s="4"/>
      <c r="C33" s="4"/>
      <c r="D33" s="16"/>
      <c r="E33" s="4" t="s">
        <v>48</v>
      </c>
      <c r="F33" s="11">
        <f>F32*16%</f>
        <v>54483.723200000008</v>
      </c>
    </row>
    <row r="34" spans="2:8" x14ac:dyDescent="0.25">
      <c r="B34" s="4"/>
      <c r="C34" s="4"/>
      <c r="D34" s="16"/>
      <c r="E34" s="4" t="s">
        <v>44</v>
      </c>
      <c r="F34" s="11">
        <f>F32+F33</f>
        <v>395006.99320000003</v>
      </c>
    </row>
    <row r="35" spans="2:8" x14ac:dyDescent="0.25">
      <c r="B35" s="4"/>
      <c r="C35" s="4"/>
      <c r="D35" s="16"/>
      <c r="E35" s="4"/>
      <c r="F35" s="11"/>
    </row>
    <row r="36" spans="2:8" x14ac:dyDescent="0.25">
      <c r="B36" s="4"/>
      <c r="C36" s="4"/>
      <c r="D36" s="16"/>
      <c r="E36" s="4"/>
      <c r="F36" s="11"/>
    </row>
    <row r="37" spans="2:8" x14ac:dyDescent="0.25">
      <c r="B37" s="52" t="s">
        <v>23</v>
      </c>
      <c r="C37" s="53"/>
      <c r="D37" s="53"/>
      <c r="E37" s="53"/>
      <c r="F37" s="53"/>
    </row>
    <row r="38" spans="2:8" ht="27.75" customHeight="1" x14ac:dyDescent="0.25">
      <c r="B38" s="51" t="s">
        <v>26</v>
      </c>
      <c r="C38" s="51"/>
      <c r="D38" s="51"/>
      <c r="E38" s="51"/>
      <c r="F38" s="51"/>
    </row>
    <row r="39" spans="2:8" ht="17.25" customHeight="1" x14ac:dyDescent="0.25">
      <c r="B39" s="51" t="s">
        <v>27</v>
      </c>
      <c r="C39" s="51"/>
      <c r="D39" s="51"/>
      <c r="E39" s="51"/>
      <c r="F39" s="51"/>
    </row>
    <row r="40" spans="2:8" ht="15" customHeight="1" x14ac:dyDescent="0.25">
      <c r="B40" s="51" t="s">
        <v>28</v>
      </c>
      <c r="C40" s="51"/>
      <c r="D40" s="51"/>
      <c r="E40" s="51"/>
      <c r="F40" s="51"/>
    </row>
    <row r="41" spans="2:8" ht="18" customHeight="1" x14ac:dyDescent="0.25">
      <c r="B41" s="51" t="s">
        <v>29</v>
      </c>
      <c r="C41" s="51"/>
      <c r="D41" s="51"/>
      <c r="E41" s="51"/>
      <c r="F41" s="51"/>
    </row>
    <row r="42" spans="2:8" ht="96.75" customHeight="1" x14ac:dyDescent="0.25">
      <c r="B42" s="51" t="s">
        <v>30</v>
      </c>
      <c r="C42" s="51"/>
      <c r="D42" s="51"/>
      <c r="E42" s="51"/>
      <c r="F42" s="51"/>
    </row>
    <row r="43" spans="2:8" ht="14.25" customHeight="1" x14ac:dyDescent="0.25">
      <c r="B43" s="34"/>
      <c r="C43" s="34"/>
      <c r="D43" s="34"/>
      <c r="E43" s="34"/>
      <c r="F43" s="34"/>
    </row>
    <row r="44" spans="2:8" ht="14.25" customHeight="1" x14ac:dyDescent="0.25">
      <c r="B44" s="34"/>
      <c r="C44" s="34"/>
      <c r="D44" s="34"/>
      <c r="E44" s="34"/>
      <c r="F44" s="34"/>
    </row>
    <row r="45" spans="2:8" x14ac:dyDescent="0.25">
      <c r="B45" s="20"/>
      <c r="C45" s="20"/>
      <c r="D45" s="20"/>
      <c r="E45" s="20"/>
      <c r="F45" s="20"/>
      <c r="H45" s="14"/>
    </row>
    <row r="46" spans="2:8" x14ac:dyDescent="0.25">
      <c r="B46" s="18" t="s">
        <v>47</v>
      </c>
      <c r="C46" s="37"/>
      <c r="D46" s="59" t="s">
        <v>46</v>
      </c>
      <c r="E46" s="59"/>
      <c r="F46" s="59"/>
    </row>
    <row r="47" spans="2:8" x14ac:dyDescent="0.25">
      <c r="B47" s="9"/>
      <c r="C47" s="9"/>
      <c r="D47" s="21"/>
      <c r="E47" s="21"/>
      <c r="F47" s="21"/>
    </row>
    <row r="48" spans="2:8" x14ac:dyDescent="0.25">
      <c r="B48" s="9"/>
      <c r="C48" s="9"/>
      <c r="D48" s="21"/>
      <c r="E48" s="21"/>
      <c r="F48" s="21"/>
    </row>
    <row r="49" spans="2:15" x14ac:dyDescent="0.25">
      <c r="B49" s="12" t="s">
        <v>49</v>
      </c>
      <c r="C49" s="12"/>
      <c r="D49" s="12"/>
      <c r="E49" s="12"/>
      <c r="F49" s="12"/>
    </row>
    <row r="50" spans="2:15" ht="15" customHeight="1" x14ac:dyDescent="0.25">
      <c r="B50" s="36" t="s">
        <v>56</v>
      </c>
      <c r="C50" s="60" t="s">
        <v>52</v>
      </c>
      <c r="D50" s="61"/>
      <c r="E50" s="61"/>
      <c r="F50" s="61"/>
      <c r="G50" s="61"/>
    </row>
    <row r="51" spans="2:15" x14ac:dyDescent="0.25">
      <c r="B51" s="23"/>
      <c r="C51" s="35"/>
      <c r="D51" s="35"/>
      <c r="E51" s="35"/>
      <c r="F51" s="35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13"/>
      <c r="C53" s="13"/>
      <c r="D53" s="21"/>
      <c r="E53" s="21"/>
      <c r="F53" s="21"/>
    </row>
    <row r="54" spans="2:15" x14ac:dyDescent="0.25">
      <c r="B54" s="57" t="s">
        <v>24</v>
      </c>
      <c r="C54" s="57"/>
      <c r="D54" s="58"/>
      <c r="E54" s="58"/>
      <c r="F54" s="58"/>
      <c r="G54" s="19"/>
      <c r="H54" s="19"/>
      <c r="I54" s="19"/>
      <c r="J54" s="19"/>
      <c r="K54" s="19"/>
      <c r="L54" s="19"/>
      <c r="M54" s="19"/>
      <c r="N54" s="19"/>
      <c r="O54" s="19"/>
    </row>
    <row r="55" spans="2:15" x14ac:dyDescent="0.25">
      <c r="B55" s="58"/>
      <c r="C55" s="58"/>
      <c r="D55" s="58"/>
      <c r="E55" s="58"/>
      <c r="F55" s="58"/>
      <c r="G55" s="19"/>
      <c r="H55" s="19"/>
      <c r="I55" s="19"/>
      <c r="J55" s="19"/>
      <c r="K55" s="19"/>
      <c r="L55" s="19"/>
      <c r="M55" s="19"/>
      <c r="N55" s="19"/>
      <c r="O55" s="19"/>
    </row>
    <row r="56" spans="2:15" ht="4.5" customHeight="1" x14ac:dyDescent="0.25">
      <c r="B56" s="58"/>
      <c r="C56" s="58"/>
      <c r="D56" s="58"/>
      <c r="E56" s="58"/>
      <c r="F56" s="58"/>
      <c r="G56" s="19"/>
      <c r="H56" s="19"/>
      <c r="I56" s="19"/>
      <c r="J56" s="19"/>
      <c r="K56" s="19"/>
      <c r="L56" s="19"/>
      <c r="M56" s="19"/>
      <c r="N56" s="19"/>
      <c r="O56" s="19"/>
    </row>
    <row r="57" spans="2:15" hidden="1" x14ac:dyDescent="0.25">
      <c r="B57" s="58"/>
      <c r="C57" s="58"/>
      <c r="D57" s="58"/>
      <c r="E57" s="58"/>
      <c r="F57" s="58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</sheetData>
  <mergeCells count="14">
    <mergeCell ref="B54:F57"/>
    <mergeCell ref="D46:F46"/>
    <mergeCell ref="B38:F38"/>
    <mergeCell ref="B39:F39"/>
    <mergeCell ref="B40:F40"/>
    <mergeCell ref="B41:F41"/>
    <mergeCell ref="C50:G50"/>
    <mergeCell ref="B11:F11"/>
    <mergeCell ref="B17:F17"/>
    <mergeCell ref="B23:F23"/>
    <mergeCell ref="B42:F42"/>
    <mergeCell ref="B37:F37"/>
    <mergeCell ref="B19:F19"/>
    <mergeCell ref="B21:F21"/>
  </mergeCells>
  <pageMargins left="0.7" right="0.7" top="0.75" bottom="0.75" header="0.3" footer="0.3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2026-06-25T22:19:35Z</cp:lastPrinted>
  <dcterms:created xsi:type="dcterms:W3CDTF">2020-12-14T19:54:01Z</dcterms:created>
  <dcterms:modified xsi:type="dcterms:W3CDTF">2026-06-25T23:27:49Z</dcterms:modified>
</cp:coreProperties>
</file>