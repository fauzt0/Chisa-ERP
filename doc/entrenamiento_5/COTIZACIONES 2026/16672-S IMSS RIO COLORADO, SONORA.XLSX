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A9E5B42-7BEC-4D98-9C96-A5EFBA32235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3" l="1"/>
  <c r="F33" i="3"/>
  <c r="F32" i="3"/>
  <c r="F31" i="3"/>
  <c r="F30" i="3"/>
  <c r="F29" i="3"/>
  <c r="F28" i="3"/>
  <c r="F35" i="3" s="1"/>
  <c r="F23" i="3"/>
  <c r="F22" i="3"/>
  <c r="F25" i="3" l="1"/>
  <c r="F37" i="3" s="1"/>
  <c r="E14" i="1"/>
  <c r="E16" i="1"/>
  <c r="F38" i="3" l="1"/>
  <c r="F39" i="3" s="1"/>
  <c r="E17" i="1"/>
  <c r="E18" i="1" s="1"/>
</calcChain>
</file>

<file path=xl/sharedStrings.xml><?xml version="1.0" encoding="utf-8"?>
<sst xmlns="http://schemas.openxmlformats.org/spreadsheetml/2006/main" count="88" uniqueCount="74">
  <si>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</si>
  <si>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</si>
  <si>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</si>
  <si>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</si>
  <si>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</si>
  <si>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</si>
  <si>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</si>
  <si>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</si>
  <si>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</si>
  <si>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</si>
  <si>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</si>
  <si>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</si>
  <si>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</si>
  <si>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</si>
  <si>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</si>
  <si>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</si>
  <si>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</si>
  <si>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</si>
  <si>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</si>
  <si>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</si>
  <si>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</si>
  <si>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</si>
  <si>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</si>
  <si>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</si>
  <si>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</si>
  <si>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</si>
  <si>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</si>
  <si>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</si>
  <si>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</si>
  <si>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</si>
  <si>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</si>
  <si>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</si>
  <si>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</si>
  <si>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</si>
  <si>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</si>
  <si>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</si>
  <si>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</si>
  <si>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</si>
  <si>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</si>
  <si>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</si>
  <si>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</si>
  <si>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</si>
  <si>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</si>
  <si>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</si>
  <si>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</si>
  <si>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</si>
  <si>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</si>
  <si>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</si>
  <si>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</si>
  <si>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</si>
  <si>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</si>
  <si>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CIUDAD DE MEXICO A 25 DE AGOSTO DEL 2026</t>
  </si>
  <si>
    <t>TAMBOS</t>
  </si>
  <si>
    <t>SUMATORIA  1</t>
  </si>
  <si>
    <t>COMPLEMENTOS Y MATERIALES</t>
  </si>
  <si>
    <t>1.- RODILLO DE FELPA (REND 250M2)</t>
  </si>
  <si>
    <t>PZAS</t>
  </si>
  <si>
    <t>2.- BROCHA PARA APLICACIÓN (REND. 350M2)</t>
  </si>
  <si>
    <t>3.- LIJA MEDIANA No. 80 (REND. 20M2)</t>
  </si>
  <si>
    <t>4.- PAPEL PARA PROTECCIÓN (REND. 250M2)</t>
  </si>
  <si>
    <t>5.- MASKING TAPE PARA PROTECCIÓN (REND. 12.5M2)</t>
  </si>
  <si>
    <t xml:space="preserve">6.- KIT DE APLICACIÓN DE CHISA, QUE CONSISTE EN: </t>
  </si>
  <si>
    <t>COMPRESOR CON CAPACIDAD DE 30LBRS CONTINUAS, MANGUERA DE 10 MTRS, CONEXIONES RAPIDAS Y PISTOLA PARA APLICAR EL RECUBRIMIENTO.</t>
  </si>
  <si>
    <t>SUMATORIA  2</t>
  </si>
  <si>
    <t>IVA:</t>
  </si>
  <si>
    <t xml:space="preserve">TOTAL: </t>
  </si>
  <si>
    <t xml:space="preserve">PRESENTAMOS A SU AMABLE CONSIDERACIÓN EL PRESUPUESTO PARA 20,689.70m2 DE SUMINISTRO DE LOS SIGUIENTES MATERIALES: </t>
  </si>
  <si>
    <t xml:space="preserve">1.- PRAIMER GLASS REF. S.M.A (REND. 850M2) </t>
  </si>
  <si>
    <t>CONSTRUCTORA: DEYA CONSTRUCCIONES</t>
  </si>
  <si>
    <t>AT´N:FERNANDO GARCIA SANCHEZ</t>
  </si>
  <si>
    <t>OBRA: IMSS RIO COLORADO</t>
  </si>
  <si>
    <t>PRES. REF. 16672-S/2026CG</t>
  </si>
  <si>
    <t>2.- CHISA PLAST REF. S.M.A (REND. 160M2)</t>
  </si>
  <si>
    <t>1.- SELLADOR INICIAL (REND. 900M2)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</si>
</sst>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1" fillId="0" borderId="0" xfId="0" applyFont="1" applyAlignment="1">
      <alignment horizontal="center"/>
    </xf>
    <xf numFmtId="164" fontId="1" fillId="0" borderId="0" xfId="0" applyNumberFormat="1"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justify" vertical="top" wrapText="1"/>
    </xf>
    <xf numFmtId="0" fontId="5" fillId="0" borderId="0" xfId="0" applyFont="1" applyAlignment="1">
      <alignment horizontal="justify" vertical="center" wrapText="1"/>
    </xf>
    <xf numFmtId="0" fontId="1" fillId="0" borderId="0" xfId="0" applyFont="1" applyAlignment="1">
      <alignment horizontal="center" wrapText="1"/>
    </xf>
    <xf numFmtId="0" fontId="5" fillId="0" borderId="0" xfId="0" applyFont="1" applyAlignment="1">
      <alignment horizontal="center" vertical="center" wrapText="1"/>
    </xf>
    <xf numFmtId="164" fontId="1" fillId="0" borderId="0" xfId="1" applyNumberFormat="1" applyFont="1" applyAlignment="1">
      <alignment horizontal="right" vertical="center"/>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2" fillId="0" borderId="0" xfId="0" applyFont="1" applyAlignment="1">
      <alignment horizontal="justify"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9" t="s">
        <v>38</v>
      </c>
      <c r="B2" s="69"/>
      <c r="C2" s="69"/>
      <c r="D2" s="69"/>
      <c r="E2" s="6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8" t="s">
        <v>41</v>
      </c>
      <c r="B6" s="68"/>
      <c r="C6" s="68"/>
      <c r="D6" s="68"/>
      <c r="E6" s="68"/>
      <c r="F6" s="1"/>
      <c r="G6" s="1"/>
      <c r="H6" s="1"/>
    </row>
    <row r="7" spans="1:8" x14ac:dyDescent="0.25">
      <c r="A7" s="31"/>
      <c r="B7" s="31"/>
      <c r="C7" s="22"/>
      <c r="D7" s="22"/>
      <c r="E7" s="22"/>
    </row>
    <row r="8" spans="1:8" x14ac:dyDescent="0.25">
      <c r="A8" s="31"/>
      <c r="B8" s="31"/>
      <c r="C8" s="22"/>
      <c r="D8" s="22"/>
      <c r="E8" s="22"/>
    </row>
    <row r="9" spans="1:8" x14ac:dyDescent="0.25">
      <c r="A9" s="65" t="s">
        <v>32</v>
      </c>
      <c r="B9" s="65"/>
      <c r="C9" s="65"/>
      <c r="D9" s="65"/>
      <c r="E9" s="65"/>
    </row>
    <row r="10" spans="1:8" x14ac:dyDescent="0.25">
      <c r="A10" s="32" t="s">
        <v>45</v>
      </c>
      <c r="B10" s="32"/>
      <c r="C10" s="23"/>
      <c r="D10" s="23"/>
      <c r="E10" s="23"/>
    </row>
    <row r="11" spans="1:8" x14ac:dyDescent="0.25">
      <c r="A11" s="33" t="s">
        <v>2</v>
      </c>
      <c r="B11" s="33"/>
      <c r="C11" s="23"/>
      <c r="D11" s="23"/>
      <c r="E11" s="23"/>
    </row>
    <row r="12" spans="1:8" ht="30" customHeight="1" x14ac:dyDescent="0.25">
      <c r="A12" s="67" t="s">
        <v>34</v>
      </c>
      <c r="B12" s="67"/>
      <c r="C12" s="67"/>
      <c r="D12" s="67"/>
      <c r="E12" s="6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5" t="s">
        <v>32</v>
      </c>
      <c r="B21" s="65"/>
      <c r="C21" s="65"/>
      <c r="D21" s="65"/>
      <c r="E21" s="65"/>
      <c r="F21" s="5"/>
    </row>
    <row r="22" spans="1:7" x14ac:dyDescent="0.25">
      <c r="A22" s="70" t="s">
        <v>42</v>
      </c>
      <c r="B22" s="70"/>
      <c r="C22" s="70"/>
      <c r="D22" s="70"/>
      <c r="E22" s="70"/>
    </row>
    <row r="23" spans="1:7" ht="27" customHeight="1" x14ac:dyDescent="0.25">
      <c r="A23" s="66" t="s">
        <v>39</v>
      </c>
      <c r="B23" s="66"/>
      <c r="C23" s="66"/>
      <c r="D23" s="66"/>
      <c r="E23" s="66"/>
    </row>
    <row r="24" spans="1:7" x14ac:dyDescent="0.25">
      <c r="A24" s="62" t="s">
        <v>6</v>
      </c>
      <c r="B24" s="62"/>
      <c r="C24" s="62"/>
      <c r="D24" s="62"/>
      <c r="E24" s="62"/>
    </row>
    <row r="25" spans="1:7" ht="57.75" customHeight="1" x14ac:dyDescent="0.25">
      <c r="A25" s="61" t="s">
        <v>37</v>
      </c>
      <c r="B25" s="61"/>
      <c r="C25" s="61"/>
      <c r="D25" s="61"/>
      <c r="E25" s="61"/>
      <c r="F25" s="5"/>
    </row>
    <row r="26" spans="1:7" x14ac:dyDescent="0.25">
      <c r="A26" s="62" t="s">
        <v>7</v>
      </c>
      <c r="B26" s="62"/>
      <c r="C26" s="62"/>
      <c r="D26" s="62"/>
      <c r="E26" s="62"/>
    </row>
    <row r="27" spans="1:7" ht="33.75" customHeight="1" x14ac:dyDescent="0.25">
      <c r="A27" s="61" t="s">
        <v>8</v>
      </c>
      <c r="B27" s="61"/>
      <c r="C27" s="61"/>
      <c r="D27" s="61"/>
      <c r="E27" s="61"/>
    </row>
    <row r="28" spans="1:7" ht="43.5" customHeight="1" x14ac:dyDescent="0.25">
      <c r="A28" s="63" t="s">
        <v>9</v>
      </c>
      <c r="B28" s="63"/>
      <c r="C28" s="63"/>
      <c r="D28" s="63"/>
      <c r="E28" s="63"/>
    </row>
    <row r="29" spans="1:7" ht="49.5" customHeight="1" x14ac:dyDescent="0.25">
      <c r="A29" s="63" t="s">
        <v>10</v>
      </c>
      <c r="B29" s="63"/>
      <c r="C29" s="63"/>
      <c r="D29" s="63"/>
      <c r="E29" s="63"/>
    </row>
    <row r="30" spans="1:7" ht="21" customHeight="1" x14ac:dyDescent="0.25">
      <c r="A30" s="63" t="s">
        <v>11</v>
      </c>
      <c r="B30" s="63"/>
      <c r="C30" s="63"/>
      <c r="D30" s="63"/>
      <c r="E30" s="63"/>
    </row>
    <row r="31" spans="1:7" ht="77.25" customHeight="1" x14ac:dyDescent="0.25">
      <c r="A31" s="61" t="s">
        <v>12</v>
      </c>
      <c r="B31" s="61"/>
      <c r="C31" s="61"/>
      <c r="D31" s="61"/>
      <c r="E31" s="61"/>
    </row>
    <row r="32" spans="1:7" ht="19.5" customHeight="1" x14ac:dyDescent="0.25">
      <c r="A32" s="61" t="s">
        <v>13</v>
      </c>
      <c r="B32" s="61"/>
      <c r="C32" s="61"/>
      <c r="D32" s="61"/>
      <c r="E32" s="61"/>
    </row>
    <row r="33" spans="1:5" ht="49.5" customHeight="1" x14ac:dyDescent="0.25">
      <c r="A33" s="61" t="s">
        <v>14</v>
      </c>
      <c r="B33" s="61"/>
      <c r="C33" s="61"/>
      <c r="D33" s="61"/>
      <c r="E33" s="61"/>
    </row>
    <row r="34" spans="1:5" ht="24" customHeight="1" x14ac:dyDescent="0.25">
      <c r="A34" s="64" t="s">
        <v>15</v>
      </c>
      <c r="B34" s="64"/>
      <c r="C34" s="64"/>
      <c r="D34" s="64"/>
      <c r="E34" s="64"/>
    </row>
    <row r="35" spans="1:5" ht="67.5" customHeight="1" x14ac:dyDescent="0.25">
      <c r="A35" s="63" t="s">
        <v>16</v>
      </c>
      <c r="B35" s="63"/>
      <c r="C35" s="63"/>
      <c r="D35" s="63"/>
      <c r="E35" s="63"/>
    </row>
    <row r="36" spans="1:5" ht="15" customHeight="1" x14ac:dyDescent="0.25">
      <c r="A36" s="61" t="s">
        <v>17</v>
      </c>
      <c r="B36" s="61"/>
      <c r="C36" s="61"/>
      <c r="D36" s="61"/>
      <c r="E36" s="61"/>
    </row>
    <row r="37" spans="1:5" x14ac:dyDescent="0.25">
      <c r="A37" s="33" t="s">
        <v>18</v>
      </c>
      <c r="B37" s="33"/>
      <c r="C37" s="23"/>
      <c r="D37" s="23"/>
      <c r="E37" s="23"/>
    </row>
    <row r="38" spans="1:5" x14ac:dyDescent="0.25">
      <c r="A38" s="40" t="s">
        <v>23</v>
      </c>
      <c r="B38" s="40"/>
      <c r="C38" s="60" t="s">
        <v>30</v>
      </c>
      <c r="D38" s="60"/>
      <c r="E38" s="6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9"/>
  <sheetViews>
    <sheetView tabSelected="1" zoomScaleNormal="100" zoomScalePageLayoutView="50" workbookViewId="0">
      <selection activeCell="F22" sqref="F22"/>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57" t="s">
        <v>51</v>
      </c>
      <c r="C7" s="57"/>
      <c r="D7" s="57"/>
      <c r="E7" s="57"/>
      <c r="F7" s="57"/>
    </row>
    <row r="8" spans="2:6" x14ac:dyDescent="0.25">
      <c r="B8" s="46"/>
      <c r="C8" s="46"/>
      <c r="D8" s="46"/>
      <c r="E8" s="46"/>
      <c r="F8" s="46"/>
    </row>
    <row r="9" spans="2:6" x14ac:dyDescent="0.25">
      <c r="B9" s="1" t="s">
        <v>68</v>
      </c>
      <c r="C9" s="1"/>
      <c r="D9" s="19"/>
      <c r="E9" s="19"/>
      <c r="F9" s="19"/>
    </row>
    <row r="10" spans="2:6" x14ac:dyDescent="0.25">
      <c r="B10" s="1" t="s">
        <v>0</v>
      </c>
      <c r="C10" s="1"/>
      <c r="D10" s="19"/>
      <c r="E10" s="19"/>
      <c r="F10" s="19"/>
    </row>
    <row r="11" spans="2:6" x14ac:dyDescent="0.25">
      <c r="B11" s="1"/>
      <c r="C11" s="1"/>
      <c r="D11" s="19"/>
      <c r="E11" s="19"/>
      <c r="F11" s="19"/>
    </row>
    <row r="12" spans="2:6" x14ac:dyDescent="0.25">
      <c r="B12" s="58" t="s">
        <v>69</v>
      </c>
      <c r="C12" s="58"/>
      <c r="D12" s="58"/>
      <c r="E12" s="58"/>
      <c r="F12" s="58"/>
    </row>
    <row r="13" spans="2:6" x14ac:dyDescent="0.25">
      <c r="B13" s="17"/>
      <c r="C13" s="17"/>
      <c r="D13" s="17"/>
      <c r="E13" s="17"/>
      <c r="F13" s="17"/>
    </row>
    <row r="14" spans="2:6" x14ac:dyDescent="0.25">
      <c r="B14" s="18" t="s">
        <v>70</v>
      </c>
      <c r="C14" s="18"/>
      <c r="D14" s="18"/>
      <c r="E14" s="18"/>
      <c r="F14" s="18"/>
    </row>
    <row r="15" spans="2:6" ht="12.75" customHeight="1" x14ac:dyDescent="0.25">
      <c r="B15" s="8" t="s">
        <v>71</v>
      </c>
      <c r="C15" s="8"/>
      <c r="D15" s="20"/>
      <c r="E15" s="20"/>
      <c r="F15" s="20"/>
    </row>
    <row r="16" spans="2:6" ht="17.25" customHeight="1" x14ac:dyDescent="0.25">
      <c r="B16" s="9" t="s">
        <v>2</v>
      </c>
      <c r="C16" s="9"/>
      <c r="D16" s="20"/>
      <c r="E16" s="20"/>
      <c r="F16" s="20"/>
    </row>
    <row r="17" spans="2:10" ht="22.5" customHeight="1" x14ac:dyDescent="0.25">
      <c r="B17" s="51" t="s">
        <v>66</v>
      </c>
      <c r="C17" s="51"/>
      <c r="D17" s="51"/>
      <c r="E17" s="51"/>
      <c r="F17" s="51"/>
    </row>
    <row r="18" spans="2:10" ht="13.5" customHeight="1" x14ac:dyDescent="0.25">
      <c r="B18" s="28"/>
      <c r="C18" s="28"/>
      <c r="D18" s="28"/>
      <c r="E18" s="28"/>
      <c r="F18" s="28"/>
    </row>
    <row r="19" spans="2:10" x14ac:dyDescent="0.25">
      <c r="B19" s="71" t="s">
        <v>21</v>
      </c>
      <c r="C19" s="49"/>
      <c r="D19" s="49" t="s">
        <v>19</v>
      </c>
      <c r="E19" s="49" t="s">
        <v>25</v>
      </c>
      <c r="F19" s="49" t="s">
        <v>20</v>
      </c>
    </row>
    <row r="20" spans="2:10" x14ac:dyDescent="0.25">
      <c r="B20" s="72"/>
      <c r="C20" s="8"/>
      <c r="D20" s="17"/>
      <c r="E20" s="17"/>
      <c r="F20" s="17"/>
    </row>
    <row r="21" spans="2:10" x14ac:dyDescent="0.25">
      <c r="B21" s="73" t="s">
        <v>73</v>
      </c>
      <c r="C21" s="74" t="s">
        <v>52</v>
      </c>
      <c r="D21" s="47">
        <v>23</v>
      </c>
      <c r="E21" s="44">
        <v>9073.7000000000007</v>
      </c>
      <c r="F21" s="44">
        <f t="shared" ref="F21" si="0">D21*E21</f>
        <v>208695.1</v>
      </c>
    </row>
    <row r="22" spans="2:10" x14ac:dyDescent="0.25">
      <c r="B22" s="73" t="s">
        <v>67</v>
      </c>
      <c r="C22" s="74" t="s">
        <v>52</v>
      </c>
      <c r="D22" s="47">
        <v>24</v>
      </c>
      <c r="E22" s="44">
        <v>10487.43</v>
      </c>
      <c r="F22" s="44">
        <f>D22*E22</f>
        <v>251698.32</v>
      </c>
    </row>
    <row r="23" spans="2:10" x14ac:dyDescent="0.25">
      <c r="B23" s="73" t="s">
        <v>72</v>
      </c>
      <c r="C23" s="74" t="s">
        <v>52</v>
      </c>
      <c r="D23" s="47">
        <v>129</v>
      </c>
      <c r="E23" s="44">
        <v>10163.4</v>
      </c>
      <c r="F23" s="44">
        <f t="shared" ref="F23" si="1">D23*E23</f>
        <v>1311078.5999999999</v>
      </c>
    </row>
    <row r="24" spans="2:10" x14ac:dyDescent="0.25">
      <c r="B24" s="73"/>
      <c r="C24" s="74"/>
      <c r="D24" s="47"/>
      <c r="E24" s="44"/>
      <c r="F24" s="44"/>
      <c r="J24" s="44"/>
    </row>
    <row r="25" spans="2:10" x14ac:dyDescent="0.25">
      <c r="B25" s="73"/>
      <c r="C25" s="74"/>
      <c r="D25" s="47"/>
      <c r="E25" s="44" t="s">
        <v>53</v>
      </c>
      <c r="F25" s="48">
        <f>SUM(F22:F24)</f>
        <v>1562776.92</v>
      </c>
      <c r="H25" s="12"/>
    </row>
    <row r="26" spans="2:10" x14ac:dyDescent="0.25">
      <c r="B26" s="75" t="s">
        <v>54</v>
      </c>
      <c r="C26" s="74"/>
      <c r="D26" s="47"/>
      <c r="E26" s="44"/>
      <c r="F26" s="44"/>
    </row>
    <row r="27" spans="2:10" x14ac:dyDescent="0.25">
      <c r="B27" s="73"/>
      <c r="C27" s="74"/>
      <c r="D27" s="47"/>
      <c r="E27" s="44"/>
      <c r="F27" s="44"/>
    </row>
    <row r="28" spans="2:10" x14ac:dyDescent="0.25">
      <c r="B28" s="73" t="s">
        <v>55</v>
      </c>
      <c r="C28" s="5" t="s">
        <v>56</v>
      </c>
      <c r="D28" s="47">
        <v>83</v>
      </c>
      <c r="E28" s="76">
        <v>76.400000000000006</v>
      </c>
      <c r="F28" s="48">
        <f t="shared" ref="F28:F32" si="2">E28*D28</f>
        <v>6341.2000000000007</v>
      </c>
    </row>
    <row r="29" spans="2:10" x14ac:dyDescent="0.25">
      <c r="B29" s="73" t="s">
        <v>57</v>
      </c>
      <c r="C29" s="5" t="s">
        <v>56</v>
      </c>
      <c r="D29" s="77">
        <v>59</v>
      </c>
      <c r="E29" s="76">
        <v>64.2</v>
      </c>
      <c r="F29" s="48">
        <f t="shared" si="2"/>
        <v>3787.8</v>
      </c>
    </row>
    <row r="30" spans="2:10" x14ac:dyDescent="0.25">
      <c r="B30" s="73" t="s">
        <v>58</v>
      </c>
      <c r="C30" s="5" t="s">
        <v>56</v>
      </c>
      <c r="D30" s="77">
        <v>1034</v>
      </c>
      <c r="E30" s="76">
        <v>19.3</v>
      </c>
      <c r="F30" s="48">
        <f t="shared" si="2"/>
        <v>19956.2</v>
      </c>
    </row>
    <row r="31" spans="2:10" x14ac:dyDescent="0.25">
      <c r="B31" s="73" t="s">
        <v>59</v>
      </c>
      <c r="C31" s="5" t="s">
        <v>56</v>
      </c>
      <c r="D31" s="77">
        <v>83</v>
      </c>
      <c r="E31" s="76">
        <v>740.33</v>
      </c>
      <c r="F31" s="48">
        <f t="shared" si="2"/>
        <v>61447.390000000007</v>
      </c>
    </row>
    <row r="32" spans="2:10" x14ac:dyDescent="0.25">
      <c r="B32" s="73" t="s">
        <v>60</v>
      </c>
      <c r="C32" s="5" t="s">
        <v>56</v>
      </c>
      <c r="D32" s="77">
        <v>1655</v>
      </c>
      <c r="E32" s="76">
        <v>18.2</v>
      </c>
      <c r="F32" s="48">
        <f t="shared" si="2"/>
        <v>30121</v>
      </c>
    </row>
    <row r="33" spans="2:6" x14ac:dyDescent="0.25">
      <c r="B33" s="45" t="s">
        <v>61</v>
      </c>
      <c r="C33" s="5" t="s">
        <v>56</v>
      </c>
      <c r="D33" s="5">
        <v>2</v>
      </c>
      <c r="E33" s="78">
        <v>12569.9</v>
      </c>
      <c r="F33" s="79">
        <f>E33*D33</f>
        <v>25139.8</v>
      </c>
    </row>
    <row r="34" spans="2:6" ht="34.5" customHeight="1" x14ac:dyDescent="0.25">
      <c r="B34" s="4" t="s">
        <v>62</v>
      </c>
      <c r="C34" s="77"/>
      <c r="D34" s="5"/>
      <c r="E34" s="11"/>
      <c r="F34" s="11"/>
    </row>
    <row r="35" spans="2:6" x14ac:dyDescent="0.25">
      <c r="B35" s="73"/>
      <c r="C35" s="74"/>
      <c r="D35" s="47"/>
      <c r="E35" s="44" t="s">
        <v>63</v>
      </c>
      <c r="F35" s="48">
        <f>SUM(F28:F34)</f>
        <v>146793.39000000001</v>
      </c>
    </row>
    <row r="36" spans="2:6" x14ac:dyDescent="0.25">
      <c r="B36" s="73"/>
      <c r="C36" s="74"/>
      <c r="D36" s="47"/>
      <c r="E36" s="44"/>
      <c r="F36" s="44"/>
    </row>
    <row r="37" spans="2:6" x14ac:dyDescent="0.25">
      <c r="B37" s="4"/>
      <c r="C37" s="4"/>
      <c r="D37" s="16"/>
      <c r="E37" s="4" t="s">
        <v>3</v>
      </c>
      <c r="F37" s="78">
        <f>F35+F25</f>
        <v>1709570.31</v>
      </c>
    </row>
    <row r="38" spans="2:6" x14ac:dyDescent="0.25">
      <c r="B38" s="4"/>
      <c r="C38" s="4"/>
      <c r="D38" s="16"/>
      <c r="E38" s="4" t="s">
        <v>64</v>
      </c>
      <c r="F38" s="12">
        <f>F37*16%</f>
        <v>273531.24960000004</v>
      </c>
    </row>
    <row r="39" spans="2:6" x14ac:dyDescent="0.25">
      <c r="B39" s="4"/>
      <c r="C39" s="4"/>
      <c r="D39" s="16"/>
      <c r="E39" s="80" t="s">
        <v>65</v>
      </c>
      <c r="F39" s="78">
        <f>F37+F38</f>
        <v>1983101.5596</v>
      </c>
    </row>
    <row r="40" spans="2:6" x14ac:dyDescent="0.25">
      <c r="B40" s="49"/>
      <c r="C40" s="50"/>
      <c r="D40" s="50"/>
      <c r="E40" s="50"/>
      <c r="F40" s="50"/>
    </row>
    <row r="41" spans="2:6" x14ac:dyDescent="0.25">
      <c r="B41" s="59" t="s">
        <v>24</v>
      </c>
      <c r="C41" s="55"/>
      <c r="D41" s="55"/>
      <c r="E41" s="55"/>
      <c r="F41" s="55"/>
    </row>
    <row r="42" spans="2:6" x14ac:dyDescent="0.25">
      <c r="B42" s="59"/>
      <c r="C42" s="55"/>
      <c r="D42" s="55"/>
      <c r="E42" s="55"/>
      <c r="F42" s="55"/>
    </row>
    <row r="43" spans="2:6" ht="27" customHeight="1" x14ac:dyDescent="0.25">
      <c r="B43" s="51" t="s">
        <v>26</v>
      </c>
      <c r="C43" s="51"/>
      <c r="D43" s="51"/>
      <c r="E43" s="51"/>
      <c r="F43" s="51"/>
    </row>
    <row r="44" spans="2:6" ht="19.5" customHeight="1" x14ac:dyDescent="0.25">
      <c r="B44" s="51" t="s">
        <v>27</v>
      </c>
      <c r="C44" s="51"/>
      <c r="D44" s="51"/>
      <c r="E44" s="51"/>
      <c r="F44" s="51"/>
    </row>
    <row r="45" spans="2:6" ht="17.25" customHeight="1" x14ac:dyDescent="0.25">
      <c r="B45" s="51" t="s">
        <v>46</v>
      </c>
      <c r="C45" s="51"/>
      <c r="D45" s="51"/>
      <c r="E45" s="51"/>
      <c r="F45" s="51"/>
    </row>
    <row r="46" spans="2:6" ht="15" customHeight="1" x14ac:dyDescent="0.25">
      <c r="B46" s="51" t="s">
        <v>28</v>
      </c>
      <c r="C46" s="51"/>
      <c r="D46" s="51"/>
      <c r="E46" s="51"/>
      <c r="F46" s="51"/>
    </row>
    <row r="47" spans="2:6" ht="76.5" customHeight="1" x14ac:dyDescent="0.25">
      <c r="B47" s="51" t="s">
        <v>47</v>
      </c>
      <c r="C47" s="51"/>
      <c r="D47" s="51"/>
      <c r="E47" s="51"/>
      <c r="F47" s="51"/>
    </row>
    <row r="48" spans="2:6" ht="20.25" customHeight="1" x14ac:dyDescent="0.25">
      <c r="B48" s="28"/>
      <c r="C48" s="28"/>
      <c r="D48" s="28"/>
      <c r="E48" s="28"/>
      <c r="F48" s="28"/>
    </row>
    <row r="49" spans="2:8" ht="20.25" customHeight="1" x14ac:dyDescent="0.25">
      <c r="B49" s="19"/>
      <c r="C49" s="19"/>
      <c r="D49" s="19"/>
      <c r="E49" s="19"/>
      <c r="F49" s="19"/>
    </row>
    <row r="50" spans="2:8" ht="20.25" customHeight="1" x14ac:dyDescent="0.25">
      <c r="B50" s="54" t="s">
        <v>48</v>
      </c>
      <c r="C50" s="55"/>
      <c r="D50" s="55"/>
      <c r="E50" s="55"/>
      <c r="F50" s="55"/>
    </row>
    <row r="51" spans="2:8" x14ac:dyDescent="0.25">
      <c r="B51" s="9"/>
      <c r="C51" s="9"/>
      <c r="D51" s="20"/>
      <c r="E51" s="20"/>
      <c r="F51" s="20"/>
      <c r="H51" s="14"/>
    </row>
    <row r="52" spans="2:8" x14ac:dyDescent="0.25">
      <c r="B52" s="9"/>
      <c r="C52" s="9"/>
      <c r="D52" s="20"/>
      <c r="E52" s="20"/>
      <c r="F52" s="20"/>
    </row>
    <row r="53" spans="2:8" x14ac:dyDescent="0.25">
      <c r="B53" s="54" t="s">
        <v>49</v>
      </c>
      <c r="C53" s="55"/>
      <c r="D53" s="55"/>
      <c r="E53" s="55"/>
      <c r="F53" s="55"/>
    </row>
    <row r="54" spans="2:8" x14ac:dyDescent="0.25">
      <c r="B54" s="56" t="s">
        <v>50</v>
      </c>
      <c r="C54" s="55"/>
      <c r="D54" s="55"/>
      <c r="E54" s="55"/>
      <c r="F54" s="55"/>
    </row>
    <row r="55" spans="2:8" x14ac:dyDescent="0.25">
      <c r="B55" s="13"/>
      <c r="C55" s="13"/>
      <c r="D55" s="20"/>
      <c r="E55" s="20"/>
      <c r="F55" s="20"/>
    </row>
    <row r="56" spans="2:8" x14ac:dyDescent="0.25">
      <c r="B56" s="21"/>
      <c r="C56" s="52"/>
      <c r="D56" s="53"/>
      <c r="E56" s="53"/>
      <c r="F56" s="53"/>
    </row>
    <row r="57" spans="2:8" x14ac:dyDescent="0.25">
      <c r="B57" s="13"/>
      <c r="C57" s="13"/>
      <c r="D57" s="20"/>
      <c r="E57" s="20"/>
      <c r="F57" s="20"/>
    </row>
    <row r="58" spans="2:8" x14ac:dyDescent="0.25">
      <c r="B58" s="13"/>
      <c r="C58" s="13"/>
      <c r="D58" s="20"/>
      <c r="E58" s="20"/>
      <c r="F58" s="20"/>
    </row>
    <row r="59" spans="2:8" x14ac:dyDescent="0.25">
      <c r="B59" s="13"/>
      <c r="C59" s="13"/>
      <c r="D59" s="20"/>
      <c r="E59" s="20"/>
      <c r="F59" s="20"/>
    </row>
  </sheetData>
  <mergeCells count="14">
    <mergeCell ref="B7:F7"/>
    <mergeCell ref="B12:F12"/>
    <mergeCell ref="B17:F17"/>
    <mergeCell ref="B43:F43"/>
    <mergeCell ref="B41:F41"/>
    <mergeCell ref="B42:F42"/>
    <mergeCell ref="B44:F44"/>
    <mergeCell ref="B45:F45"/>
    <mergeCell ref="B46:F46"/>
    <mergeCell ref="B47:F47"/>
    <mergeCell ref="C56:F56"/>
    <mergeCell ref="B50:F50"/>
    <mergeCell ref="B53:F53"/>
    <mergeCell ref="B54:F54"/>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2026-08-25T23:19:12Z</cp:lastPrinted>
  <dcterms:created xsi:type="dcterms:W3CDTF">2020-12-14T19:54:01Z</dcterms:created>
  <dcterms:modified xsi:type="dcterms:W3CDTF">2026-08-25T23:19:36Z</dcterms:modified>
</cp:coreProperties>
</file>