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42A30C0F-1F69-45AD-914D-9BE285180992}"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 i="1" l="1"/>
  <c r="E25" i="1" s="1"/>
  <c r="E26" i="1" l="1"/>
  <c r="F20" i="3"/>
  <c r="F19" i="3"/>
  <c r="F18" i="3"/>
  <c r="F17" i="3"/>
  <c r="F16" i="3"/>
  <c r="E27" i="1" l="1"/>
  <c r="F23" i="3"/>
  <c r="F24" i="3" l="1"/>
  <c r="F25" i="3" s="1"/>
</calcChain>
</file>

<file path=xl/sharedStrings.xml><?xml version="1.0" encoding="utf-8"?>
<sst xmlns="http://schemas.openxmlformats.org/spreadsheetml/2006/main" count="72" uniqueCount="60">
  <si>
    <t xml:space="preserve">P  R  E  S  E  N  T  E                                                                                                 </t>
  </si>
  <si>
    <t xml:space="preserve">     </t>
  </si>
  <si>
    <t>IMPORTE:</t>
  </si>
  <si>
    <t>16% I.V.A.</t>
  </si>
  <si>
    <t>T O T A L</t>
  </si>
  <si>
    <t>CANTIDAD</t>
  </si>
  <si>
    <t>IMPORTE</t>
  </si>
  <si>
    <t>CONCEPTO</t>
  </si>
  <si>
    <t>M2</t>
  </si>
  <si>
    <t>ACEPTO</t>
  </si>
  <si>
    <t xml:space="preserve">PRESENTAMOS A SU AMABLE CONSIDERACIÓN EL PRESUPUESTO DE SUMINISTRO DE LOS SIGUIENTES MATERIALES: </t>
  </si>
  <si>
    <t xml:space="preserve">NOTAS: </t>
  </si>
  <si>
    <t>CUBETAS</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</si>
  <si>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</si>
  <si>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</si>
  <si>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</si>
  <si>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</si>
  <si>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</si>
  <si>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</si>
  <si>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</si>
  <si>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</si>
  <si>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</si>
  <si>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</si>
  <si>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</si>
  <si>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CIUDAD DE MEXICO A 23 DE NOVIEMBRE DEL 2022</t>
  </si>
  <si>
    <t>AT´N: ARQ. ARIEL LUGO</t>
  </si>
  <si>
    <t>1.- ARENA SILICA (400 M2)</t>
  </si>
  <si>
    <t>2.-SELLADOR INICIAL (400 M2)</t>
  </si>
  <si>
    <t>3.- PRAIMER GLASS (400 M2)</t>
  </si>
  <si>
    <t>4.-CHISA GLASS (400 M2)</t>
  </si>
  <si>
    <t>5.-VITROGLASS (400 M2)</t>
  </si>
  <si>
    <t xml:space="preserve">                             ARQ. ARIEL LUGO</t>
  </si>
  <si>
    <t>VOLUMEN</t>
  </si>
  <si>
    <t xml:space="preserve">                                                                                                                                                                                                                                                         </t>
  </si>
  <si>
    <t>PRES. REF. 14643-S/2022</t>
  </si>
  <si>
    <t>ATENTAMENTE</t>
  </si>
  <si>
    <r>
      <t>PRESENTAMOS  A  SU AMABLE  CONSIDERACIÓN EL PRESUPUESTO DE SUMINISTRO Y APLICACIÓN  DE  LOS SIGUIENTES CONCEPTOS.</t>
    </r>
    <r>
      <rPr>
        <b/>
        <sz val="9"/>
        <color theme="1"/>
        <rFont val="Times New Roman"/>
        <family val="1"/>
      </rPr>
      <t xml:space="preserve">                                                   </t>
    </r>
  </si>
  <si>
    <t xml:space="preserve">RECUBRIMIENTO </t>
  </si>
  <si>
    <t xml:space="preserve">                          ___________________________________                                   ____________________________________</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</si>
  <si>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</si>
  <si>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CIUDAD DE MEXICO A 13 DE ABRIL DEL 2026</t>
  </si>
  <si>
    <t>CONSTRUCTORA: PRODEI</t>
  </si>
  <si>
    <t xml:space="preserve">OBRA: CLINICA DEL IMSS EN MONTERREY 
       </t>
  </si>
  <si>
    <t>PRES. REF. 16486/2026CG</t>
  </si>
  <si>
    <t>FORMA DE PAGO</t>
  </si>
  <si>
    <r>
      <t>EN CASO DE SER ACEPTADO EL PRESENTE PRESUPUESTO REQUERIMOS DEL 7</t>
    </r>
    <r>
      <rPr>
        <b/>
        <sz val="9"/>
        <color theme="1"/>
        <rFont val="Times New Roman"/>
        <family val="1"/>
      </rPr>
      <t>0% COMO ANTICIPO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</si>
  <si>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</si>
  <si>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</si>
  <si>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</si>
  <si>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</si>
  <si>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</si>
  <si>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</si>
  <si>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</si>
  <si>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</si>
  <si>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</si>
  <si>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</si>
  <si>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</si>
  <si>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AT´N: ARQ. IVONE TOBILLA AZCANIO</t>
  </si>
  <si>
    <r>
      <t xml:space="preserve">FORMA DE PAGO Y CONSIDERACIONES GENERALES CORRESPONDIENTES AL PRESUPUESTO </t>
    </r>
    <r>
      <rPr>
        <b/>
        <sz val="9"/>
        <color theme="1"/>
        <rFont val="Times New Roman"/>
        <family val="1"/>
      </rPr>
      <t>REF. 16486/2026.</t>
    </r>
  </si>
  <si>
    <t xml:space="preserve">                                                 ARQ. IVONE TOBILLA AZCANIO                                            CHISA RECUBRIMIENTOS,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</si>
</sst>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0"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6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justify"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4" fontId="1" fillId="0" borderId="0" xfId="0" applyNumberFormat="1" applyFont="1" applyAlignment="1">
      <alignment horizontal="justify" vertical="center" wrapText="1"/>
    </xf>
    <xf numFmtId="0" fontId="1" fillId="0" borderId="0" xfId="0" applyFont="1" applyAlignment="1">
      <alignment horizontal="center"/>
    </xf>
    <xf numFmtId="4" fontId="1" fillId="0" borderId="0" xfId="0" applyNumberFormat="1" applyFont="1" applyAlignment="1">
      <alignment horizontal="center" wrapText="1"/>
    </xf>
    <xf numFmtId="0" fontId="1" fillId="0" borderId="0" xfId="0" applyFont="1" applyAlignment="1">
      <alignment horizontal="left" vertical="center" wrapText="1"/>
    </xf>
    <xf numFmtId="44" fontId="3" fillId="0" borderId="0" xfId="0" applyNumberFormat="1"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left" vertical="center"/>
    </xf>
    <xf numFmtId="0" fontId="2" fillId="0" borderId="0" xfId="0" applyFont="1" applyAlignment="1">
      <alignment horizontal="right" vertical="center"/>
    </xf>
    <xf numFmtId="0" fontId="0" fillId="0" borderId="0" xfId="0" applyAlignment="1">
      <alignment horizontal="right"/>
    </xf>
    <xf numFmtId="0" fontId="1" fillId="0" borderId="0" xfId="0" applyFont="1" applyAlignment="1">
      <alignment horizontal="justify" vertical="justify" wrapText="1"/>
    </xf>
    <xf numFmtId="0" fontId="1" fillId="0" borderId="0" xfId="0" applyFont="1" applyAlignment="1">
      <alignment horizontal="justify" vertical="top" wrapText="1"/>
    </xf>
    <xf numFmtId="0" fontId="2" fillId="0" borderId="0" xfId="0" applyFont="1" applyAlignment="1">
      <alignment horizontal="center"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2" fillId="0" borderId="0" xfId="0" applyFont="1" applyAlignment="1">
      <alignment horizontal="left" vertical="center"/>
    </xf>
    <xf numFmtId="0" fontId="2" fillId="0" borderId="0" xfId="0" applyFont="1" applyAlignment="1">
      <alignment horizontal="center" vertical="center" wrapText="1"/>
    </xf>
    <xf numFmtId="0" fontId="0" fillId="0" borderId="0" xfId="0" applyAlignment="1">
      <alignment horizontal="center" wrapText="1"/>
    </xf>
    <xf numFmtId="0" fontId="0" fillId="0" borderId="0" xfId="0" applyAlignment="1">
      <alignmen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topLeftCell="A58" zoomScale="80" zoomScaleNormal="80" workbookViewId="0">
      <selection activeCell="A59" sqref="A59"/>
    </sheetView>
  </sheetViews>
  <sheetFormatPr baseColWidth="10" defaultRowHeight="15" x14ac:dyDescent="0.25"/>
  <cols>
    <col min="1" max="1" width="49.5703125" customWidth="1"/>
    <col min="2" max="2" width="11.140625" customWidth="1"/>
    <col min="3" max="3" width="10.85546875" customWidth="1"/>
    <col min="4" max="4" width="11.5703125" customWidth="1"/>
    <col min="5" max="5" width="15.28515625" customWidth="1"/>
    <col min="6" max="6" width="14.42578125" bestFit="1" customWidth="1"/>
    <col min="7" max="7" width="12.28515625" bestFit="1" customWidth="1"/>
  </cols>
  <sheetData>
    <row r="1" spans="1:8" ht="19.5" customHeight="1" x14ac:dyDescent="0.25">
      <c r="A1" s="24"/>
      <c r="B1" s="24"/>
      <c r="C1" s="24"/>
      <c r="D1" s="24"/>
      <c r="E1" s="24"/>
    </row>
    <row r="2" spans="1:8" ht="19.5" customHeight="1" x14ac:dyDescent="0.25">
      <c r="A2" s="24"/>
      <c r="B2" s="24"/>
      <c r="C2" s="24"/>
      <c r="D2" s="24"/>
      <c r="E2" s="24"/>
    </row>
    <row r="3" spans="1:8" ht="19.5" customHeight="1" x14ac:dyDescent="0.25">
      <c r="A3" s="24"/>
      <c r="B3" s="24"/>
      <c r="C3" s="24"/>
      <c r="D3" s="24"/>
      <c r="E3" s="24"/>
    </row>
    <row r="4" spans="1:8" ht="19.5" customHeight="1" x14ac:dyDescent="0.25">
      <c r="A4" s="24"/>
      <c r="B4" s="24"/>
      <c r="C4" s="24"/>
      <c r="D4" s="24"/>
      <c r="E4" s="24"/>
    </row>
    <row r="5" spans="1:8" ht="20.25" customHeight="1" x14ac:dyDescent="0.25">
      <c r="A5" s="43" t="s">
        <v>40</v>
      </c>
      <c r="B5" s="43"/>
      <c r="C5" s="43"/>
      <c r="D5" s="43"/>
      <c r="E5" s="43"/>
      <c r="F5" s="6"/>
    </row>
    <row r="6" spans="1:8" ht="12" customHeight="1" x14ac:dyDescent="0.25">
      <c r="A6" s="1"/>
      <c r="B6" s="24"/>
      <c r="C6" s="24"/>
      <c r="D6" s="24"/>
      <c r="E6" s="24"/>
    </row>
    <row r="7" spans="1:8" ht="12" customHeight="1" x14ac:dyDescent="0.25">
      <c r="A7" s="1"/>
      <c r="B7" s="24"/>
      <c r="C7" s="24"/>
      <c r="D7" s="24"/>
      <c r="E7" s="24"/>
    </row>
    <row r="8" spans="1:8" ht="12" customHeight="1" x14ac:dyDescent="0.25">
      <c r="A8" s="1"/>
      <c r="B8" s="24"/>
      <c r="C8" s="24"/>
      <c r="D8" s="24"/>
      <c r="E8" s="24"/>
    </row>
    <row r="9" spans="1:8" ht="12" customHeight="1" x14ac:dyDescent="0.25">
      <c r="A9" s="1" t="s">
        <v>41</v>
      </c>
      <c r="B9" s="24"/>
      <c r="C9" s="24"/>
      <c r="D9" s="24"/>
      <c r="E9" s="24"/>
    </row>
    <row r="10" spans="1:8" ht="12" customHeight="1" x14ac:dyDescent="0.25">
      <c r="A10" s="1"/>
      <c r="B10" s="24"/>
      <c r="C10" s="24"/>
      <c r="D10" s="24"/>
      <c r="E10" s="24"/>
      <c r="F10" s="1"/>
      <c r="G10" s="1"/>
      <c r="H10" s="1"/>
    </row>
    <row r="11" spans="1:8" ht="12" customHeight="1" x14ac:dyDescent="0.25">
      <c r="A11" s="1"/>
      <c r="B11" s="24"/>
      <c r="C11" s="24"/>
      <c r="D11" s="24"/>
      <c r="E11" s="24"/>
      <c r="F11" s="1"/>
      <c r="G11" s="1"/>
      <c r="H11" s="1"/>
    </row>
    <row r="12" spans="1:8" ht="12" customHeight="1" x14ac:dyDescent="0.25">
      <c r="A12" s="47" t="s">
        <v>57</v>
      </c>
      <c r="B12" s="48"/>
      <c r="C12" s="48"/>
      <c r="D12" s="48"/>
      <c r="E12" s="48"/>
      <c r="F12" s="1"/>
      <c r="G12" s="1"/>
      <c r="H12" s="1"/>
    </row>
    <row r="13" spans="1:8" ht="12" customHeight="1" x14ac:dyDescent="0.25">
      <c r="A13" s="45"/>
      <c r="B13" s="45"/>
      <c r="C13" s="45"/>
      <c r="D13" s="45"/>
      <c r="E13" s="45"/>
    </row>
    <row r="14" spans="1:8" ht="15.75" customHeight="1" x14ac:dyDescent="0.25">
      <c r="A14" s="22"/>
      <c r="B14" s="24"/>
      <c r="C14" s="24"/>
      <c r="D14" s="24"/>
      <c r="E14" s="24"/>
    </row>
    <row r="15" spans="1:8" ht="12" customHeight="1" x14ac:dyDescent="0.25">
      <c r="A15" s="44" t="s">
        <v>42</v>
      </c>
      <c r="B15" s="45"/>
      <c r="C15" s="45"/>
      <c r="D15" s="45"/>
      <c r="E15" s="45"/>
    </row>
    <row r="16" spans="1:8" ht="12" customHeight="1" x14ac:dyDescent="0.25">
      <c r="A16" s="8" t="s">
        <v>43</v>
      </c>
      <c r="B16" s="25"/>
      <c r="C16" s="25"/>
      <c r="D16" s="25"/>
      <c r="E16" s="24"/>
    </row>
    <row r="17" spans="1:8" ht="12" customHeight="1" x14ac:dyDescent="0.25">
      <c r="A17" s="8"/>
      <c r="B17" s="25"/>
      <c r="C17" s="25"/>
      <c r="D17" s="25"/>
      <c r="E17" s="24"/>
    </row>
    <row r="18" spans="1:8" ht="12" customHeight="1" x14ac:dyDescent="0.25">
      <c r="A18" s="9"/>
      <c r="B18" s="25"/>
      <c r="C18" s="25"/>
      <c r="D18" s="25"/>
      <c r="E18" s="24"/>
    </row>
    <row r="19" spans="1:8" ht="29.25" customHeight="1" x14ac:dyDescent="0.25">
      <c r="A19" s="50" t="s">
        <v>36</v>
      </c>
      <c r="B19" s="50"/>
      <c r="C19" s="50"/>
      <c r="D19" s="50"/>
      <c r="E19" s="50"/>
      <c r="F19" s="3"/>
      <c r="G19" s="3"/>
      <c r="H19" s="3"/>
    </row>
    <row r="20" spans="1:8" ht="12" customHeight="1" x14ac:dyDescent="0.25">
      <c r="A20" s="20"/>
      <c r="B20" s="20"/>
      <c r="C20" s="20"/>
      <c r="D20" s="20"/>
      <c r="E20" s="20"/>
      <c r="F20" s="3"/>
      <c r="G20" s="3"/>
      <c r="H20" s="3"/>
    </row>
    <row r="21" spans="1:8" ht="21.75" customHeight="1" x14ac:dyDescent="0.25">
      <c r="A21" s="31" t="s">
        <v>7</v>
      </c>
      <c r="B21" s="31" t="s">
        <v>32</v>
      </c>
      <c r="C21" s="31" t="s">
        <v>5</v>
      </c>
      <c r="D21" s="31" t="s">
        <v>15</v>
      </c>
      <c r="E21" s="31" t="s">
        <v>6</v>
      </c>
      <c r="F21" s="2"/>
      <c r="G21" s="2"/>
      <c r="H21" s="2"/>
    </row>
    <row r="22" spans="1:8" ht="32.25" customHeight="1" x14ac:dyDescent="0.25">
      <c r="A22" s="31" t="s">
        <v>37</v>
      </c>
      <c r="B22" s="37"/>
      <c r="C22" s="38"/>
      <c r="D22" s="26"/>
      <c r="E22" s="26"/>
      <c r="F22" s="2"/>
      <c r="G22" s="2"/>
      <c r="H22" s="2"/>
    </row>
    <row r="23" spans="1:8" ht="216" customHeight="1" x14ac:dyDescent="0.25">
      <c r="A23" s="32" t="s">
        <v>39</v>
      </c>
      <c r="B23" s="37" t="s">
        <v>8</v>
      </c>
      <c r="C23" s="38">
        <v>1</v>
      </c>
      <c r="D23" s="26">
        <v>239.9</v>
      </c>
      <c r="E23" s="26">
        <f t="shared" ref="E23" si="0">C23*D23</f>
        <v>239.9</v>
      </c>
      <c r="F23" s="2"/>
      <c r="G23" s="2"/>
      <c r="H23" s="2"/>
    </row>
    <row r="24" spans="1:8" ht="27" customHeight="1" x14ac:dyDescent="0.25">
      <c r="A24" s="32"/>
      <c r="B24" s="37"/>
      <c r="C24" s="38"/>
      <c r="D24" s="26"/>
      <c r="E24" s="26"/>
      <c r="F24" s="40"/>
      <c r="G24" s="2"/>
      <c r="H24" s="2"/>
    </row>
    <row r="25" spans="1:8" ht="18.75" customHeight="1" x14ac:dyDescent="0.25">
      <c r="A25" s="4"/>
      <c r="B25" s="25"/>
      <c r="C25" s="36"/>
      <c r="D25" s="4" t="s">
        <v>2</v>
      </c>
      <c r="E25" s="15">
        <f>SUM(E23:E24)</f>
        <v>239.9</v>
      </c>
      <c r="F25" s="5"/>
    </row>
    <row r="26" spans="1:8" x14ac:dyDescent="0.25">
      <c r="A26" s="4"/>
      <c r="B26" s="4"/>
      <c r="C26" s="4"/>
      <c r="D26" s="4" t="s">
        <v>3</v>
      </c>
      <c r="E26" s="15">
        <f>E25*16%</f>
        <v>38.384</v>
      </c>
      <c r="F26" s="10"/>
    </row>
    <row r="27" spans="1:8" x14ac:dyDescent="0.25">
      <c r="A27" s="4"/>
      <c r="B27" s="20"/>
      <c r="C27" s="4"/>
      <c r="D27" s="4" t="s">
        <v>4</v>
      </c>
      <c r="E27" s="15">
        <f>SUM(E25:E26)</f>
        <v>278.28399999999999</v>
      </c>
      <c r="F27" s="10"/>
    </row>
    <row r="28" spans="1:8" x14ac:dyDescent="0.25">
      <c r="A28" s="4"/>
      <c r="B28" s="20"/>
      <c r="C28" s="4"/>
      <c r="D28" s="4"/>
      <c r="E28" s="15"/>
      <c r="F28" s="10"/>
    </row>
    <row r="29" spans="1:8" x14ac:dyDescent="0.25">
      <c r="A29" s="4"/>
      <c r="B29" s="20"/>
      <c r="C29" s="4"/>
      <c r="D29" s="4"/>
      <c r="E29" s="15"/>
      <c r="F29" s="10"/>
    </row>
    <row r="30" spans="1:8" x14ac:dyDescent="0.25">
      <c r="A30" s="4"/>
      <c r="B30" s="20"/>
      <c r="C30" s="4"/>
      <c r="D30" s="4"/>
      <c r="E30" s="15"/>
      <c r="F30" s="10"/>
    </row>
    <row r="31" spans="1:8" x14ac:dyDescent="0.25">
      <c r="A31" s="4"/>
      <c r="B31" s="20"/>
      <c r="C31" s="4"/>
      <c r="D31" s="4"/>
      <c r="E31" s="15"/>
      <c r="F31" s="10"/>
    </row>
    <row r="32" spans="1:8" x14ac:dyDescent="0.25">
      <c r="A32" s="4"/>
      <c r="B32" s="20"/>
      <c r="C32" s="4"/>
      <c r="D32" s="4"/>
      <c r="E32" s="15"/>
      <c r="F32" s="10"/>
    </row>
    <row r="33" spans="1:7" x14ac:dyDescent="0.25">
      <c r="A33" s="4"/>
      <c r="B33" s="20"/>
      <c r="C33" s="4"/>
      <c r="D33" s="4"/>
      <c r="E33" s="15"/>
      <c r="F33" s="10"/>
    </row>
    <row r="34" spans="1:7" x14ac:dyDescent="0.25">
      <c r="A34" s="4"/>
      <c r="B34" s="20"/>
      <c r="C34" s="4"/>
      <c r="D34" s="4"/>
      <c r="E34" s="15"/>
      <c r="F34" s="10"/>
    </row>
    <row r="35" spans="1:7" x14ac:dyDescent="0.25">
      <c r="A35" s="4"/>
      <c r="B35" s="20"/>
      <c r="C35" s="4"/>
      <c r="D35" s="4"/>
      <c r="E35" s="15"/>
      <c r="F35" s="10"/>
    </row>
    <row r="36" spans="1:7" x14ac:dyDescent="0.25">
      <c r="A36" s="4"/>
      <c r="B36" s="20"/>
      <c r="C36" s="4"/>
      <c r="D36" s="4"/>
      <c r="E36" s="5"/>
      <c r="F36" s="5"/>
      <c r="G36" s="15"/>
    </row>
    <row r="37" spans="1:7" ht="25.5" customHeight="1" x14ac:dyDescent="0.25">
      <c r="A37" s="46" t="s">
        <v>58</v>
      </c>
      <c r="B37" s="46"/>
      <c r="C37" s="46"/>
      <c r="D37" s="46"/>
      <c r="E37" s="46"/>
      <c r="F37" s="15"/>
      <c r="G37" s="15"/>
    </row>
    <row r="38" spans="1:7" ht="18" customHeight="1" x14ac:dyDescent="0.25">
      <c r="A38" s="44" t="s">
        <v>42</v>
      </c>
      <c r="B38" s="45"/>
      <c r="C38" s="45"/>
      <c r="D38" s="45"/>
      <c r="E38" s="24"/>
      <c r="F38" s="5"/>
      <c r="G38" s="15"/>
    </row>
    <row r="39" spans="1:7" ht="21" customHeight="1" x14ac:dyDescent="0.25">
      <c r="A39" s="51" t="s">
        <v>44</v>
      </c>
      <c r="B39" s="51"/>
      <c r="C39" s="51"/>
      <c r="D39" s="51"/>
      <c r="E39" s="51"/>
      <c r="F39" s="5"/>
      <c r="G39" s="15"/>
    </row>
    <row r="40" spans="1:7" ht="70.5" customHeight="1" x14ac:dyDescent="0.25">
      <c r="A40" s="41" t="s">
        <v>45</v>
      </c>
      <c r="B40" s="41"/>
      <c r="C40" s="41"/>
      <c r="D40" s="41"/>
      <c r="E40" s="41"/>
      <c r="F40" s="5"/>
      <c r="G40" s="15"/>
    </row>
    <row r="41" spans="1:7" ht="12" customHeight="1" x14ac:dyDescent="0.25">
      <c r="A41" s="51"/>
      <c r="B41" s="51"/>
      <c r="C41" s="51"/>
      <c r="D41" s="51"/>
      <c r="E41" s="51"/>
      <c r="F41" s="5"/>
      <c r="G41" s="15"/>
    </row>
    <row r="42" spans="1:7" ht="22.5" customHeight="1" x14ac:dyDescent="0.25">
      <c r="A42" s="57" t="s">
        <v>46</v>
      </c>
      <c r="B42" s="58"/>
      <c r="C42" s="58"/>
      <c r="D42" s="58"/>
      <c r="E42" s="58"/>
      <c r="F42" s="5"/>
      <c r="G42" s="15"/>
    </row>
    <row r="43" spans="1:7" ht="36" customHeight="1" x14ac:dyDescent="0.25">
      <c r="A43" s="41" t="s">
        <v>47</v>
      </c>
      <c r="B43" s="41"/>
      <c r="C43" s="41"/>
      <c r="D43" s="41"/>
      <c r="E43" s="41"/>
      <c r="F43" s="5"/>
      <c r="G43" s="15"/>
    </row>
    <row r="44" spans="1:7" ht="50.25" customHeight="1" x14ac:dyDescent="0.25">
      <c r="A44" s="50" t="s">
        <v>54</v>
      </c>
      <c r="B44" s="50"/>
      <c r="C44" s="50"/>
      <c r="D44" s="50"/>
      <c r="E44" s="50"/>
      <c r="F44" s="5"/>
      <c r="G44" s="15"/>
    </row>
    <row r="45" spans="1:7" ht="52.5" customHeight="1" x14ac:dyDescent="0.25">
      <c r="A45" s="50" t="s">
        <v>48</v>
      </c>
      <c r="B45" s="50"/>
      <c r="C45" s="50"/>
      <c r="D45" s="50"/>
      <c r="E45" s="50"/>
      <c r="F45" s="5"/>
      <c r="G45" s="15"/>
    </row>
    <row r="46" spans="1:7" ht="26.25" customHeight="1" x14ac:dyDescent="0.25">
      <c r="A46" s="50" t="s">
        <v>49</v>
      </c>
      <c r="B46" s="50"/>
      <c r="C46" s="50"/>
      <c r="D46" s="50"/>
      <c r="E46" s="50"/>
      <c r="F46" s="5"/>
      <c r="G46" s="15"/>
    </row>
    <row r="47" spans="1:7" ht="72.75" customHeight="1" x14ac:dyDescent="0.25">
      <c r="A47" s="41" t="s">
        <v>50</v>
      </c>
      <c r="B47" s="41"/>
      <c r="C47" s="41"/>
      <c r="D47" s="41"/>
      <c r="E47" s="41"/>
      <c r="F47" s="5"/>
      <c r="G47" s="15"/>
    </row>
    <row r="48" spans="1:7" ht="25.5" customHeight="1" x14ac:dyDescent="0.25">
      <c r="A48" s="41" t="s">
        <v>51</v>
      </c>
      <c r="B48" s="41"/>
      <c r="C48" s="41"/>
      <c r="D48" s="41"/>
      <c r="E48" s="41"/>
      <c r="F48" s="5"/>
      <c r="G48" s="15"/>
    </row>
    <row r="49" spans="1:7" ht="52.5" customHeight="1" x14ac:dyDescent="0.25">
      <c r="A49" s="41" t="s">
        <v>52</v>
      </c>
      <c r="B49" s="41"/>
      <c r="C49" s="41"/>
      <c r="D49" s="41"/>
      <c r="E49" s="41"/>
      <c r="F49" s="5"/>
      <c r="G49" s="15"/>
    </row>
    <row r="50" spans="1:7" ht="24" customHeight="1" x14ac:dyDescent="0.25">
      <c r="A50" s="41" t="s">
        <v>53</v>
      </c>
      <c r="B50" s="41"/>
      <c r="C50" s="41"/>
      <c r="D50" s="41"/>
      <c r="E50" s="59"/>
    </row>
    <row r="51" spans="1:7" ht="71.25" customHeight="1" x14ac:dyDescent="0.25">
      <c r="A51" s="50" t="s">
        <v>55</v>
      </c>
      <c r="B51" s="50"/>
      <c r="C51" s="50"/>
      <c r="D51" s="50"/>
      <c r="E51" s="50"/>
    </row>
    <row r="52" spans="1:7" ht="17.25" customHeight="1" x14ac:dyDescent="0.25">
      <c r="A52" s="41" t="s">
        <v>56</v>
      </c>
      <c r="B52" s="41"/>
      <c r="C52" s="41"/>
      <c r="D52" s="41"/>
      <c r="E52" s="41"/>
    </row>
    <row r="53" spans="1:7" x14ac:dyDescent="0.25">
      <c r="A53" s="39"/>
      <c r="B53" s="39"/>
      <c r="C53" s="39"/>
      <c r="D53" s="39"/>
      <c r="E53" s="39"/>
    </row>
    <row r="54" spans="1:7" x14ac:dyDescent="0.25">
      <c r="A54" s="4"/>
      <c r="B54" s="4"/>
      <c r="C54" s="4"/>
      <c r="D54" s="4"/>
      <c r="E54" s="4"/>
    </row>
    <row r="55" spans="1:7" x14ac:dyDescent="0.25">
      <c r="A55" s="30" t="s">
        <v>9</v>
      </c>
      <c r="B55" s="42" t="s">
        <v>35</v>
      </c>
      <c r="C55" s="42"/>
      <c r="D55" s="42"/>
      <c r="E55" s="24"/>
    </row>
    <row r="56" spans="1:7" x14ac:dyDescent="0.25">
      <c r="A56" s="9"/>
      <c r="B56" s="25"/>
      <c r="C56" s="25"/>
      <c r="D56" s="25"/>
      <c r="E56" s="24"/>
    </row>
    <row r="57" spans="1:7" x14ac:dyDescent="0.25">
      <c r="A57" s="9"/>
      <c r="B57" s="25"/>
      <c r="C57" s="25"/>
      <c r="D57" s="25"/>
      <c r="E57" s="24"/>
    </row>
    <row r="58" spans="1:7" x14ac:dyDescent="0.25">
      <c r="A58" s="16" t="s">
        <v>38</v>
      </c>
      <c r="B58" s="25"/>
      <c r="C58" s="25"/>
      <c r="D58" s="25"/>
      <c r="E58" s="24"/>
    </row>
    <row r="59" spans="1:7" x14ac:dyDescent="0.25">
      <c r="A59" s="33" t="s">
        <v>59</v>
      </c>
      <c r="B59" s="34"/>
      <c r="C59" s="34"/>
      <c r="D59" s="34"/>
      <c r="E59" s="35"/>
    </row>
  </sheetData>
  <mergeCells count="22">
    <mergeCell ref="A51:E51"/>
    <mergeCell ref="A52:E52"/>
    <mergeCell ref="A46:E46"/>
    <mergeCell ref="A48:E48"/>
    <mergeCell ref="A49:E49"/>
    <mergeCell ref="A39:E39"/>
    <mergeCell ref="A40:E40"/>
    <mergeCell ref="A42:E42"/>
    <mergeCell ref="A50:E50"/>
    <mergeCell ref="B55:D55"/>
    <mergeCell ref="A5:E5"/>
    <mergeCell ref="A38:D38"/>
    <mergeCell ref="A13:E13"/>
    <mergeCell ref="A37:E37"/>
    <mergeCell ref="A15:E15"/>
    <mergeCell ref="A12:E12"/>
    <mergeCell ref="A44:E44"/>
    <mergeCell ref="A47:E47"/>
    <mergeCell ref="A19:E19"/>
    <mergeCell ref="A41:E41"/>
    <mergeCell ref="A43:E43"/>
    <mergeCell ref="A45:E45"/>
  </mergeCells>
  <pageMargins left="0.23622047244094491" right="0.23622047244094491" top="0.74803149606299213" bottom="0.74803149606299213" header="0.31496062992125984" footer="0.31496062992125984"/>
  <pageSetup paperSize="9" scale="98" orientation="portrait" horizontalDpi="4294967293" r:id="rId1"/>
  <headerFooter>
    <oddHeader>&amp;R&amp;G</oddHeader>
    <oddFooter>&amp;C&amp;G</oddFooter>
  </headerFooter>
  <rowBreaks count="1" manualBreakCount="1">
    <brk id="35" max="16383" man="1"/>
  </rowBreaks>
  <colBreaks count="1" manualBreakCount="1">
    <brk id="5" max="1048575" man="1"/>
  </col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7"/>
  <sheetViews>
    <sheetView zoomScaleNormal="100" zoomScalePageLayoutView="50" workbookViewId="0">
      <selection activeCell="B12" sqref="B1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9.5703125" bestFit="1" customWidth="1"/>
  </cols>
  <sheetData>
    <row r="4" spans="2:6" x14ac:dyDescent="0.25">
      <c r="B4" s="24"/>
      <c r="C4" s="24"/>
      <c r="D4" s="24"/>
      <c r="E4" s="24"/>
      <c r="F4" s="24"/>
    </row>
    <row r="5" spans="2:6" x14ac:dyDescent="0.25">
      <c r="B5" s="24"/>
      <c r="C5" s="24"/>
      <c r="D5" s="24"/>
      <c r="E5" s="24"/>
      <c r="F5" s="24"/>
    </row>
    <row r="6" spans="2:6" x14ac:dyDescent="0.25">
      <c r="B6" s="43" t="s">
        <v>24</v>
      </c>
      <c r="C6" s="43"/>
      <c r="D6" s="43"/>
      <c r="E6" s="43"/>
      <c r="F6" s="43"/>
    </row>
    <row r="7" spans="2:6" x14ac:dyDescent="0.25">
      <c r="B7" s="1"/>
      <c r="C7" s="1"/>
      <c r="D7" s="24"/>
      <c r="E7" s="24"/>
      <c r="F7" s="24"/>
    </row>
    <row r="8" spans="2:6" x14ac:dyDescent="0.25">
      <c r="B8" s="1" t="s">
        <v>0</v>
      </c>
      <c r="C8" s="1"/>
      <c r="D8" s="24"/>
      <c r="E8" s="24"/>
      <c r="F8" s="24"/>
    </row>
    <row r="9" spans="2:6" x14ac:dyDescent="0.25">
      <c r="B9" s="47" t="s">
        <v>25</v>
      </c>
      <c r="C9" s="47"/>
      <c r="D9" s="47"/>
      <c r="E9" s="47"/>
      <c r="F9" s="47"/>
    </row>
    <row r="10" spans="2:6" x14ac:dyDescent="0.25">
      <c r="B10" s="56"/>
      <c r="C10" s="56"/>
      <c r="D10" s="56"/>
      <c r="E10" s="56"/>
      <c r="F10" s="56"/>
    </row>
    <row r="11" spans="2:6" ht="12.75" customHeight="1" x14ac:dyDescent="0.25">
      <c r="B11" s="8" t="s">
        <v>34</v>
      </c>
      <c r="C11" s="8"/>
      <c r="D11" s="25"/>
      <c r="E11" s="25"/>
      <c r="F11" s="25"/>
    </row>
    <row r="12" spans="2:6" ht="13.5" customHeight="1" x14ac:dyDescent="0.25">
      <c r="B12" s="9" t="s">
        <v>1</v>
      </c>
      <c r="C12" s="9"/>
      <c r="D12" s="25"/>
      <c r="E12" s="25"/>
      <c r="F12" s="25"/>
    </row>
    <row r="13" spans="2:6" ht="21.75" customHeight="1" x14ac:dyDescent="0.25">
      <c r="B13" s="49" t="s">
        <v>10</v>
      </c>
      <c r="C13" s="49"/>
      <c r="D13" s="49"/>
      <c r="E13" s="49"/>
      <c r="F13" s="49"/>
    </row>
    <row r="14" spans="2:6" x14ac:dyDescent="0.25">
      <c r="B14" s="8" t="s">
        <v>7</v>
      </c>
      <c r="C14" s="8"/>
      <c r="D14" s="22" t="s">
        <v>5</v>
      </c>
      <c r="E14" s="22" t="s">
        <v>15</v>
      </c>
      <c r="F14" s="21" t="s">
        <v>6</v>
      </c>
    </row>
    <row r="15" spans="2:6" x14ac:dyDescent="0.25">
      <c r="B15" s="8"/>
      <c r="C15" s="8"/>
      <c r="D15" s="21"/>
      <c r="E15" s="21"/>
      <c r="F15" s="21"/>
    </row>
    <row r="16" spans="2:6" x14ac:dyDescent="0.25">
      <c r="B16" s="7" t="s">
        <v>26</v>
      </c>
      <c r="C16" s="27" t="s">
        <v>12</v>
      </c>
      <c r="D16" s="29">
        <v>16</v>
      </c>
      <c r="E16" s="26">
        <v>918.78</v>
      </c>
      <c r="F16" s="14">
        <f>D16*E16</f>
        <v>14700.48</v>
      </c>
    </row>
    <row r="17" spans="2:6" x14ac:dyDescent="0.25">
      <c r="B17" s="7" t="s">
        <v>27</v>
      </c>
      <c r="C17" s="27" t="s">
        <v>12</v>
      </c>
      <c r="D17" s="5">
        <v>5</v>
      </c>
      <c r="E17" s="26">
        <v>701.36</v>
      </c>
      <c r="F17" s="14">
        <f t="shared" ref="F17:F20" si="0">D17*E17</f>
        <v>3506.8</v>
      </c>
    </row>
    <row r="18" spans="2:6" x14ac:dyDescent="0.25">
      <c r="B18" s="7" t="s">
        <v>28</v>
      </c>
      <c r="C18" s="27" t="s">
        <v>12</v>
      </c>
      <c r="D18" s="29">
        <v>5</v>
      </c>
      <c r="E18" s="26">
        <v>787</v>
      </c>
      <c r="F18" s="14">
        <f t="shared" si="0"/>
        <v>3935</v>
      </c>
    </row>
    <row r="19" spans="2:6" x14ac:dyDescent="0.25">
      <c r="B19" s="7" t="s">
        <v>29</v>
      </c>
      <c r="C19" s="27" t="s">
        <v>12</v>
      </c>
      <c r="D19" s="5">
        <v>6</v>
      </c>
      <c r="E19" s="26">
        <v>4190</v>
      </c>
      <c r="F19" s="14">
        <f t="shared" si="0"/>
        <v>25140</v>
      </c>
    </row>
    <row r="20" spans="2:6" x14ac:dyDescent="0.25">
      <c r="B20" s="7" t="s">
        <v>30</v>
      </c>
      <c r="C20" s="27" t="s">
        <v>12</v>
      </c>
      <c r="D20" s="29">
        <v>2</v>
      </c>
      <c r="E20" s="26">
        <v>937.47</v>
      </c>
      <c r="F20" s="14">
        <f t="shared" si="0"/>
        <v>1874.94</v>
      </c>
    </row>
    <row r="21" spans="2:6" x14ac:dyDescent="0.25">
      <c r="B21" s="11" t="s">
        <v>33</v>
      </c>
      <c r="C21" s="11"/>
      <c r="D21" s="12"/>
      <c r="E21" s="14"/>
      <c r="F21" s="14"/>
    </row>
    <row r="22" spans="2:6" x14ac:dyDescent="0.25">
      <c r="B22" s="4"/>
      <c r="C22" s="4"/>
      <c r="D22" s="12"/>
      <c r="E22" s="13"/>
      <c r="F22" s="14"/>
    </row>
    <row r="23" spans="2:6" x14ac:dyDescent="0.25">
      <c r="B23" s="4"/>
      <c r="C23" s="4"/>
      <c r="D23" s="25"/>
      <c r="E23" s="4" t="s">
        <v>2</v>
      </c>
      <c r="F23" s="15">
        <f>SUM(F16:F22)</f>
        <v>49157.22</v>
      </c>
    </row>
    <row r="24" spans="2:6" x14ac:dyDescent="0.25">
      <c r="B24" s="4"/>
      <c r="C24" s="4"/>
      <c r="D24" s="4"/>
      <c r="E24" s="4" t="s">
        <v>3</v>
      </c>
      <c r="F24" s="15">
        <f>F23*16%</f>
        <v>7865.1552000000001</v>
      </c>
    </row>
    <row r="25" spans="2:6" x14ac:dyDescent="0.25">
      <c r="B25" s="4"/>
      <c r="C25" s="4"/>
      <c r="D25" s="20"/>
      <c r="E25" s="4" t="s">
        <v>4</v>
      </c>
      <c r="F25" s="15">
        <f>SUM(F23:F24)</f>
        <v>57022.375200000002</v>
      </c>
    </row>
    <row r="26" spans="2:6" x14ac:dyDescent="0.25">
      <c r="B26" s="4"/>
      <c r="C26" s="4"/>
      <c r="D26" s="20"/>
      <c r="E26" s="4"/>
      <c r="F26" s="15"/>
    </row>
    <row r="27" spans="2:6" x14ac:dyDescent="0.25">
      <c r="B27" s="1" t="s">
        <v>11</v>
      </c>
      <c r="C27" s="1"/>
      <c r="D27" s="24"/>
      <c r="E27" s="24"/>
      <c r="F27" s="24"/>
    </row>
    <row r="28" spans="2:6" ht="39" customHeight="1" x14ac:dyDescent="0.25">
      <c r="B28" s="49" t="s">
        <v>16</v>
      </c>
      <c r="C28" s="49"/>
      <c r="D28" s="49"/>
      <c r="E28" s="49"/>
      <c r="F28" s="49"/>
    </row>
    <row r="29" spans="2:6" ht="17.25" customHeight="1" x14ac:dyDescent="0.25">
      <c r="B29" s="49" t="s">
        <v>17</v>
      </c>
      <c r="C29" s="49"/>
      <c r="D29" s="49"/>
      <c r="E29" s="49"/>
      <c r="F29" s="49"/>
    </row>
    <row r="30" spans="2:6" ht="15" customHeight="1" x14ac:dyDescent="0.25">
      <c r="B30" s="49" t="s">
        <v>18</v>
      </c>
      <c r="C30" s="49"/>
      <c r="D30" s="49"/>
      <c r="E30" s="49"/>
      <c r="F30" s="49"/>
    </row>
    <row r="31" spans="2:6" ht="18" customHeight="1" x14ac:dyDescent="0.25">
      <c r="B31" s="49" t="s">
        <v>19</v>
      </c>
      <c r="C31" s="49"/>
      <c r="D31" s="49"/>
      <c r="E31" s="49"/>
      <c r="F31" s="49"/>
    </row>
    <row r="32" spans="2:6" ht="96.75" customHeight="1" x14ac:dyDescent="0.25">
      <c r="B32" s="49" t="s">
        <v>20</v>
      </c>
      <c r="C32" s="49"/>
      <c r="D32" s="49"/>
      <c r="E32" s="49"/>
      <c r="F32" s="49"/>
    </row>
    <row r="33" spans="2:15" x14ac:dyDescent="0.25">
      <c r="B33" s="24"/>
      <c r="C33" s="24"/>
      <c r="D33" s="24"/>
      <c r="E33" s="24"/>
      <c r="F33" s="24"/>
      <c r="H33" s="18"/>
    </row>
    <row r="34" spans="2:15" x14ac:dyDescent="0.25">
      <c r="B34" s="6" t="s">
        <v>21</v>
      </c>
      <c r="C34" s="6"/>
      <c r="D34" s="54" t="s">
        <v>22</v>
      </c>
      <c r="E34" s="54"/>
      <c r="F34" s="54"/>
    </row>
    <row r="35" spans="2:15" x14ac:dyDescent="0.25">
      <c r="B35" s="9"/>
      <c r="C35" s="9"/>
      <c r="D35" s="25"/>
      <c r="E35" s="25"/>
      <c r="F35" s="25"/>
    </row>
    <row r="36" spans="2:15" x14ac:dyDescent="0.25">
      <c r="B36" s="9"/>
      <c r="C36" s="9"/>
      <c r="D36" s="25"/>
      <c r="E36" s="25"/>
      <c r="F36" s="25"/>
    </row>
    <row r="37" spans="2:15" x14ac:dyDescent="0.25">
      <c r="B37" s="16" t="s">
        <v>23</v>
      </c>
      <c r="C37" s="16"/>
      <c r="D37" s="25"/>
      <c r="E37" s="25"/>
      <c r="F37" s="25"/>
    </row>
    <row r="38" spans="2:15" x14ac:dyDescent="0.25">
      <c r="B38" s="28" t="s">
        <v>31</v>
      </c>
      <c r="C38" s="28"/>
      <c r="D38" s="55" t="s">
        <v>13</v>
      </c>
      <c r="E38" s="55"/>
      <c r="F38" s="55"/>
    </row>
    <row r="39" spans="2:15" x14ac:dyDescent="0.25">
      <c r="B39" s="17"/>
      <c r="C39" s="17"/>
      <c r="D39" s="25"/>
      <c r="E39" s="25"/>
      <c r="F39" s="25"/>
    </row>
    <row r="40" spans="2:15" x14ac:dyDescent="0.25">
      <c r="B40" s="52" t="s">
        <v>14</v>
      </c>
      <c r="C40" s="52"/>
      <c r="D40" s="53"/>
      <c r="E40" s="53"/>
      <c r="F40" s="53"/>
      <c r="G40" s="23"/>
      <c r="H40" s="23"/>
      <c r="I40" s="23"/>
      <c r="J40" s="23"/>
      <c r="K40" s="23"/>
      <c r="L40" s="23"/>
      <c r="M40" s="23"/>
      <c r="N40" s="23"/>
      <c r="O40" s="23"/>
    </row>
    <row r="41" spans="2:15" x14ac:dyDescent="0.25">
      <c r="B41" s="53"/>
      <c r="C41" s="53"/>
      <c r="D41" s="53"/>
      <c r="E41" s="53"/>
      <c r="F41" s="53"/>
      <c r="G41" s="23"/>
      <c r="H41" s="23"/>
      <c r="I41" s="23"/>
      <c r="J41" s="23"/>
      <c r="K41" s="23"/>
      <c r="L41" s="23"/>
      <c r="M41" s="23"/>
      <c r="N41" s="23"/>
      <c r="O41" s="23"/>
    </row>
    <row r="42" spans="2:15" x14ac:dyDescent="0.25">
      <c r="B42" s="53"/>
      <c r="C42" s="53"/>
      <c r="D42" s="53"/>
      <c r="E42" s="53"/>
      <c r="F42" s="53"/>
      <c r="G42" s="23"/>
      <c r="H42" s="23"/>
      <c r="I42" s="23"/>
      <c r="J42" s="23"/>
      <c r="K42" s="23"/>
      <c r="L42" s="23"/>
      <c r="M42" s="23"/>
      <c r="N42" s="23"/>
      <c r="O42" s="23"/>
    </row>
    <row r="43" spans="2:15" x14ac:dyDescent="0.25">
      <c r="B43" s="53"/>
      <c r="C43" s="53"/>
      <c r="D43" s="53"/>
      <c r="E43" s="53"/>
      <c r="F43" s="53"/>
      <c r="G43" s="23"/>
      <c r="H43" s="23"/>
      <c r="I43" s="23"/>
      <c r="J43" s="23"/>
      <c r="K43" s="23"/>
      <c r="L43" s="23"/>
      <c r="M43" s="23"/>
      <c r="N43" s="23"/>
      <c r="O43" s="23"/>
    </row>
    <row r="44" spans="2:15" x14ac:dyDescent="0.25">
      <c r="B44" s="23"/>
      <c r="C44" s="23"/>
      <c r="D44" s="23"/>
      <c r="E44" s="23"/>
      <c r="F44" s="23"/>
      <c r="G44" s="23"/>
      <c r="H44" s="23"/>
      <c r="I44" s="23"/>
      <c r="J44" s="23"/>
      <c r="K44" s="23"/>
      <c r="L44" s="23"/>
      <c r="M44" s="23"/>
      <c r="N44" s="23"/>
      <c r="O44" s="23"/>
    </row>
    <row r="45" spans="2:15" x14ac:dyDescent="0.25">
      <c r="B45" s="23"/>
      <c r="C45" s="23"/>
      <c r="D45" s="23"/>
      <c r="E45" s="23"/>
      <c r="F45" s="23"/>
      <c r="G45" s="23"/>
      <c r="H45" s="23"/>
      <c r="I45" s="23"/>
      <c r="J45" s="23"/>
      <c r="K45" s="23"/>
      <c r="L45" s="23"/>
      <c r="M45" s="23"/>
      <c r="N45" s="23"/>
      <c r="O45" s="23"/>
    </row>
    <row r="46" spans="2:15" x14ac:dyDescent="0.25">
      <c r="B46" s="23"/>
      <c r="C46" s="23"/>
      <c r="D46" s="23"/>
      <c r="E46" s="23"/>
      <c r="F46" s="23"/>
      <c r="G46" s="23"/>
      <c r="H46" s="23"/>
      <c r="I46" s="23"/>
      <c r="J46" s="23"/>
      <c r="K46" s="23"/>
      <c r="L46" s="23"/>
      <c r="M46" s="23"/>
      <c r="N46" s="23"/>
      <c r="O46" s="23"/>
    </row>
    <row r="47" spans="2:15" x14ac:dyDescent="0.25">
      <c r="B47" s="23"/>
      <c r="C47" s="23"/>
      <c r="D47" s="23"/>
      <c r="E47" s="23"/>
      <c r="F47" s="23"/>
      <c r="G47" s="23"/>
      <c r="H47" s="23"/>
      <c r="I47" s="23"/>
      <c r="J47" s="23"/>
      <c r="K47" s="23"/>
      <c r="L47" s="23"/>
      <c r="M47" s="23"/>
      <c r="N47" s="23"/>
      <c r="O47" s="23"/>
    </row>
  </sheetData>
  <mergeCells count="12">
    <mergeCell ref="B6:F6"/>
    <mergeCell ref="B9:F9"/>
    <mergeCell ref="B10:F10"/>
    <mergeCell ref="B13:F13"/>
    <mergeCell ref="B32:F32"/>
    <mergeCell ref="B40:F43"/>
    <mergeCell ref="D34:F34"/>
    <mergeCell ref="D38:F38"/>
    <mergeCell ref="B28:F28"/>
    <mergeCell ref="B29:F29"/>
    <mergeCell ref="B30:F30"/>
    <mergeCell ref="B31:F31"/>
  </mergeCells>
  <pageMargins left="0.7" right="0.7" top="0.75" bottom="0.75" header="0.3" footer="0.3"/>
  <pageSetup paperSize="9" scale="84"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2026-04-14T00:31:35Z</cp:lastPrinted>
  <dcterms:created xsi:type="dcterms:W3CDTF">2020-12-14T19:54:01Z</dcterms:created>
  <dcterms:modified xsi:type="dcterms:W3CDTF">2026-04-14T00:31:44Z</dcterms:modified>
</cp:coreProperties>
</file>