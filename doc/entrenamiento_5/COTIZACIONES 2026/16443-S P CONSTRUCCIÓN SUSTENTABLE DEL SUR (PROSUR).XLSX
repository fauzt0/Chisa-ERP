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694E762D-A1D2-41F3-9FF0-2B027DD3751C}"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3" l="1"/>
  <c r="F33" i="3" s="1"/>
  <c r="F29" i="3"/>
  <c r="F35" i="3" l="1"/>
  <c r="E14" i="1"/>
  <c r="E16" i="1"/>
  <c r="F36" i="3" l="1"/>
  <c r="F37" i="3" s="1"/>
  <c r="E17" i="1"/>
  <c r="E18" i="1" s="1"/>
</calcChain>
</file>

<file path=xl/sharedStrings.xml><?xml version="1.0" encoding="utf-8"?>
<sst xmlns="http://schemas.openxmlformats.org/spreadsheetml/2006/main" count="77" uniqueCount="66">
  <si>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</si>
  <si>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</si>
  <si>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</si>
  <si>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</si>
  <si>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</si>
  <si>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</si>
  <si>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</si>
  <si>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</si>
  <si>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</si>
  <si>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</si>
  <si>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</si>
  <si>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</si>
  <si>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</si>
  <si>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</si>
  <si>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</si>
  <si>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</si>
  <si>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</si>
  <si>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</si>
  <si>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</si>
  <si>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</si>
  <si>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</si>
  <si>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</si>
  <si>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</si>
  <si>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</si>
  <si>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</si>
  <si>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 xml:space="preserve">ANDRES MOLINA ENRIQUEZ #156 COL. SAN PEDRO ALCALDÍA IZTACALCO, C.P. 08220, CDMX. CONTACTO: 55-55-79-9434| 55-55-7908-95| 55-55-79-62-70 ventas@chisarecubrimientos.com.mx|www.chisarecubrimientos.com.mx </t>
  </si>
  <si>
    <t>1.-EL PRESENTE PRESUPUESTO TIENE UNA VIGENCIA DE 5 DIAS HABILES, AL TERMINO  DE ESTA FECHA,   NUESTROS PRECIOS PODRIAN CAMBIAR SIN PREVIO AVISO, EN EL MARGEN QUE VARIEN  NUESTRAS MATERIAS PRIMAS.</t>
  </si>
  <si>
    <t>3.-ENTREGA DE MATERIALES L.A.B. EN LA PLANTA DE CHISA RECUBRIMIENTOS,  S.A. DE C.V.</t>
  </si>
  <si>
    <t>4.-PRECIOS CONSIDERADOS EN LA COMPRA TOTAL EN UNA SOLA EXHIBICION.</t>
  </si>
  <si>
    <t xml:space="preserve">                                       ACEPTO</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</si>
  <si>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</si>
  <si>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</si>
  <si>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</si>
  <si>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</si>
  <si>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</si>
  <si>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</si>
  <si>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</si>
  <si>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</si>
  <si>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</si>
  <si>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</si>
  <si>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</si>
  <si>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</si>
  <si>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</si>
  <si>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</si>
  <si>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</si>
  <si>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</si>
  <si>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</si>
  <si>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TAMBOS</t>
  </si>
  <si>
    <t>CONSTRUCTORA:  PROSUR CONSTRUCCION SUSTENTABLE DEL SUR</t>
  </si>
  <si>
    <t xml:space="preserve">     PROSUR CONSTRUCCION SUSTENTABLE DEL SUR</t>
  </si>
  <si>
    <t>CIUDAD DE MEXICO A 03 DE MARZO DEL 2026</t>
  </si>
  <si>
    <t>AT´N: ARQ. ALEXIS SANCHEZ</t>
  </si>
  <si>
    <t>OBRA: HOSPITAL DE MONTERREY</t>
  </si>
  <si>
    <t>PRES. REF. 16443-S/2026CG</t>
  </si>
  <si>
    <t xml:space="preserve">PRESENTAMOS A SU AMABLE CONSIDERACIÓN EL PRESUPUESTO DE SUMINISTRO PARA 16,000 M2 DE LOS SIGUIENTES MATERIALES: </t>
  </si>
  <si>
    <t>SUB TOTAL</t>
  </si>
  <si>
    <t xml:space="preserve">1.- SELLADOR INICIAL  (REND. 900M2) </t>
  </si>
  <si>
    <t xml:space="preserve">2.- REDIPLAST M REF. ALMENDRA (REND. 200M2) </t>
  </si>
  <si>
    <t>3.- CHISA PLAST PLUS REF. ALMENDRA  (REND. 170M2)</t>
  </si>
  <si>
    <t>DESC. 7%</t>
  </si>
  <si>
    <r>
      <t xml:space="preserve">PRECIO  U.                </t>
    </r>
    <r>
      <rPr>
        <sz val="10"/>
        <color theme="1"/>
        <rFont val="Times New Roman"/>
        <family val="1"/>
      </rPr>
      <t xml:space="preserve">       </t>
    </r>
  </si>
  <si>
    <r>
      <t xml:space="preserve">2.-AL ACEPTAR EL PRESENTE PRESUPUESTO REQUERIMOS DEL </t>
    </r>
    <r>
      <rPr>
        <b/>
        <sz val="10"/>
        <color theme="1"/>
        <rFont val="Times New Roman"/>
        <family val="1"/>
      </rPr>
      <t>PAGO TOTAL ANTICIPADO</t>
    </r>
  </si>
  <si>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10"/>
        <color rgb="FF002060"/>
        <rFont val="Times New Roman"/>
        <family val="1"/>
      </rPr>
      <t>www.chisarecubrimientos.com.mx</t>
    </r>
  </si>
  <si>
    <t xml:space="preserve">                                         ATENTAMENTE</t>
  </si>
  <si>
    <t xml:space="preserve">                                                               CHISA RECUBRIMIENTOS, S.A DE C.V </t>
  </si>
  <si>
    <t xml:space="preserve">            ____________________________________                                                                                            _______________________________________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</si>
</sst>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quot;$&quot;#,##0.00"/>
  </numFmts>
  <fonts count="16"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sz val="11"/>
      <color theme="1"/>
      <name val="Calibri"/>
      <family val="2"/>
      <scheme val="minor"/>
    </font>
    <font>
      <b/>
      <sz val="10"/>
      <color rgb="FF002060"/>
      <name val="Calibri"/>
      <family val="2"/>
    </font>
    <font>
      <b/>
      <sz val="8"/>
      <color rgb="FF002060"/>
      <name val="Calibri"/>
      <family val="2"/>
    </font>
    <font>
      <sz val="8"/>
      <color theme="1"/>
      <name val="Calibri"/>
      <family val="2"/>
      <scheme val="minor"/>
    </font>
    <font>
      <b/>
      <sz val="8"/>
      <color theme="1"/>
      <name val="Calibri"/>
      <family val="2"/>
      <scheme val="minor"/>
    </font>
    <font>
      <b/>
      <u/>
      <sz val="8"/>
      <color theme="1"/>
      <name val="Calibri"/>
      <family val="2"/>
      <scheme val="minor"/>
    </font>
    <font>
      <sz val="10"/>
      <color theme="1"/>
      <name val="Times New Roman"/>
      <family val="1"/>
    </font>
    <font>
      <b/>
      <sz val="10"/>
      <color theme="1"/>
      <name val="Times New Roman"/>
      <family val="1"/>
    </font>
    <font>
      <b/>
      <u/>
      <sz val="10"/>
      <color theme="1"/>
      <name val="Times New Roman"/>
      <family val="1"/>
    </font>
    <font>
      <u/>
      <sz val="10"/>
      <color rgb="FF002060"/>
      <name val="Times New Roman"/>
      <family val="1"/>
    </font>
    <font>
      <sz val="10"/>
      <color theme="1"/>
      <name val="Calibri"/>
      <family val="2"/>
      <scheme val="minor"/>
    </font>
  </fonts>
  <fills count="2">
    <fill>
      <patternFill patternType="none"/>
    </fill>
    <fill>
      <patternFill patternType="gray125"/>
    </fill>
  </fills>
  <borders count="1">
    <border>
      <left/>
      <right/>
      <top/>
      <bottom/>
      <diagonal/>
    </border>
  </borders>
  <cellStyleXfs count="36">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8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6" fillId="0" borderId="0" xfId="0" applyFont="1"/>
    <xf numFmtId="0" fontId="1" fillId="0" borderId="0" xfId="0" applyFont="1"/>
    <xf numFmtId="0" fontId="1" fillId="0" borderId="0" xfId="0" applyFont="1" applyAlignment="1">
      <alignment horizontal="justify"/>
    </xf>
    <xf numFmtId="0" fontId="8" fillId="0" borderId="0" xfId="0" applyFont="1"/>
    <xf numFmtId="0" fontId="8" fillId="0" borderId="0" xfId="0" applyFont="1" applyAlignment="1">
      <alignment horizontal="justify"/>
    </xf>
    <xf numFmtId="0" fontId="8"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8" fillId="0" borderId="0" xfId="0" applyFont="1" applyAlignment="1">
      <alignment horizontal="center"/>
    </xf>
    <xf numFmtId="0" fontId="8" fillId="0" borderId="0" xfId="0" applyFont="1" applyAlignment="1">
      <alignment horizontal="justify" vertical="top" wrapText="1"/>
    </xf>
    <xf numFmtId="0" fontId="9" fillId="0" borderId="0" xfId="0" applyFont="1" applyAlignment="1">
      <alignment vertical="center"/>
    </xf>
    <xf numFmtId="0" fontId="9" fillId="0" borderId="0" xfId="0" applyFont="1" applyAlignment="1">
      <alignment horizontal="right" vertical="center"/>
    </xf>
    <xf numFmtId="0" fontId="9" fillId="0" borderId="0" xfId="0" applyFont="1" applyAlignment="1">
      <alignment horizontal="justify" vertical="center"/>
    </xf>
    <xf numFmtId="0" fontId="8" fillId="0" borderId="0" xfId="0" applyFont="1" applyAlignment="1">
      <alignment horizontal="justify" vertical="center"/>
    </xf>
    <xf numFmtId="0" fontId="10" fillId="0" borderId="0" xfId="0" applyFont="1" applyAlignment="1">
      <alignment horizontal="justify" vertical="center"/>
    </xf>
    <xf numFmtId="4" fontId="8" fillId="0" borderId="0" xfId="0" applyNumberFormat="1" applyFont="1" applyAlignment="1">
      <alignment horizontal="right" wrapText="1"/>
    </xf>
    <xf numFmtId="44" fontId="8" fillId="0" borderId="0" xfId="1" applyFont="1" applyAlignment="1">
      <alignment horizontal="right" wrapText="1"/>
    </xf>
    <xf numFmtId="0" fontId="8" fillId="0" borderId="0" xfId="0" applyFont="1" applyAlignment="1">
      <alignment horizontal="justify" vertical="center" wrapText="1"/>
    </xf>
    <xf numFmtId="0" fontId="8" fillId="0" borderId="0" xfId="0" applyFont="1" applyAlignment="1">
      <alignment horizontal="right" vertical="center" wrapText="1"/>
    </xf>
    <xf numFmtId="44" fontId="8" fillId="0" borderId="0" xfId="1" applyFont="1" applyAlignment="1">
      <alignment horizontal="right" vertical="center" wrapText="1"/>
    </xf>
    <xf numFmtId="0" fontId="8"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left" vertical="top"/>
    </xf>
    <xf numFmtId="0" fontId="8" fillId="0" borderId="0" xfId="0" applyFont="1" applyAlignment="1">
      <alignment vertical="top"/>
    </xf>
    <xf numFmtId="0" fontId="7" fillId="0" borderId="0" xfId="0" applyFont="1" applyAlignment="1">
      <alignment horizontal="center" wrapText="1"/>
    </xf>
    <xf numFmtId="0" fontId="6" fillId="0" borderId="0" xfId="0" applyFont="1" applyAlignment="1">
      <alignment horizontal="center" wrapText="1"/>
    </xf>
    <xf numFmtId="0" fontId="9" fillId="0" borderId="0" xfId="0" applyFont="1" applyAlignment="1">
      <alignment horizontal="left" vertical="center"/>
    </xf>
    <xf numFmtId="0" fontId="9" fillId="0" borderId="0" xfId="0" applyFont="1" applyAlignment="1">
      <alignment horizontal="left" vertical="center" wrapText="1"/>
    </xf>
    <xf numFmtId="0" fontId="8" fillId="0" borderId="0" xfId="0" applyFont="1" applyAlignment="1">
      <alignment horizontal="justify" vertical="top"/>
    </xf>
    <xf numFmtId="0" fontId="9"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left" vertical="center"/>
    </xf>
    <xf numFmtId="0" fontId="8" fillId="0" borderId="0" xfId="0" applyFont="1" applyAlignment="1">
      <alignment horizontal="left"/>
    </xf>
    <xf numFmtId="0" fontId="8" fillId="0" borderId="0" xfId="0" applyFont="1" applyAlignment="1">
      <alignment horizontal="justify" vertical="center" wrapText="1"/>
    </xf>
    <xf numFmtId="0" fontId="9" fillId="0" borderId="0" xfId="0" applyFont="1" applyAlignment="1">
      <alignment horizontal="center" vertical="center"/>
    </xf>
    <xf numFmtId="0" fontId="8" fillId="0" borderId="0" xfId="0" applyFont="1" applyAlignment="1">
      <alignment horizontal="justify" vertical="top" wrapText="1"/>
    </xf>
    <xf numFmtId="0" fontId="8" fillId="0" borderId="0" xfId="0" applyFont="1" applyAlignment="1">
      <alignment horizontal="left" vertical="center" wrapText="1"/>
    </xf>
    <xf numFmtId="0" fontId="11" fillId="0" borderId="0" xfId="0" applyFont="1" applyAlignment="1">
      <alignment horizontal="right" vertical="center"/>
    </xf>
    <xf numFmtId="0" fontId="11" fillId="0" borderId="0" xfId="0" applyFont="1" applyAlignment="1">
      <alignment horizontal="right" vertical="center"/>
    </xf>
    <xf numFmtId="0" fontId="12" fillId="0" borderId="0" xfId="0" applyFont="1" applyAlignment="1">
      <alignment vertical="center"/>
    </xf>
    <xf numFmtId="0" fontId="11" fillId="0" borderId="0" xfId="0" applyFont="1"/>
    <xf numFmtId="0" fontId="12" fillId="0" borderId="0" xfId="0" applyFont="1" applyAlignment="1">
      <alignment horizontal="right" vertical="center"/>
    </xf>
    <xf numFmtId="0" fontId="12" fillId="0" borderId="0" xfId="0" applyFont="1" applyAlignment="1">
      <alignment horizontal="right" vertical="center"/>
    </xf>
    <xf numFmtId="0" fontId="12"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horizontal="justify" vertical="center"/>
    </xf>
    <xf numFmtId="0" fontId="11" fillId="0" borderId="0" xfId="0" applyFont="1" applyAlignment="1">
      <alignment horizontal="justify"/>
    </xf>
    <xf numFmtId="0" fontId="11" fillId="0" borderId="0" xfId="0" applyFont="1" applyAlignment="1">
      <alignment horizontal="justify" vertical="center"/>
    </xf>
    <xf numFmtId="0" fontId="11" fillId="0" borderId="0" xfId="0" applyFont="1" applyAlignment="1">
      <alignment horizontal="justify" vertical="justify" wrapText="1"/>
    </xf>
    <xf numFmtId="0" fontId="11" fillId="0" borderId="0" xfId="0" applyFont="1" applyAlignment="1">
      <alignment horizontal="justify" vertical="justify" wrapText="1"/>
    </xf>
    <xf numFmtId="0" fontId="13" fillId="0" borderId="0" xfId="0" applyFont="1" applyAlignment="1">
      <alignment horizontal="justify" vertical="center" wrapText="1"/>
    </xf>
    <xf numFmtId="0" fontId="11" fillId="0" borderId="0" xfId="0" applyFont="1" applyAlignment="1">
      <alignment horizontal="center"/>
    </xf>
    <xf numFmtId="164" fontId="11" fillId="0" borderId="0" xfId="0" applyNumberFormat="1" applyFont="1"/>
    <xf numFmtId="0" fontId="13" fillId="0" borderId="0" xfId="0" applyFont="1" applyAlignment="1">
      <alignment horizontal="justify" vertical="top" wrapText="1"/>
    </xf>
    <xf numFmtId="0" fontId="11" fillId="0" borderId="0" xfId="0" applyFont="1" applyAlignment="1">
      <alignment horizontal="center" vertical="center"/>
    </xf>
    <xf numFmtId="0" fontId="13" fillId="0" borderId="0" xfId="0" applyFont="1" applyAlignment="1">
      <alignment horizontal="justify" vertical="center"/>
    </xf>
    <xf numFmtId="164" fontId="11" fillId="0" borderId="0" xfId="1" applyNumberFormat="1" applyFont="1" applyAlignment="1"/>
    <xf numFmtId="0" fontId="13" fillId="0" borderId="0" xfId="0" applyFont="1" applyAlignment="1">
      <alignment horizontal="right" vertical="top" wrapText="1"/>
    </xf>
    <xf numFmtId="0" fontId="11" fillId="0" borderId="0" xfId="0" applyFont="1" applyAlignment="1">
      <alignment horizontal="right" vertical="center" wrapText="1"/>
    </xf>
    <xf numFmtId="44" fontId="11" fillId="0" borderId="0" xfId="1" applyFont="1" applyAlignment="1">
      <alignment horizontal="center" wrapText="1"/>
    </xf>
    <xf numFmtId="44" fontId="11" fillId="0" borderId="0" xfId="1" applyFont="1" applyAlignment="1">
      <alignment horizontal="right" wrapText="1"/>
    </xf>
    <xf numFmtId="0" fontId="11" fillId="0" borderId="0" xfId="0" applyFont="1" applyAlignment="1">
      <alignment horizontal="justify" vertical="center" wrapText="1"/>
    </xf>
    <xf numFmtId="164" fontId="11" fillId="0" borderId="0" xfId="1" applyNumberFormat="1" applyFont="1" applyAlignment="1">
      <alignment horizontal="right" wrapText="1"/>
    </xf>
    <xf numFmtId="44" fontId="11" fillId="0" borderId="0" xfId="1" applyFont="1" applyAlignment="1">
      <alignment horizontal="right" vertical="center" wrapText="1"/>
    </xf>
    <xf numFmtId="0" fontId="11" fillId="0" borderId="0" xfId="0" applyFont="1" applyAlignment="1">
      <alignment horizontal="justify" vertical="top" wrapText="1"/>
    </xf>
    <xf numFmtId="0" fontId="11" fillId="0" borderId="0" xfId="0" applyFont="1" applyAlignment="1">
      <alignment horizontal="left" vertical="center"/>
    </xf>
    <xf numFmtId="0" fontId="11" fillId="0" borderId="0" xfId="0" applyFont="1"/>
    <xf numFmtId="0" fontId="11" fillId="0" borderId="0" xfId="0" applyFont="1" applyAlignment="1">
      <alignment vertical="center"/>
    </xf>
    <xf numFmtId="0" fontId="11" fillId="0" borderId="0" xfId="0" applyFont="1" applyAlignment="1">
      <alignment horizontal="left"/>
    </xf>
    <xf numFmtId="0" fontId="11" fillId="0" borderId="0" xfId="0" applyFont="1" applyAlignment="1">
      <alignment horizontal="left"/>
    </xf>
    <xf numFmtId="0" fontId="15" fillId="0" borderId="0" xfId="0" applyFont="1" applyAlignment="1">
      <alignment horizontal="left"/>
    </xf>
    <xf numFmtId="0" fontId="11" fillId="0" borderId="0" xfId="0" applyFont="1" applyAlignment="1">
      <alignment vertical="top"/>
    </xf>
    <xf numFmtId="164" fontId="11" fillId="0" borderId="0" xfId="1" applyNumberFormat="1" applyFont="1" applyAlignment="1">
      <alignment horizontal="right" vertical="center" wrapText="1"/>
    </xf>
    <xf numFmtId="0" fontId="12" fillId="0" borderId="0" xfId="0" applyFont="1" applyAlignment="1">
      <alignment horizontal="center" vertical="center"/>
    </xf>
    <xf numFmtId="0" fontId="0" fillId="0" borderId="0" xfId="0" applyAlignment="1">
      <alignment horizontal="center"/>
    </xf>
  </cellXfs>
  <cellStyles count="36">
    <cellStyle name="Moneda" xfId="1" builtinId="4"/>
    <cellStyle name="Moneda 10" xfId="7" xr:uid="{C699528C-F7BF-4FCC-AD19-62B0F76AF804}"/>
    <cellStyle name="Moneda 2" xfId="2" xr:uid="{A7A248C7-1927-4AA8-98F0-6C91B6F78E50}"/>
    <cellStyle name="Moneda 2 2" xfId="6" xr:uid="{6DD6DDED-0E31-47EF-919A-3F15ED3B6D61}"/>
    <cellStyle name="Moneda 2 2 2" xfId="19" xr:uid="{DC001853-7F17-456A-8871-D90695B63EEA}"/>
    <cellStyle name="Moneda 2 2 3" xfId="28" xr:uid="{0086A361-2AF4-45F3-88B7-1C369A3462B8}"/>
    <cellStyle name="Moneda 2 2 4" xfId="35" xr:uid="{C772902C-9BB6-4FF0-84A3-FF0C1A02C562}"/>
    <cellStyle name="Moneda 2 2 5" xfId="12" xr:uid="{768A85CA-555D-47F4-BF3F-83D71EEA56F2}"/>
    <cellStyle name="Moneda 2 3" xfId="16" xr:uid="{7FCF7477-EBAD-46BA-9948-13F92598D7E5}"/>
    <cellStyle name="Moneda 2 4" xfId="22" xr:uid="{9E222852-D6A7-44A9-98CA-89F6F44F96DE}"/>
    <cellStyle name="Moneda 2 5" xfId="25" xr:uid="{5BEBB8C8-F7FC-43D9-8295-ADDBE2428C89}"/>
    <cellStyle name="Moneda 2 6" xfId="31" xr:uid="{803D4BB5-F7AB-41BE-9A28-4076DD33AC5E}"/>
    <cellStyle name="Moneda 2 7" xfId="9" xr:uid="{50BE28A5-9E2D-4C5C-BA06-6E146B66F9F7}"/>
    <cellStyle name="Moneda 3" xfId="3" xr:uid="{181E31C3-48BA-4858-BBEB-B2F150122F77}"/>
    <cellStyle name="Moneda 3 2" xfId="5" xr:uid="{298F460C-423F-4793-BAB2-FEC772132920}"/>
    <cellStyle name="Moneda 3 2 2" xfId="18" xr:uid="{5658BFF4-AF7F-46D9-BECE-A2E05CD19195}"/>
    <cellStyle name="Moneda 3 2 3" xfId="27" xr:uid="{B74DEFBE-8E2E-4D96-97FF-B3CF62F7A3F7}"/>
    <cellStyle name="Moneda 3 2 4" xfId="34" xr:uid="{91B5DBA1-83B8-4398-A046-F1F82782AE9C}"/>
    <cellStyle name="Moneda 3 2 5" xfId="11" xr:uid="{1B283CE0-260E-4FC1-B1D6-E6CB1E056B52}"/>
    <cellStyle name="Moneda 3 3" xfId="15" xr:uid="{16166E8B-750A-4BDB-A464-791278440983}"/>
    <cellStyle name="Moneda 3 4" xfId="24" xr:uid="{BE65512D-4D94-434B-8EF8-9B78550EB5F6}"/>
    <cellStyle name="Moneda 3 5" xfId="30" xr:uid="{6BEC8A44-6641-4A1E-9C0B-FCE880284A17}"/>
    <cellStyle name="Moneda 3 6" xfId="8" xr:uid="{73CDDC5B-D19A-44E5-A0EA-8FB8C4CEC971}"/>
    <cellStyle name="Moneda 4" xfId="4" xr:uid="{13C34EB3-EBB7-429F-B2A9-413853DF5706}"/>
    <cellStyle name="Moneda 4 2" xfId="17" xr:uid="{C8F726CF-BD61-4924-867C-D4F31999104F}"/>
    <cellStyle name="Moneda 4 3" xfId="26" xr:uid="{4E900FD8-1527-4F63-89F2-7D6E32739E2F}"/>
    <cellStyle name="Moneda 4 4" xfId="32" xr:uid="{50150375-2E42-40B2-8A9C-24A237AA114D}"/>
    <cellStyle name="Moneda 4 5" xfId="10" xr:uid="{746DBB0B-4B8C-4352-AA25-0600F2B7B2DE}"/>
    <cellStyle name="Moneda 5" xfId="13" xr:uid="{243258A2-691B-431F-96D2-BB79AEC25524}"/>
    <cellStyle name="Moneda 5 2" xfId="20" xr:uid="{A607F7AA-7862-4326-85A7-BEA1FC2597E3}"/>
    <cellStyle name="Moneda 5 3" xfId="33" xr:uid="{E845AAA8-D4AA-42CD-A3BD-E2ABEA09900F}"/>
    <cellStyle name="Moneda 6" xfId="14" xr:uid="{D46FF3B0-83FB-4E8E-A45C-50A51669C59A}"/>
    <cellStyle name="Moneda 7" xfId="21" xr:uid="{A2A61E56-E850-4745-A296-0B6E31BA4224}"/>
    <cellStyle name="Moneda 8" xfId="23" xr:uid="{48CBC3A0-0320-4722-AE08-DC4738C010FB}"/>
    <cellStyle name="Moneda 9" xfId="29" xr:uid="{B1D90C3F-5A99-4935-8634-FE7F74CE86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0</xdr:row>
      <xdr:rowOff>123825</xdr:rowOff>
    </xdr:from>
    <xdr:to>
      <xdr:col>5</xdr:col>
      <xdr:colOff>590550</xdr:colOff>
      <xdr:row>5</xdr:row>
      <xdr:rowOff>38100</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5600700" y="123825"/>
          <a:ext cx="1657350" cy="866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15"/>
      <c r="B1" s="15"/>
      <c r="C1" s="15"/>
      <c r="D1" s="15"/>
      <c r="E1" s="15"/>
    </row>
    <row r="2" spans="1:8" x14ac:dyDescent="0.25">
      <c r="A2" s="42" t="s">
        <v>39</v>
      </c>
      <c r="B2" s="42"/>
      <c r="C2" s="42"/>
      <c r="D2" s="42"/>
      <c r="E2" s="42"/>
      <c r="F2" s="6"/>
    </row>
    <row r="3" spans="1:8" x14ac:dyDescent="0.25">
      <c r="A3" s="22" t="s">
        <v>44</v>
      </c>
      <c r="B3" s="22"/>
      <c r="C3" s="15"/>
      <c r="D3" s="15"/>
      <c r="E3" s="15"/>
    </row>
    <row r="4" spans="1:8" x14ac:dyDescent="0.25">
      <c r="A4" s="22" t="s">
        <v>0</v>
      </c>
      <c r="B4" s="22"/>
      <c r="C4" s="15"/>
      <c r="D4" s="15"/>
      <c r="E4" s="15"/>
    </row>
    <row r="5" spans="1:8" x14ac:dyDescent="0.25">
      <c r="A5" s="22" t="s">
        <v>1</v>
      </c>
      <c r="B5" s="22"/>
      <c r="C5" s="15"/>
      <c r="D5" s="15"/>
      <c r="E5" s="15"/>
    </row>
    <row r="6" spans="1:8" x14ac:dyDescent="0.25">
      <c r="A6" s="41" t="s">
        <v>42</v>
      </c>
      <c r="B6" s="41"/>
      <c r="C6" s="41"/>
      <c r="D6" s="41"/>
      <c r="E6" s="41"/>
      <c r="F6" s="1"/>
      <c r="G6" s="1"/>
      <c r="H6" s="1"/>
    </row>
    <row r="7" spans="1:8" x14ac:dyDescent="0.25">
      <c r="A7" s="23"/>
      <c r="B7" s="23"/>
      <c r="C7" s="15"/>
      <c r="D7" s="15"/>
      <c r="E7" s="15"/>
    </row>
    <row r="8" spans="1:8" x14ac:dyDescent="0.25">
      <c r="A8" s="23"/>
      <c r="B8" s="23"/>
      <c r="C8" s="15"/>
      <c r="D8" s="15"/>
      <c r="E8" s="15"/>
    </row>
    <row r="9" spans="1:8" x14ac:dyDescent="0.25">
      <c r="A9" s="38" t="s">
        <v>33</v>
      </c>
      <c r="B9" s="38"/>
      <c r="C9" s="38"/>
      <c r="D9" s="38"/>
      <c r="E9" s="38"/>
    </row>
    <row r="10" spans="1:8" x14ac:dyDescent="0.25">
      <c r="A10" s="24" t="s">
        <v>46</v>
      </c>
      <c r="B10" s="24"/>
      <c r="C10" s="16"/>
      <c r="D10" s="16"/>
      <c r="E10" s="16"/>
    </row>
    <row r="11" spans="1:8" x14ac:dyDescent="0.25">
      <c r="A11" s="25" t="s">
        <v>2</v>
      </c>
      <c r="B11" s="25"/>
      <c r="C11" s="16"/>
      <c r="D11" s="16"/>
      <c r="E11" s="16"/>
    </row>
    <row r="12" spans="1:8" ht="30" customHeight="1" x14ac:dyDescent="0.25">
      <c r="A12" s="40" t="s">
        <v>35</v>
      </c>
      <c r="B12" s="40"/>
      <c r="C12" s="40"/>
      <c r="D12" s="40"/>
      <c r="E12" s="40"/>
      <c r="F12" s="3"/>
      <c r="G12" s="3"/>
      <c r="H12" s="3"/>
    </row>
    <row r="13" spans="1:8" ht="21.75" customHeight="1" x14ac:dyDescent="0.25">
      <c r="A13" s="24" t="s">
        <v>21</v>
      </c>
      <c r="B13" s="24" t="s">
        <v>30</v>
      </c>
      <c r="C13" s="24" t="s">
        <v>19</v>
      </c>
      <c r="D13" s="24" t="s">
        <v>36</v>
      </c>
      <c r="E13" s="24" t="s">
        <v>20</v>
      </c>
      <c r="F13" s="2"/>
      <c r="G13" s="2"/>
      <c r="H13" s="2"/>
    </row>
    <row r="14" spans="1:8" ht="204" customHeight="1" x14ac:dyDescent="0.25">
      <c r="A14" s="26" t="s">
        <v>37</v>
      </c>
      <c r="B14" s="17" t="s">
        <v>22</v>
      </c>
      <c r="C14" s="27">
        <v>300</v>
      </c>
      <c r="D14" s="28">
        <v>204.98</v>
      </c>
      <c r="E14" s="28">
        <f>C14*D14</f>
        <v>61494</v>
      </c>
      <c r="F14" s="4"/>
    </row>
    <row r="15" spans="1:8" x14ac:dyDescent="0.25">
      <c r="A15" s="29"/>
      <c r="B15" s="29"/>
      <c r="C15" s="30" t="s">
        <v>32</v>
      </c>
      <c r="D15" s="28"/>
      <c r="E15" s="28"/>
      <c r="F15" s="7"/>
    </row>
    <row r="16" spans="1:8" x14ac:dyDescent="0.25">
      <c r="A16" s="29"/>
      <c r="B16" s="29"/>
      <c r="C16" s="16"/>
      <c r="D16" s="29" t="s">
        <v>3</v>
      </c>
      <c r="E16" s="31">
        <f>SUM(E14:E15)</f>
        <v>61494</v>
      </c>
      <c r="F16" s="4"/>
      <c r="G16" s="8"/>
    </row>
    <row r="17" spans="1:7" x14ac:dyDescent="0.25">
      <c r="A17" s="29"/>
      <c r="B17" s="29"/>
      <c r="C17" s="29"/>
      <c r="D17" s="29" t="s">
        <v>4</v>
      </c>
      <c r="E17" s="31">
        <f>E16*16%</f>
        <v>9839.0400000000009</v>
      </c>
      <c r="F17" s="8"/>
      <c r="G17" s="8"/>
    </row>
    <row r="18" spans="1:7" ht="12" customHeight="1" x14ac:dyDescent="0.25">
      <c r="A18" s="29"/>
      <c r="B18" s="29"/>
      <c r="C18" s="21"/>
      <c r="D18" s="29" t="s">
        <v>5</v>
      </c>
      <c r="E18" s="31">
        <f>SUM(E16:E17)</f>
        <v>71333.040000000008</v>
      </c>
      <c r="F18" s="4"/>
      <c r="G18" s="8"/>
    </row>
    <row r="19" spans="1:7" ht="12" customHeight="1" x14ac:dyDescent="0.25">
      <c r="A19" s="29"/>
      <c r="B19" s="29"/>
      <c r="C19" s="21"/>
      <c r="D19" s="29"/>
      <c r="E19" s="31"/>
      <c r="F19" s="4"/>
      <c r="G19" s="8"/>
    </row>
    <row r="20" spans="1:7" ht="12" customHeight="1" x14ac:dyDescent="0.25">
      <c r="A20" s="29"/>
      <c r="B20" s="29"/>
      <c r="C20" s="21"/>
      <c r="D20" s="29"/>
      <c r="E20" s="31"/>
      <c r="F20" s="4"/>
      <c r="G20" s="8"/>
    </row>
    <row r="21" spans="1:7" x14ac:dyDescent="0.25">
      <c r="A21" s="38" t="s">
        <v>33</v>
      </c>
      <c r="B21" s="38"/>
      <c r="C21" s="38"/>
      <c r="D21" s="38"/>
      <c r="E21" s="38"/>
      <c r="F21" s="4"/>
    </row>
    <row r="22" spans="1:7" x14ac:dyDescent="0.25">
      <c r="A22" s="43" t="s">
        <v>43</v>
      </c>
      <c r="B22" s="43"/>
      <c r="C22" s="43"/>
      <c r="D22" s="43"/>
      <c r="E22" s="43"/>
    </row>
    <row r="23" spans="1:7" ht="27" customHeight="1" x14ac:dyDescent="0.25">
      <c r="A23" s="39" t="s">
        <v>40</v>
      </c>
      <c r="B23" s="39"/>
      <c r="C23" s="39"/>
      <c r="D23" s="39"/>
      <c r="E23" s="39"/>
    </row>
    <row r="24" spans="1:7" x14ac:dyDescent="0.25">
      <c r="A24" s="46" t="s">
        <v>6</v>
      </c>
      <c r="B24" s="46"/>
      <c r="C24" s="46"/>
      <c r="D24" s="46"/>
      <c r="E24" s="46"/>
    </row>
    <row r="25" spans="1:7" ht="57.75" customHeight="1" x14ac:dyDescent="0.25">
      <c r="A25" s="45" t="s">
        <v>38</v>
      </c>
      <c r="B25" s="45"/>
      <c r="C25" s="45"/>
      <c r="D25" s="45"/>
      <c r="E25" s="45"/>
      <c r="F25" s="4"/>
    </row>
    <row r="26" spans="1:7" x14ac:dyDescent="0.25">
      <c r="A26" s="46" t="s">
        <v>7</v>
      </c>
      <c r="B26" s="46"/>
      <c r="C26" s="46"/>
      <c r="D26" s="46"/>
      <c r="E26" s="46"/>
    </row>
    <row r="27" spans="1:7" ht="33.75" customHeight="1" x14ac:dyDescent="0.25">
      <c r="A27" s="45" t="s">
        <v>8</v>
      </c>
      <c r="B27" s="45"/>
      <c r="C27" s="45"/>
      <c r="D27" s="45"/>
      <c r="E27" s="45"/>
    </row>
    <row r="28" spans="1:7" ht="43.5" customHeight="1" x14ac:dyDescent="0.25">
      <c r="A28" s="47" t="s">
        <v>9</v>
      </c>
      <c r="B28" s="47"/>
      <c r="C28" s="47"/>
      <c r="D28" s="47"/>
      <c r="E28" s="47"/>
    </row>
    <row r="29" spans="1:7" ht="49.5" customHeight="1" x14ac:dyDescent="0.25">
      <c r="A29" s="47" t="s">
        <v>10</v>
      </c>
      <c r="B29" s="47"/>
      <c r="C29" s="47"/>
      <c r="D29" s="47"/>
      <c r="E29" s="47"/>
    </row>
    <row r="30" spans="1:7" ht="21" customHeight="1" x14ac:dyDescent="0.25">
      <c r="A30" s="47" t="s">
        <v>11</v>
      </c>
      <c r="B30" s="47"/>
      <c r="C30" s="47"/>
      <c r="D30" s="47"/>
      <c r="E30" s="47"/>
    </row>
    <row r="31" spans="1:7" ht="77.25" customHeight="1" x14ac:dyDescent="0.25">
      <c r="A31" s="45" t="s">
        <v>12</v>
      </c>
      <c r="B31" s="45"/>
      <c r="C31" s="45"/>
      <c r="D31" s="45"/>
      <c r="E31" s="45"/>
    </row>
    <row r="32" spans="1:7" ht="19.5" customHeight="1" x14ac:dyDescent="0.25">
      <c r="A32" s="45" t="s">
        <v>13</v>
      </c>
      <c r="B32" s="45"/>
      <c r="C32" s="45"/>
      <c r="D32" s="45"/>
      <c r="E32" s="45"/>
    </row>
    <row r="33" spans="1:5" ht="49.5" customHeight="1" x14ac:dyDescent="0.25">
      <c r="A33" s="45" t="s">
        <v>14</v>
      </c>
      <c r="B33" s="45"/>
      <c r="C33" s="45"/>
      <c r="D33" s="45"/>
      <c r="E33" s="45"/>
    </row>
    <row r="34" spans="1:5" ht="24" customHeight="1" x14ac:dyDescent="0.25">
      <c r="A34" s="48" t="s">
        <v>15</v>
      </c>
      <c r="B34" s="48"/>
      <c r="C34" s="48"/>
      <c r="D34" s="48"/>
      <c r="E34" s="48"/>
    </row>
    <row r="35" spans="1:5" ht="67.5" customHeight="1" x14ac:dyDescent="0.25">
      <c r="A35" s="47" t="s">
        <v>16</v>
      </c>
      <c r="B35" s="47"/>
      <c r="C35" s="47"/>
      <c r="D35" s="47"/>
      <c r="E35" s="47"/>
    </row>
    <row r="36" spans="1:5" ht="15" customHeight="1" x14ac:dyDescent="0.25">
      <c r="A36" s="45" t="s">
        <v>17</v>
      </c>
      <c r="B36" s="45"/>
      <c r="C36" s="45"/>
      <c r="D36" s="45"/>
      <c r="E36" s="45"/>
    </row>
    <row r="37" spans="1:5" x14ac:dyDescent="0.25">
      <c r="A37" s="25" t="s">
        <v>18</v>
      </c>
      <c r="B37" s="25"/>
      <c r="C37" s="16"/>
      <c r="D37" s="16"/>
      <c r="E37" s="16"/>
    </row>
    <row r="38" spans="1:5" x14ac:dyDescent="0.25">
      <c r="A38" s="32" t="s">
        <v>23</v>
      </c>
      <c r="B38" s="32"/>
      <c r="C38" s="44" t="s">
        <v>31</v>
      </c>
      <c r="D38" s="44"/>
      <c r="E38" s="44"/>
    </row>
    <row r="39" spans="1:5" x14ac:dyDescent="0.25">
      <c r="A39" s="25"/>
      <c r="B39" s="25"/>
      <c r="C39" s="16"/>
      <c r="D39" s="16"/>
      <c r="E39" s="16"/>
    </row>
    <row r="40" spans="1:5" x14ac:dyDescent="0.25">
      <c r="A40" s="25"/>
      <c r="B40" s="25"/>
      <c r="C40" s="16"/>
      <c r="D40" s="16"/>
      <c r="E40" s="16"/>
    </row>
    <row r="41" spans="1:5" x14ac:dyDescent="0.25">
      <c r="A41" s="33" t="s">
        <v>41</v>
      </c>
      <c r="B41" s="33"/>
      <c r="C41" s="16"/>
      <c r="D41" s="16"/>
      <c r="E41" s="16"/>
    </row>
    <row r="42" spans="1:5" x14ac:dyDescent="0.25">
      <c r="A42" s="34" t="s">
        <v>45</v>
      </c>
      <c r="B42" s="35"/>
      <c r="C42" s="15" t="s">
        <v>34</v>
      </c>
      <c r="D42" s="15"/>
      <c r="E42" s="15"/>
    </row>
    <row r="43" spans="1:5" x14ac:dyDescent="0.25">
      <c r="A43" s="18"/>
      <c r="B43" s="19"/>
      <c r="C43" s="15"/>
      <c r="D43" s="15"/>
      <c r="E43" s="15"/>
    </row>
    <row r="44" spans="1:5" x14ac:dyDescent="0.25">
      <c r="A44" s="19"/>
      <c r="B44" s="19"/>
      <c r="C44" s="16"/>
      <c r="D44" s="16"/>
      <c r="E44" s="16"/>
    </row>
    <row r="45" spans="1:5" x14ac:dyDescent="0.25">
      <c r="A45" s="20"/>
      <c r="B45" s="20"/>
      <c r="C45" s="16"/>
      <c r="D45" s="16"/>
      <c r="E45" s="16"/>
    </row>
    <row r="46" spans="1:5" x14ac:dyDescent="0.25">
      <c r="A46" s="5"/>
      <c r="B46" s="5"/>
      <c r="C46" s="16"/>
      <c r="D46" s="16"/>
      <c r="E46" s="16"/>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8"/>
  <sheetViews>
    <sheetView tabSelected="1" topLeftCell="A43" zoomScaleNormal="100" zoomScalePageLayoutView="50" workbookViewId="0">
      <selection activeCell="B54" sqref="B54"/>
    </sheetView>
  </sheetViews>
  <sheetFormatPr baseColWidth="10" defaultRowHeight="15" x14ac:dyDescent="0.25"/>
  <cols>
    <col min="1" max="1" width="5.85546875" style="11" customWidth="1"/>
    <col min="2" max="2" width="54.85546875" customWidth="1"/>
    <col min="3" max="6" width="16.28515625" customWidth="1"/>
  </cols>
  <sheetData>
    <row r="4" spans="2:6" x14ac:dyDescent="0.25">
      <c r="B4" s="13"/>
      <c r="C4" s="13"/>
      <c r="D4" s="13"/>
      <c r="E4" s="13"/>
      <c r="F4" s="13"/>
    </row>
    <row r="5" spans="2:6" x14ac:dyDescent="0.25">
      <c r="B5" s="13"/>
      <c r="C5" s="13"/>
      <c r="D5" s="13"/>
      <c r="E5" s="13"/>
      <c r="F5" s="13"/>
    </row>
    <row r="6" spans="2:6" x14ac:dyDescent="0.25">
      <c r="B6" s="13"/>
      <c r="C6" s="13"/>
      <c r="D6" s="13"/>
      <c r="E6" s="13"/>
      <c r="F6" s="13"/>
    </row>
    <row r="7" spans="2:6" x14ac:dyDescent="0.25">
      <c r="B7" s="13"/>
      <c r="C7" s="13"/>
      <c r="D7" s="13"/>
      <c r="E7" s="13"/>
      <c r="F7" s="13"/>
    </row>
    <row r="8" spans="2:6" x14ac:dyDescent="0.25">
      <c r="B8" s="13"/>
      <c r="C8" s="13"/>
      <c r="D8" s="13"/>
      <c r="E8" s="13"/>
      <c r="F8" s="13"/>
    </row>
    <row r="9" spans="2:6" x14ac:dyDescent="0.25">
      <c r="B9" s="13"/>
      <c r="C9" s="13"/>
      <c r="D9" s="13"/>
      <c r="E9" s="13"/>
      <c r="F9" s="13"/>
    </row>
    <row r="10" spans="2:6" x14ac:dyDescent="0.25">
      <c r="B10" s="49" t="s">
        <v>50</v>
      </c>
      <c r="C10" s="49"/>
      <c r="D10" s="49"/>
      <c r="E10" s="49"/>
      <c r="F10" s="49"/>
    </row>
    <row r="11" spans="2:6" x14ac:dyDescent="0.25">
      <c r="B11" s="50"/>
      <c r="C11" s="50"/>
      <c r="D11" s="50"/>
      <c r="E11" s="50"/>
      <c r="F11" s="50"/>
    </row>
    <row r="12" spans="2:6" x14ac:dyDescent="0.25">
      <c r="B12" s="50"/>
      <c r="C12" s="50"/>
      <c r="D12" s="50"/>
      <c r="E12" s="50"/>
      <c r="F12" s="50"/>
    </row>
    <row r="13" spans="2:6" x14ac:dyDescent="0.25">
      <c r="B13" s="51" t="s">
        <v>48</v>
      </c>
      <c r="C13" s="51"/>
      <c r="D13" s="52"/>
      <c r="E13" s="52"/>
      <c r="F13" s="52"/>
    </row>
    <row r="14" spans="2:6" x14ac:dyDescent="0.25">
      <c r="B14" s="51" t="s">
        <v>0</v>
      </c>
      <c r="C14" s="51"/>
      <c r="D14" s="52"/>
      <c r="E14" s="52"/>
      <c r="F14" s="52"/>
    </row>
    <row r="15" spans="2:6" x14ac:dyDescent="0.25">
      <c r="B15" s="51"/>
      <c r="C15" s="51"/>
      <c r="D15" s="52"/>
      <c r="E15" s="52"/>
      <c r="F15" s="52"/>
    </row>
    <row r="16" spans="2:6" x14ac:dyDescent="0.25">
      <c r="B16" s="53" t="s">
        <v>51</v>
      </c>
      <c r="C16" s="53"/>
      <c r="D16" s="53"/>
      <c r="E16" s="53"/>
      <c r="F16" s="53"/>
    </row>
    <row r="17" spans="2:6" x14ac:dyDescent="0.25">
      <c r="B17" s="54"/>
      <c r="C17" s="54"/>
      <c r="D17" s="54"/>
      <c r="E17" s="54"/>
      <c r="F17" s="54"/>
    </row>
    <row r="18" spans="2:6" x14ac:dyDescent="0.25">
      <c r="B18" s="55"/>
      <c r="C18" s="55"/>
      <c r="D18" s="55"/>
      <c r="E18" s="55"/>
      <c r="F18" s="55"/>
    </row>
    <row r="19" spans="2:6" x14ac:dyDescent="0.25">
      <c r="B19" s="56" t="s">
        <v>52</v>
      </c>
      <c r="C19" s="56"/>
      <c r="D19" s="56"/>
      <c r="E19" s="56"/>
      <c r="F19" s="56"/>
    </row>
    <row r="20" spans="2:6" ht="12.75" customHeight="1" x14ac:dyDescent="0.25">
      <c r="B20" s="57" t="s">
        <v>53</v>
      </c>
      <c r="C20" s="57"/>
      <c r="D20" s="58"/>
      <c r="E20" s="58"/>
      <c r="F20" s="58"/>
    </row>
    <row r="21" spans="2:6" ht="12.75" customHeight="1" x14ac:dyDescent="0.25">
      <c r="B21" s="57"/>
      <c r="C21" s="57"/>
      <c r="D21" s="58"/>
      <c r="E21" s="58"/>
      <c r="F21" s="58"/>
    </row>
    <row r="22" spans="2:6" ht="13.5" customHeight="1" x14ac:dyDescent="0.25">
      <c r="B22" s="59" t="s">
        <v>2</v>
      </c>
      <c r="C22" s="59"/>
      <c r="D22" s="58"/>
      <c r="E22" s="58"/>
      <c r="F22" s="58"/>
    </row>
    <row r="23" spans="2:6" ht="21.75" customHeight="1" x14ac:dyDescent="0.25">
      <c r="B23" s="60" t="s">
        <v>54</v>
      </c>
      <c r="C23" s="60"/>
      <c r="D23" s="60"/>
      <c r="E23" s="60"/>
      <c r="F23" s="60"/>
    </row>
    <row r="24" spans="2:6" ht="21.75" customHeight="1" x14ac:dyDescent="0.25">
      <c r="B24" s="61"/>
      <c r="C24" s="61"/>
      <c r="D24" s="61"/>
      <c r="E24" s="61"/>
      <c r="F24" s="61"/>
    </row>
    <row r="25" spans="2:6" x14ac:dyDescent="0.25">
      <c r="B25" s="57" t="s">
        <v>21</v>
      </c>
      <c r="C25" s="57"/>
      <c r="D25" s="56" t="s">
        <v>19</v>
      </c>
      <c r="E25" s="56" t="s">
        <v>60</v>
      </c>
      <c r="F25" s="54" t="s">
        <v>20</v>
      </c>
    </row>
    <row r="26" spans="2:6" x14ac:dyDescent="0.25">
      <c r="B26" s="57"/>
      <c r="C26" s="57"/>
      <c r="D26" s="56"/>
      <c r="E26" s="56"/>
      <c r="F26" s="54"/>
    </row>
    <row r="27" spans="2:6" x14ac:dyDescent="0.25">
      <c r="B27" s="62" t="s">
        <v>56</v>
      </c>
      <c r="C27" s="59" t="s">
        <v>47</v>
      </c>
      <c r="D27" s="63">
        <v>18</v>
      </c>
      <c r="E27" s="64">
        <v>9255.17</v>
      </c>
      <c r="F27" s="64">
        <v>222124.08000000002</v>
      </c>
    </row>
    <row r="28" spans="2:6" x14ac:dyDescent="0.25">
      <c r="B28" s="65" t="s">
        <v>57</v>
      </c>
      <c r="C28" s="59" t="s">
        <v>47</v>
      </c>
      <c r="D28" s="66">
        <v>80</v>
      </c>
      <c r="E28" s="64">
        <v>13065.8</v>
      </c>
      <c r="F28" s="64">
        <f>D28*E28</f>
        <v>1045264</v>
      </c>
    </row>
    <row r="29" spans="2:6" x14ac:dyDescent="0.25">
      <c r="B29" s="67" t="s">
        <v>58</v>
      </c>
      <c r="C29" s="59" t="s">
        <v>47</v>
      </c>
      <c r="D29" s="66">
        <v>94</v>
      </c>
      <c r="E29" s="68">
        <v>39595.99</v>
      </c>
      <c r="F29" s="64">
        <f>E29*D29</f>
        <v>3722023.0599999996</v>
      </c>
    </row>
    <row r="30" spans="2:6" x14ac:dyDescent="0.25">
      <c r="B30" s="67"/>
      <c r="C30" s="59"/>
      <c r="D30" s="66"/>
      <c r="E30" s="68"/>
      <c r="F30" s="64"/>
    </row>
    <row r="31" spans="2:6" x14ac:dyDescent="0.25">
      <c r="B31" s="67"/>
      <c r="C31" s="59"/>
      <c r="D31" s="66"/>
      <c r="E31" s="68"/>
      <c r="F31" s="64"/>
    </row>
    <row r="32" spans="2:6" x14ac:dyDescent="0.25">
      <c r="B32" s="69"/>
      <c r="C32" s="69"/>
      <c r="D32" s="70"/>
      <c r="E32" s="71"/>
      <c r="F32" s="72"/>
    </row>
    <row r="33" spans="2:6" x14ac:dyDescent="0.25">
      <c r="B33" s="73"/>
      <c r="C33" s="73"/>
      <c r="D33" s="70"/>
      <c r="E33" s="73" t="s">
        <v>3</v>
      </c>
      <c r="F33" s="74">
        <f>SUM(F27:F32)</f>
        <v>4989411.1399999997</v>
      </c>
    </row>
    <row r="34" spans="2:6" x14ac:dyDescent="0.25">
      <c r="B34" s="73"/>
      <c r="C34" s="73"/>
      <c r="D34" s="70"/>
      <c r="E34" s="73" t="s">
        <v>59</v>
      </c>
      <c r="F34" s="74">
        <v>349258.77</v>
      </c>
    </row>
    <row r="35" spans="2:6" x14ac:dyDescent="0.25">
      <c r="B35" s="73"/>
      <c r="C35" s="73"/>
      <c r="D35" s="70"/>
      <c r="E35" s="73" t="s">
        <v>55</v>
      </c>
      <c r="F35" s="74">
        <f>F33-F34</f>
        <v>4640152.3699999992</v>
      </c>
    </row>
    <row r="36" spans="2:6" x14ac:dyDescent="0.25">
      <c r="B36" s="73"/>
      <c r="C36" s="73"/>
      <c r="D36" s="58"/>
      <c r="E36" s="73" t="s">
        <v>4</v>
      </c>
      <c r="F36" s="84">
        <f>F35*16%</f>
        <v>742424.37919999985</v>
      </c>
    </row>
    <row r="37" spans="2:6" x14ac:dyDescent="0.25">
      <c r="B37" s="73"/>
      <c r="C37" s="73"/>
      <c r="D37" s="73"/>
      <c r="E37" s="73" t="s">
        <v>5</v>
      </c>
      <c r="F37" s="74">
        <f>F35+F36</f>
        <v>5382576.7491999995</v>
      </c>
    </row>
    <row r="38" spans="2:6" x14ac:dyDescent="0.25">
      <c r="B38" s="73"/>
      <c r="C38" s="73"/>
      <c r="D38" s="76"/>
      <c r="E38" s="73"/>
      <c r="F38" s="75"/>
    </row>
    <row r="39" spans="2:6" x14ac:dyDescent="0.25">
      <c r="B39" s="73"/>
      <c r="C39" s="73"/>
      <c r="D39" s="76"/>
      <c r="E39" s="73"/>
      <c r="F39" s="75"/>
    </row>
    <row r="40" spans="2:6" ht="22.5" customHeight="1" x14ac:dyDescent="0.25">
      <c r="B40" s="85" t="s">
        <v>24</v>
      </c>
      <c r="C40" s="86"/>
      <c r="D40" s="86"/>
      <c r="E40" s="86"/>
      <c r="F40" s="86"/>
    </row>
    <row r="41" spans="2:6" ht="28.5" customHeight="1" x14ac:dyDescent="0.25">
      <c r="B41" s="60" t="s">
        <v>26</v>
      </c>
      <c r="C41" s="60"/>
      <c r="D41" s="60"/>
      <c r="E41" s="60"/>
      <c r="F41" s="60"/>
    </row>
    <row r="42" spans="2:6" ht="17.25" customHeight="1" x14ac:dyDescent="0.25">
      <c r="B42" s="60" t="s">
        <v>61</v>
      </c>
      <c r="C42" s="60"/>
      <c r="D42" s="60"/>
      <c r="E42" s="60"/>
      <c r="F42" s="60"/>
    </row>
    <row r="43" spans="2:6" ht="15" customHeight="1" x14ac:dyDescent="0.25">
      <c r="B43" s="60" t="s">
        <v>27</v>
      </c>
      <c r="C43" s="60"/>
      <c r="D43" s="60"/>
      <c r="E43" s="60"/>
      <c r="F43" s="60"/>
    </row>
    <row r="44" spans="2:6" ht="18" customHeight="1" x14ac:dyDescent="0.25">
      <c r="B44" s="60" t="s">
        <v>28</v>
      </c>
      <c r="C44" s="60"/>
      <c r="D44" s="60"/>
      <c r="E44" s="60"/>
      <c r="F44" s="60"/>
    </row>
    <row r="45" spans="2:6" ht="75" customHeight="1" x14ac:dyDescent="0.25">
      <c r="B45" s="60" t="s">
        <v>62</v>
      </c>
      <c r="C45" s="60"/>
      <c r="D45" s="60"/>
      <c r="E45" s="60"/>
      <c r="F45" s="60"/>
    </row>
    <row r="46" spans="2:6" ht="20.25" customHeight="1" x14ac:dyDescent="0.25">
      <c r="B46" s="61"/>
      <c r="C46" s="61"/>
      <c r="D46" s="61"/>
      <c r="E46" s="61"/>
      <c r="F46" s="61"/>
    </row>
    <row r="47" spans="2:6" ht="20.25" customHeight="1" x14ac:dyDescent="0.25">
      <c r="B47" s="61"/>
      <c r="C47" s="61"/>
      <c r="D47" s="61"/>
      <c r="E47" s="61"/>
      <c r="F47" s="61"/>
    </row>
    <row r="48" spans="2:6" ht="20.25" customHeight="1" x14ac:dyDescent="0.25">
      <c r="B48" s="61"/>
      <c r="C48" s="61"/>
      <c r="D48" s="61"/>
      <c r="E48" s="61"/>
      <c r="F48" s="61"/>
    </row>
    <row r="49" spans="2:15" ht="20.25" customHeight="1" x14ac:dyDescent="0.25">
      <c r="B49" s="61"/>
      <c r="C49" s="61"/>
      <c r="D49" s="61"/>
      <c r="E49" s="61"/>
      <c r="F49" s="61"/>
    </row>
    <row r="50" spans="2:15" x14ac:dyDescent="0.25">
      <c r="B50" s="52"/>
      <c r="C50" s="52"/>
      <c r="D50" s="52"/>
      <c r="E50" s="52"/>
      <c r="F50" s="52"/>
      <c r="H50" s="10"/>
    </row>
    <row r="51" spans="2:15" x14ac:dyDescent="0.25">
      <c r="B51" s="77" t="s">
        <v>29</v>
      </c>
      <c r="C51" s="77"/>
      <c r="D51" s="78" t="s">
        <v>63</v>
      </c>
      <c r="E51" s="78"/>
      <c r="F51" s="78"/>
    </row>
    <row r="52" spans="2:15" x14ac:dyDescent="0.25">
      <c r="B52" s="59"/>
      <c r="C52" s="59"/>
      <c r="D52" s="58"/>
      <c r="E52" s="58"/>
      <c r="F52" s="58"/>
    </row>
    <row r="53" spans="2:15" x14ac:dyDescent="0.25">
      <c r="B53" s="59"/>
      <c r="C53" s="59"/>
      <c r="D53" s="58"/>
      <c r="E53" s="58"/>
      <c r="F53" s="58"/>
    </row>
    <row r="54" spans="2:15" x14ac:dyDescent="0.25">
      <c r="B54" s="79" t="s">
        <v>65</v>
      </c>
      <c r="C54" s="79"/>
      <c r="D54" s="58"/>
      <c r="E54" s="58"/>
      <c r="F54" s="58"/>
    </row>
    <row r="55" spans="2:15" x14ac:dyDescent="0.25">
      <c r="B55" s="80" t="s">
        <v>49</v>
      </c>
      <c r="C55" s="81" t="s">
        <v>64</v>
      </c>
      <c r="D55" s="82"/>
      <c r="E55" s="82"/>
      <c r="F55" s="82"/>
    </row>
    <row r="56" spans="2:15" x14ac:dyDescent="0.25">
      <c r="B56" s="83"/>
      <c r="C56" s="83"/>
      <c r="D56" s="58"/>
      <c r="E56" s="58"/>
      <c r="F56" s="58"/>
    </row>
    <row r="57" spans="2:15" x14ac:dyDescent="0.25">
      <c r="B57" s="9"/>
      <c r="C57" s="9"/>
      <c r="D57" s="14"/>
      <c r="E57" s="14"/>
      <c r="F57" s="14"/>
    </row>
    <row r="58" spans="2:15" x14ac:dyDescent="0.25">
      <c r="B58" s="9"/>
      <c r="C58" s="9"/>
      <c r="D58" s="14"/>
      <c r="E58" s="14"/>
      <c r="F58" s="14"/>
    </row>
    <row r="59" spans="2:15" x14ac:dyDescent="0.25">
      <c r="B59" s="9"/>
      <c r="C59" s="9"/>
      <c r="D59" s="14"/>
      <c r="E59" s="14"/>
      <c r="F59" s="14"/>
    </row>
    <row r="60" spans="2:15" x14ac:dyDescent="0.25">
      <c r="B60" s="9"/>
      <c r="C60" s="9"/>
      <c r="D60" s="14"/>
      <c r="E60" s="14"/>
      <c r="F60" s="14"/>
    </row>
    <row r="61" spans="2:15" x14ac:dyDescent="0.25">
      <c r="B61" s="36" t="s">
        <v>25</v>
      </c>
      <c r="C61" s="36"/>
      <c r="D61" s="37"/>
      <c r="E61" s="37"/>
      <c r="F61" s="37"/>
      <c r="G61" s="12"/>
      <c r="H61" s="12"/>
      <c r="I61" s="12"/>
      <c r="J61" s="12"/>
      <c r="K61" s="12"/>
      <c r="L61" s="12"/>
      <c r="M61" s="12"/>
      <c r="N61" s="12"/>
      <c r="O61" s="12"/>
    </row>
    <row r="62" spans="2:15" x14ac:dyDescent="0.25">
      <c r="B62" s="37"/>
      <c r="C62" s="37"/>
      <c r="D62" s="37"/>
      <c r="E62" s="37"/>
      <c r="F62" s="37"/>
      <c r="G62" s="12"/>
      <c r="H62" s="12"/>
      <c r="I62" s="12"/>
      <c r="J62" s="12"/>
      <c r="K62" s="12"/>
      <c r="L62" s="12"/>
      <c r="M62" s="12"/>
      <c r="N62" s="12"/>
      <c r="O62" s="12"/>
    </row>
    <row r="63" spans="2:15" x14ac:dyDescent="0.25">
      <c r="B63" s="37"/>
      <c r="C63" s="37"/>
      <c r="D63" s="37"/>
      <c r="E63" s="37"/>
      <c r="F63" s="37"/>
      <c r="G63" s="12"/>
      <c r="H63" s="12"/>
      <c r="I63" s="12"/>
      <c r="J63" s="12"/>
      <c r="K63" s="12"/>
      <c r="L63" s="12"/>
      <c r="M63" s="12"/>
      <c r="N63" s="12"/>
      <c r="O63" s="12"/>
    </row>
    <row r="64" spans="2:15" x14ac:dyDescent="0.25">
      <c r="B64" s="37"/>
      <c r="C64" s="37"/>
      <c r="D64" s="37"/>
      <c r="E64" s="37"/>
      <c r="F64" s="37"/>
      <c r="G64" s="12"/>
      <c r="H64" s="12"/>
      <c r="I64" s="12"/>
      <c r="J64" s="12"/>
      <c r="K64" s="12"/>
      <c r="L64" s="12"/>
      <c r="M64" s="12"/>
      <c r="N64" s="12"/>
      <c r="O64" s="12"/>
    </row>
    <row r="65" spans="2:15" x14ac:dyDescent="0.25">
      <c r="B65" s="12"/>
      <c r="C65" s="12"/>
      <c r="D65" s="12"/>
      <c r="E65" s="12"/>
      <c r="F65" s="12"/>
      <c r="G65" s="12"/>
      <c r="H65" s="12"/>
      <c r="I65" s="12"/>
      <c r="J65" s="12"/>
      <c r="K65" s="12"/>
      <c r="L65" s="12"/>
      <c r="M65" s="12"/>
      <c r="N65" s="12"/>
      <c r="O65" s="12"/>
    </row>
    <row r="66" spans="2:15" x14ac:dyDescent="0.25">
      <c r="B66" s="12"/>
      <c r="C66" s="12"/>
      <c r="D66" s="12"/>
      <c r="E66" s="12"/>
      <c r="F66" s="12"/>
      <c r="G66" s="12"/>
      <c r="H66" s="12"/>
      <c r="I66" s="12"/>
      <c r="J66" s="12"/>
      <c r="K66" s="12"/>
      <c r="L66" s="12"/>
      <c r="M66" s="12"/>
      <c r="N66" s="12"/>
      <c r="O66" s="12"/>
    </row>
    <row r="67" spans="2:15" x14ac:dyDescent="0.25">
      <c r="B67" s="12"/>
      <c r="C67" s="12"/>
      <c r="D67" s="12"/>
      <c r="E67" s="12"/>
      <c r="F67" s="12"/>
      <c r="G67" s="12"/>
      <c r="H67" s="12"/>
      <c r="I67" s="12"/>
      <c r="J67" s="12"/>
      <c r="K67" s="12"/>
      <c r="L67" s="12"/>
      <c r="M67" s="12"/>
      <c r="N67" s="12"/>
      <c r="O67" s="12"/>
    </row>
    <row r="68" spans="2:15" x14ac:dyDescent="0.25">
      <c r="B68" s="12"/>
      <c r="C68" s="12"/>
      <c r="D68" s="12"/>
      <c r="E68" s="12"/>
      <c r="F68" s="12"/>
      <c r="G68" s="12"/>
      <c r="H68" s="12"/>
      <c r="I68" s="12"/>
      <c r="J68" s="12"/>
      <c r="K68" s="12"/>
      <c r="L68" s="12"/>
      <c r="M68" s="12"/>
      <c r="N68" s="12"/>
      <c r="O68" s="12"/>
    </row>
  </sheetData>
  <mergeCells count="13">
    <mergeCell ref="B61:F64"/>
    <mergeCell ref="D51:F51"/>
    <mergeCell ref="B41:F41"/>
    <mergeCell ref="B42:F42"/>
    <mergeCell ref="B43:F43"/>
    <mergeCell ref="B44:F44"/>
    <mergeCell ref="C55:F55"/>
    <mergeCell ref="B10:F10"/>
    <mergeCell ref="B16:F16"/>
    <mergeCell ref="B18:F18"/>
    <mergeCell ref="B23:F23"/>
    <mergeCell ref="B45:F45"/>
    <mergeCell ref="B40:F40"/>
  </mergeCells>
  <pageMargins left="0.25" right="0.25" top="0.75" bottom="0.75" header="0.3" footer="0.3"/>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2026-03-10T23:16:14Z</cp:lastPrinted>
  <dcterms:created xsi:type="dcterms:W3CDTF">2020-12-14T19:54:01Z</dcterms:created>
  <dcterms:modified xsi:type="dcterms:W3CDTF">2026-03-10T23:16:22Z</dcterms:modified>
</cp:coreProperties>
</file>