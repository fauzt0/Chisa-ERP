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547DC65C-101E-4E44-8F9D-112372FFF44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3" l="1"/>
  <c r="F38" i="3"/>
  <c r="F37" i="3"/>
  <c r="F30" i="3"/>
  <c r="F31" i="3"/>
  <c r="F29" i="3"/>
  <c r="E17" i="1" l="1"/>
  <c r="E16" i="1"/>
  <c r="E19" i="1" l="1"/>
  <c r="E20" i="1" l="1"/>
  <c r="E21" i="1" s="1"/>
</calcChain>
</file>

<file path=xl/sharedStrings.xml><?xml version="1.0" encoding="utf-8"?>
<sst xmlns="http://schemas.openxmlformats.org/spreadsheetml/2006/main" count="72" uniqueCount="62">
  <si>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</si>
  <si>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</si>
  <si>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</si>
  <si>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</si>
  <si>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</si>
  <si>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</si>
  <si>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</si>
  <si>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</si>
  <si>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</si>
  <si>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</si>
  <si>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</si>
  <si>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</si>
  <si>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</si>
  <si>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</si>
  <si>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</si>
  <si>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</si>
  <si>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</si>
  <si>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</si>
  <si>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</si>
  <si>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</si>
  <si>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</si>
  <si>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</si>
  <si>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</si>
  <si>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</si>
  <si>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</si>
  <si>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</si>
  <si>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</si>
  <si>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</si>
  <si>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</si>
  <si>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</si>
  <si>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</si>
  <si>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</si>
  <si>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</si>
  <si>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</si>
  <si>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</si>
  <si>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</si>
  <si>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</si>
  <si>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</si>
  <si>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</si>
  <si>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</si>
  <si>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</si>
  <si>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</si>
  <si>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</si>
  <si>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</si>
  <si>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</si>
  <si>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</si>
  <si>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</si>
  <si>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RFC: CRE-880613-DY4</t>
  </si>
  <si>
    <t>CUBETAS</t>
  </si>
  <si>
    <t>PRES. REF. 16604-S/2026CG</t>
  </si>
  <si>
    <t>3.- CHISA PLUS REF. S.M.A (REND. 90M2)</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</si>
  <si>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</si>
  <si>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</si>
  <si>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 xml:space="preserve">  A T E N T A M E N T E</t>
  </si>
  <si>
    <t xml:space="preserve">          HAPA SOLUCIONES INTEGRALES EN RECUBRIMIENTOS</t>
  </si>
  <si>
    <t xml:space="preserve">                                                                                           _______________________________________________</t>
  </si>
  <si>
    <t xml:space="preserve">1.-CHISA VINIL REF. S.M.A (REND. 90M2) </t>
  </si>
  <si>
    <t>2.- PINTUFLEX REF. S.M.A (REND. 90M2)</t>
  </si>
  <si>
    <t>UNIDAD</t>
  </si>
  <si>
    <t>CIUDAD DE MEXICO A 22 DE JULIO DEL 2026</t>
  </si>
  <si>
    <t>CONSTRUCTORA: MAUVAN</t>
  </si>
  <si>
    <t>ATN: ING. RICARDO QUINTANA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</si>
</sst>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
      <b/>
      <u/>
      <sz val="10"/>
      <color theme="1"/>
      <name val="Times New Roman"/>
      <family val="1"/>
    </font>
  </fonts>
  <fills count="2">
    <fill>
      <patternFill patternType="none"/>
    </fill>
    <fill>
      <patternFill patternType="gray125"/>
    </fill>
  </fills>
  <borders count="1">
    <border>
      <left/>
      <right/>
      <top/>
      <bottom/>
      <diagonal/>
    </border>
  </borders>
  <cellStyleXfs count="19">
    <xf numFmtId="0" fontId="0"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cellStyleXfs>
  <cellXfs count="63">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1" fillId="0" borderId="0" xfId="0" applyFont="1" applyAlignment="1">
      <alignment horizontal="justify" vertical="justify" wrapText="1"/>
    </xf>
    <xf numFmtId="0" fontId="5" fillId="0" borderId="0" xfId="0" applyFont="1" applyAlignment="1">
      <alignment horizontal="justify" vertical="center" wrapText="1"/>
    </xf>
    <xf numFmtId="0" fontId="1" fillId="0" borderId="0" xfId="0" applyFont="1" applyAlignment="1">
      <alignment horizontal="center"/>
    </xf>
    <xf numFmtId="44" fontId="1" fillId="0" borderId="0" xfId="0" applyNumberFormat="1" applyFont="1" applyAlignment="1">
      <alignment horizontal="right" vertical="center"/>
    </xf>
    <xf numFmtId="0" fontId="2" fillId="0" borderId="0" xfId="0" applyFont="1" applyAlignment="1">
      <alignment horizontal="center" vertical="center"/>
    </xf>
    <xf numFmtId="0" fontId="11" fillId="0" borderId="0" xfId="0" applyFont="1" applyAlignment="1">
      <alignment horizontal="center"/>
    </xf>
    <xf numFmtId="44"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0" fillId="0" borderId="0" xfId="0" applyAlignment="1">
      <alignment horizontal="right" vertical="center"/>
    </xf>
  </cellXfs>
  <cellStyles count="19">
    <cellStyle name="Moneda" xfId="1" builtinId="4"/>
    <cellStyle name="Moneda 2" xfId="2" xr:uid="{F9BF1E17-30DC-4FC5-A0E7-D545E34C2A8D}"/>
    <cellStyle name="Moneda 2 2" xfId="8" xr:uid="{4821B204-3C93-4D4D-ADF2-5AF3A1DAF25A}"/>
    <cellStyle name="Moneda 2 2 2" xfId="15" xr:uid="{0147B34C-2CDD-4193-B1D8-1B811FCFECDD}"/>
    <cellStyle name="Moneda 2 3" xfId="12" xr:uid="{029C4C8F-0F98-4EC8-9BAE-BE7ADDB1587F}"/>
    <cellStyle name="Moneda 2 4" xfId="18" xr:uid="{A3E89D77-11D6-4022-A2D4-3EB05CA95D1D}"/>
    <cellStyle name="Moneda 2 5" xfId="5" xr:uid="{F6975D40-02B2-4069-9788-CB88AC3DA13F}"/>
    <cellStyle name="Moneda 3" xfId="4" xr:uid="{CBBDF81F-1F11-4B7D-98CF-5973670B70CF}"/>
    <cellStyle name="Moneda 3 2" xfId="7" xr:uid="{93B21E95-230E-465A-98F5-C12701FEC6F4}"/>
    <cellStyle name="Moneda 3 2 2" xfId="14" xr:uid="{2573D7B0-4DE5-4DFC-B0AB-4DF38B3AEDDA}"/>
    <cellStyle name="Moneda 3 3" xfId="11" xr:uid="{B80E1C77-D3A2-49AC-A873-A47E9DD82C82}"/>
    <cellStyle name="Moneda 4" xfId="6" xr:uid="{0AF88C0D-145E-4A1D-A518-B85749781EF6}"/>
    <cellStyle name="Moneda 4 2" xfId="13" xr:uid="{222090F9-98D2-42BB-A2B6-C239C22CDF15}"/>
    <cellStyle name="Moneda 5" xfId="9" xr:uid="{A46A1BC3-A213-450B-AC40-43130E3E9DE5}"/>
    <cellStyle name="Moneda 5 2" xfId="16" xr:uid="{CB6D4ACD-2B46-40ED-AEEA-DE14600EDC07}"/>
    <cellStyle name="Moneda 6" xfId="10" xr:uid="{CDC133C7-5CEB-47F6-8B92-ACDEED33F5CB}"/>
    <cellStyle name="Moneda 7" xfId="17" xr:uid="{E521CC09-21CB-4991-A926-E17772E3A01E}"/>
    <cellStyle name="Moneda 8" xfId="3" xr:uid="{02D096EA-AFE9-4270-AED6-0704EB6B66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589579</xdr:colOff>
      <xdr:row>0</xdr:row>
      <xdr:rowOff>123825</xdr:rowOff>
    </xdr:from>
    <xdr:to>
      <xdr:col>5</xdr:col>
      <xdr:colOff>1020553</xdr:colOff>
      <xdr:row>5</xdr:row>
      <xdr:rowOff>130174</xdr:rowOff>
    </xdr:to>
    <xdr:pic>
      <xdr:nvPicPr>
        <xdr:cNvPr id="4" name="Imagen 3">
          <a:extLst>
            <a:ext uri="{FF2B5EF4-FFF2-40B4-BE49-F238E27FC236}">
              <a16:creationId xmlns:a16="http://schemas.microsoft.com/office/drawing/2014/main" id="{B0B0E1FB-05FA-F4C7-48CF-0D34CF20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6729" y="123825"/>
          <a:ext cx="2869374" cy="9588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5" t="s">
        <v>37</v>
      </c>
      <c r="B2" s="45"/>
      <c r="C2" s="45"/>
      <c r="D2" s="45"/>
      <c r="E2" s="45"/>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38</v>
      </c>
      <c r="B8" s="46"/>
      <c r="C8" s="46"/>
      <c r="D8" s="46"/>
      <c r="E8" s="46"/>
      <c r="F8" s="1"/>
      <c r="G8" s="1"/>
      <c r="H8" s="1"/>
    </row>
    <row r="9" spans="1:8" x14ac:dyDescent="0.25">
      <c r="A9" s="2"/>
      <c r="B9" s="2"/>
    </row>
    <row r="10" spans="1:8" x14ac:dyDescent="0.25">
      <c r="A10" s="2"/>
      <c r="B10" s="2"/>
    </row>
    <row r="11" spans="1:8" x14ac:dyDescent="0.25">
      <c r="A11" s="47" t="s">
        <v>39</v>
      </c>
      <c r="B11" s="47"/>
      <c r="C11" s="47"/>
      <c r="D11" s="47"/>
      <c r="E11" s="47"/>
    </row>
    <row r="12" spans="1:8" x14ac:dyDescent="0.25">
      <c r="A12" s="12" t="s">
        <v>45</v>
      </c>
      <c r="B12" s="12"/>
      <c r="C12" s="11"/>
      <c r="D12" s="11"/>
      <c r="E12" s="11"/>
    </row>
    <row r="13" spans="1:8" x14ac:dyDescent="0.25">
      <c r="A13" s="13" t="s">
        <v>2</v>
      </c>
      <c r="B13" s="13"/>
      <c r="C13" s="11"/>
      <c r="D13" s="11"/>
      <c r="E13" s="11"/>
    </row>
    <row r="14" spans="1:8" ht="30" customHeight="1" x14ac:dyDescent="0.25">
      <c r="A14" s="56" t="s">
        <v>3</v>
      </c>
      <c r="B14" s="56"/>
      <c r="C14" s="56"/>
      <c r="D14" s="56"/>
      <c r="E14" s="56"/>
      <c r="F14" s="4"/>
      <c r="G14" s="4"/>
      <c r="H14" s="4"/>
    </row>
    <row r="15" spans="1:8" x14ac:dyDescent="0.25">
      <c r="A15" s="3" t="s">
        <v>24</v>
      </c>
      <c r="B15" s="3" t="s">
        <v>34</v>
      </c>
      <c r="C15" s="3" t="s">
        <v>22</v>
      </c>
      <c r="D15" s="3" t="s">
        <v>25</v>
      </c>
      <c r="E15" s="3" t="s">
        <v>23</v>
      </c>
      <c r="F15" s="3"/>
      <c r="G15" s="3"/>
      <c r="H15" s="3"/>
    </row>
    <row r="16" spans="1:8" ht="220.5" customHeight="1" x14ac:dyDescent="0.25">
      <c r="A16" s="10" t="s">
        <v>40</v>
      </c>
      <c r="B16" s="17" t="s">
        <v>26</v>
      </c>
      <c r="C16" s="20">
        <v>320</v>
      </c>
      <c r="D16" s="21">
        <v>189.9</v>
      </c>
      <c r="E16" s="21">
        <f>C16*D16</f>
        <v>60768</v>
      </c>
      <c r="F16" s="3"/>
      <c r="G16" s="3"/>
      <c r="H16" s="3"/>
    </row>
    <row r="17" spans="1:7" ht="175.5" customHeight="1" x14ac:dyDescent="0.25">
      <c r="A17" s="33" t="s">
        <v>41</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7" t="s">
        <v>44</v>
      </c>
      <c r="B23" s="57"/>
      <c r="C23" s="57"/>
      <c r="D23" s="57"/>
      <c r="E23" s="57"/>
    </row>
    <row r="24" spans="1:7" x14ac:dyDescent="0.25">
      <c r="A24" s="47" t="s">
        <v>43</v>
      </c>
      <c r="B24" s="47"/>
      <c r="C24" s="47"/>
      <c r="D24" s="47"/>
      <c r="E24" s="47"/>
    </row>
    <row r="25" spans="1:7" x14ac:dyDescent="0.25">
      <c r="A25" s="59" t="s">
        <v>8</v>
      </c>
      <c r="B25" s="59"/>
      <c r="C25" s="59"/>
      <c r="D25" s="59"/>
      <c r="E25" s="59"/>
    </row>
    <row r="26" spans="1:7" ht="69" customHeight="1" x14ac:dyDescent="0.25">
      <c r="A26" s="58" t="s">
        <v>42</v>
      </c>
      <c r="B26" s="58"/>
      <c r="C26" s="58"/>
      <c r="D26" s="58"/>
      <c r="E26" s="58"/>
      <c r="F26" s="6"/>
    </row>
    <row r="27" spans="1:7" x14ac:dyDescent="0.25">
      <c r="A27" s="3" t="s">
        <v>9</v>
      </c>
      <c r="B27" s="3"/>
      <c r="C27" s="11"/>
      <c r="D27" s="11"/>
      <c r="E27" s="11"/>
    </row>
    <row r="28" spans="1:7" ht="40.5" customHeight="1" x14ac:dyDescent="0.25">
      <c r="A28" s="58" t="s">
        <v>10</v>
      </c>
      <c r="B28" s="58"/>
      <c r="C28" s="58"/>
      <c r="D28" s="58"/>
      <c r="E28" s="58"/>
    </row>
    <row r="29" spans="1:7" ht="50.25" customHeight="1" x14ac:dyDescent="0.25">
      <c r="A29" s="60" t="s">
        <v>11</v>
      </c>
      <c r="B29" s="60"/>
      <c r="C29" s="60"/>
      <c r="D29" s="60"/>
      <c r="E29" s="60"/>
    </row>
    <row r="30" spans="1:7" ht="49.5" customHeight="1" x14ac:dyDescent="0.25">
      <c r="A30" s="60" t="s">
        <v>12</v>
      </c>
      <c r="B30" s="60"/>
      <c r="C30" s="60"/>
      <c r="D30" s="60"/>
      <c r="E30" s="60"/>
    </row>
    <row r="31" spans="1:7" ht="27.75" customHeight="1" x14ac:dyDescent="0.25">
      <c r="A31" s="60" t="s">
        <v>13</v>
      </c>
      <c r="B31" s="60"/>
      <c r="C31" s="60"/>
      <c r="D31" s="60"/>
      <c r="E31" s="60"/>
    </row>
    <row r="32" spans="1:7" ht="77.25" customHeight="1" x14ac:dyDescent="0.25">
      <c r="A32" s="58" t="s">
        <v>14</v>
      </c>
      <c r="B32" s="58"/>
      <c r="C32" s="58"/>
      <c r="D32" s="58"/>
      <c r="E32" s="58"/>
    </row>
    <row r="33" spans="1:5" ht="30.75" customHeight="1" x14ac:dyDescent="0.25">
      <c r="A33" s="58" t="s">
        <v>15</v>
      </c>
      <c r="B33" s="58"/>
      <c r="C33" s="58"/>
      <c r="D33" s="58"/>
      <c r="E33" s="58"/>
    </row>
    <row r="34" spans="1:5" ht="57" customHeight="1" x14ac:dyDescent="0.25">
      <c r="A34" s="58" t="s">
        <v>16</v>
      </c>
      <c r="B34" s="58"/>
      <c r="C34" s="58"/>
      <c r="D34" s="58"/>
      <c r="E34" s="58"/>
    </row>
    <row r="35" spans="1:5" ht="24" customHeight="1" x14ac:dyDescent="0.25">
      <c r="A35" s="58" t="s">
        <v>17</v>
      </c>
      <c r="B35" s="58"/>
      <c r="C35" s="58"/>
      <c r="D35" s="58"/>
      <c r="E35" s="11"/>
    </row>
    <row r="36" spans="1:5" ht="94.5" customHeight="1" x14ac:dyDescent="0.25">
      <c r="A36" s="61" t="s">
        <v>18</v>
      </c>
      <c r="B36" s="61"/>
      <c r="C36" s="61"/>
      <c r="D36" s="61"/>
      <c r="E36" s="61"/>
    </row>
    <row r="37" spans="1:5" ht="24.75" customHeight="1" x14ac:dyDescent="0.25">
      <c r="A37" s="58" t="s">
        <v>19</v>
      </c>
      <c r="B37" s="58"/>
      <c r="C37" s="58"/>
      <c r="D37" s="58"/>
      <c r="E37" s="5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54" t="s">
        <v>27</v>
      </c>
      <c r="D40" s="54"/>
      <c r="E40" s="54"/>
    </row>
    <row r="41" spans="1:5" x14ac:dyDescent="0.25">
      <c r="A41" s="16"/>
      <c r="B41" s="16"/>
      <c r="C41" s="11"/>
      <c r="D41" s="11"/>
      <c r="E41" s="11"/>
    </row>
    <row r="42" spans="1:5" x14ac:dyDescent="0.25">
      <c r="A42" s="13"/>
      <c r="B42" s="13"/>
      <c r="C42" s="11"/>
      <c r="D42" s="11"/>
      <c r="E42" s="11"/>
    </row>
    <row r="43" spans="1:5" x14ac:dyDescent="0.25">
      <c r="A43" s="24" t="s">
        <v>36</v>
      </c>
      <c r="B43" s="24"/>
      <c r="C43" s="11"/>
      <c r="D43" s="11"/>
      <c r="E43" s="11"/>
    </row>
    <row r="44" spans="1:5" x14ac:dyDescent="0.25">
      <c r="A44" s="25" t="s">
        <v>35</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abSelected="1" topLeftCell="B1" zoomScaleNormal="100" zoomScalePageLayoutView="50" workbookViewId="0">
      <selection activeCell="B7" sqref="B7"/>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0"/>
      <c r="C4" s="30"/>
      <c r="D4" s="30"/>
      <c r="E4" s="30"/>
      <c r="F4" s="30"/>
    </row>
    <row r="5" spans="2:6" x14ac:dyDescent="0.25">
      <c r="B5" s="30"/>
      <c r="C5" s="30"/>
      <c r="D5" s="30"/>
      <c r="E5" s="30"/>
      <c r="F5" s="30"/>
    </row>
    <row r="6" spans="2:6" x14ac:dyDescent="0.25">
      <c r="B6" s="30"/>
      <c r="C6" s="30"/>
      <c r="D6" s="30"/>
      <c r="E6" s="30"/>
      <c r="F6" s="30"/>
    </row>
    <row r="7" spans="2:6" x14ac:dyDescent="0.25">
      <c r="B7" s="30"/>
      <c r="C7" s="30"/>
      <c r="D7" s="30"/>
      <c r="E7" s="30"/>
      <c r="F7" s="30"/>
    </row>
    <row r="8" spans="2:6" x14ac:dyDescent="0.25">
      <c r="B8" s="30"/>
      <c r="C8" s="30"/>
      <c r="D8" s="30"/>
      <c r="E8" s="30"/>
      <c r="F8" s="30"/>
    </row>
    <row r="9" spans="2:6" x14ac:dyDescent="0.25">
      <c r="B9" s="30"/>
      <c r="C9" s="30"/>
      <c r="D9" s="30"/>
      <c r="E9" s="30"/>
      <c r="F9" s="30"/>
    </row>
    <row r="10" spans="2:6" x14ac:dyDescent="0.25">
      <c r="B10" s="30"/>
      <c r="C10" s="30"/>
      <c r="D10" s="30"/>
      <c r="E10" s="30"/>
      <c r="F10" s="30"/>
    </row>
    <row r="11" spans="2:6" x14ac:dyDescent="0.25">
      <c r="B11" s="45" t="s">
        <v>59</v>
      </c>
      <c r="C11" s="45"/>
      <c r="D11" s="45"/>
      <c r="E11" s="45"/>
      <c r="F11" s="45"/>
    </row>
    <row r="12" spans="2:6" x14ac:dyDescent="0.25">
      <c r="B12" s="34"/>
      <c r="C12" s="34"/>
      <c r="D12" s="34"/>
      <c r="E12" s="34"/>
      <c r="F12" s="34"/>
    </row>
    <row r="13" spans="2:6" x14ac:dyDescent="0.25">
      <c r="B13" s="34"/>
      <c r="C13" s="34"/>
      <c r="D13" s="34"/>
      <c r="E13" s="34"/>
      <c r="F13" s="34"/>
    </row>
    <row r="14" spans="2:6" x14ac:dyDescent="0.25">
      <c r="B14" s="1" t="s">
        <v>60</v>
      </c>
      <c r="C14" s="1"/>
      <c r="D14" s="30"/>
      <c r="E14" s="30"/>
      <c r="F14" s="30"/>
    </row>
    <row r="15" spans="2:6" x14ac:dyDescent="0.25">
      <c r="B15" s="1" t="s">
        <v>0</v>
      </c>
      <c r="C15" s="1"/>
      <c r="D15" s="30"/>
      <c r="E15" s="30"/>
      <c r="F15" s="30"/>
    </row>
    <row r="16" spans="2:6" x14ac:dyDescent="0.25">
      <c r="B16" s="1"/>
      <c r="C16" s="1"/>
      <c r="D16" s="30"/>
      <c r="E16" s="30"/>
      <c r="F16" s="30"/>
    </row>
    <row r="17" spans="2:6" x14ac:dyDescent="0.25">
      <c r="B17" s="46"/>
      <c r="C17" s="46"/>
      <c r="D17" s="46"/>
      <c r="E17" s="46"/>
      <c r="F17" s="46"/>
    </row>
    <row r="18" spans="2:6" x14ac:dyDescent="0.25">
      <c r="B18" s="46" t="s">
        <v>61</v>
      </c>
      <c r="C18" s="62"/>
      <c r="D18" s="62"/>
      <c r="E18" s="62"/>
      <c r="F18" s="62"/>
    </row>
    <row r="19" spans="2:6" x14ac:dyDescent="0.25">
      <c r="B19" s="2"/>
      <c r="C19" s="2"/>
      <c r="D19" s="2"/>
      <c r="E19" s="2"/>
      <c r="F19" s="2"/>
    </row>
    <row r="20" spans="2:6" x14ac:dyDescent="0.25">
      <c r="B20" s="47"/>
      <c r="C20" s="47"/>
      <c r="D20" s="47"/>
      <c r="E20" s="47"/>
      <c r="F20" s="47"/>
    </row>
    <row r="21" spans="2:6" ht="12.75" customHeight="1" x14ac:dyDescent="0.25">
      <c r="B21" s="12" t="s">
        <v>49</v>
      </c>
      <c r="C21" s="12"/>
      <c r="D21" s="31"/>
      <c r="E21" s="31"/>
      <c r="F21" s="31"/>
    </row>
    <row r="22" spans="2:6" ht="13.5" customHeight="1" x14ac:dyDescent="0.25">
      <c r="B22" s="12" t="s">
        <v>47</v>
      </c>
      <c r="C22" s="13"/>
      <c r="D22" s="31"/>
      <c r="E22" s="31"/>
      <c r="F22" s="31"/>
    </row>
    <row r="23" spans="2:6" ht="13.5" customHeight="1" x14ac:dyDescent="0.25">
      <c r="B23" s="13"/>
      <c r="C23" s="13"/>
      <c r="D23" s="31"/>
      <c r="E23" s="31"/>
      <c r="F23" s="31"/>
    </row>
    <row r="24" spans="2:6" ht="15.75" customHeight="1" x14ac:dyDescent="0.25">
      <c r="B24" s="48" t="s">
        <v>46</v>
      </c>
      <c r="C24" s="48"/>
      <c r="D24" s="48"/>
      <c r="E24" s="48"/>
      <c r="F24" s="48"/>
    </row>
    <row r="25" spans="2:6" ht="15.75" customHeight="1" x14ac:dyDescent="0.25">
      <c r="B25" s="36"/>
      <c r="C25" s="36"/>
      <c r="D25" s="36"/>
      <c r="E25" s="36"/>
      <c r="F25" s="36"/>
    </row>
    <row r="26" spans="2:6" x14ac:dyDescent="0.25">
      <c r="B26" s="40" t="s">
        <v>24</v>
      </c>
      <c r="C26" s="40" t="s">
        <v>58</v>
      </c>
      <c r="D26" s="40" t="s">
        <v>22</v>
      </c>
      <c r="E26" s="40" t="s">
        <v>30</v>
      </c>
      <c r="F26" s="40" t="s">
        <v>23</v>
      </c>
    </row>
    <row r="27" spans="2:6" x14ac:dyDescent="0.25">
      <c r="B27" s="12"/>
      <c r="C27" s="12"/>
      <c r="D27" s="2"/>
      <c r="E27" s="2"/>
      <c r="F27" s="2"/>
    </row>
    <row r="28" spans="2:6" x14ac:dyDescent="0.25">
      <c r="B28" s="12"/>
      <c r="C28" s="12"/>
      <c r="D28" s="2"/>
      <c r="E28" s="2"/>
      <c r="F28" s="2"/>
    </row>
    <row r="29" spans="2:6" x14ac:dyDescent="0.25">
      <c r="B29" s="37" t="s">
        <v>56</v>
      </c>
      <c r="C29" s="35" t="s">
        <v>48</v>
      </c>
      <c r="D29" s="38">
        <v>1</v>
      </c>
      <c r="E29" s="39">
        <v>1354.21</v>
      </c>
      <c r="F29" s="39">
        <f>D29*E29</f>
        <v>1354.21</v>
      </c>
    </row>
    <row r="30" spans="2:6" x14ac:dyDescent="0.25">
      <c r="B30" s="43" t="s">
        <v>57</v>
      </c>
      <c r="C30" s="44" t="s">
        <v>48</v>
      </c>
      <c r="D30" s="41">
        <v>1</v>
      </c>
      <c r="E30" s="42">
        <v>2510.87</v>
      </c>
      <c r="F30" s="42">
        <f>D30*E30</f>
        <v>2510.87</v>
      </c>
    </row>
    <row r="31" spans="2:6" x14ac:dyDescent="0.25">
      <c r="B31" s="43" t="s">
        <v>50</v>
      </c>
      <c r="C31" s="44" t="s">
        <v>48</v>
      </c>
      <c r="D31" s="41">
        <v>1</v>
      </c>
      <c r="E31" s="42">
        <v>2940.13</v>
      </c>
      <c r="F31" s="42">
        <f>D31*E31</f>
        <v>2940.13</v>
      </c>
    </row>
    <row r="32" spans="2:6" x14ac:dyDescent="0.25">
      <c r="B32" s="43"/>
      <c r="C32" s="44"/>
      <c r="D32" s="41"/>
      <c r="E32" s="42"/>
      <c r="F32" s="42"/>
    </row>
    <row r="33" spans="2:11" x14ac:dyDescent="0.25">
      <c r="B33" s="43"/>
      <c r="C33" s="44"/>
      <c r="D33" s="41"/>
      <c r="E33" s="42"/>
      <c r="F33" s="42"/>
    </row>
    <row r="34" spans="2:11" x14ac:dyDescent="0.25">
      <c r="B34" s="43"/>
      <c r="C34" s="44"/>
      <c r="D34" s="41"/>
      <c r="E34" s="42"/>
      <c r="F34" s="42"/>
    </row>
    <row r="35" spans="2:11" x14ac:dyDescent="0.25">
      <c r="B35" s="43"/>
      <c r="C35" s="44"/>
      <c r="D35" s="41"/>
      <c r="E35" s="42"/>
      <c r="F35" s="42"/>
    </row>
    <row r="36" spans="2:11" x14ac:dyDescent="0.25">
      <c r="B36" s="43"/>
      <c r="C36" s="44"/>
      <c r="D36" s="41"/>
      <c r="E36" s="42"/>
      <c r="F36" s="42"/>
    </row>
    <row r="37" spans="2:11" x14ac:dyDescent="0.25">
      <c r="B37" s="5"/>
      <c r="C37" s="5"/>
      <c r="D37" s="5"/>
      <c r="E37" s="5" t="s">
        <v>5</v>
      </c>
      <c r="F37" s="22">
        <f>SUM(F29:F36)</f>
        <v>6805.21</v>
      </c>
      <c r="H37" s="5"/>
      <c r="I37" s="22"/>
    </row>
    <row r="38" spans="2:11" x14ac:dyDescent="0.25">
      <c r="B38" s="5"/>
      <c r="C38" s="5"/>
      <c r="D38" s="28"/>
      <c r="E38" s="5" t="s">
        <v>6</v>
      </c>
      <c r="F38" s="22">
        <f>F37*16%</f>
        <v>1088.8335999999999</v>
      </c>
      <c r="H38" s="5"/>
      <c r="I38" s="22"/>
    </row>
    <row r="39" spans="2:11" x14ac:dyDescent="0.25">
      <c r="B39" s="5"/>
      <c r="C39" s="5"/>
      <c r="D39" s="28"/>
      <c r="E39" s="5" t="s">
        <v>7</v>
      </c>
      <c r="F39" s="22">
        <f>F37+F38</f>
        <v>7894.0436</v>
      </c>
      <c r="H39" s="5"/>
      <c r="I39" s="22"/>
    </row>
    <row r="40" spans="2:11" x14ac:dyDescent="0.25">
      <c r="B40" s="5"/>
      <c r="C40" s="5"/>
      <c r="D40" s="28"/>
      <c r="E40" s="5"/>
      <c r="F40" s="22"/>
      <c r="H40" s="5"/>
      <c r="I40" s="22"/>
    </row>
    <row r="41" spans="2:11" x14ac:dyDescent="0.25">
      <c r="B41" s="5"/>
      <c r="C41" s="5"/>
      <c r="D41" s="28"/>
      <c r="E41" s="5"/>
      <c r="F41" s="22"/>
    </row>
    <row r="42" spans="2:11" x14ac:dyDescent="0.25">
      <c r="B42" s="49" t="s">
        <v>29</v>
      </c>
      <c r="C42" s="50"/>
      <c r="D42" s="50"/>
      <c r="E42" s="50"/>
      <c r="F42" s="50"/>
    </row>
    <row r="43" spans="2:11" ht="18" customHeight="1" x14ac:dyDescent="0.25">
      <c r="B43" s="1"/>
      <c r="C43" s="1"/>
      <c r="D43" s="30"/>
      <c r="E43" s="30"/>
      <c r="F43" s="30"/>
      <c r="J43" s="5"/>
      <c r="K43" s="22"/>
    </row>
    <row r="44" spans="2:11" ht="27.75" customHeight="1" x14ac:dyDescent="0.25">
      <c r="B44" s="48" t="s">
        <v>31</v>
      </c>
      <c r="C44" s="48"/>
      <c r="D44" s="48"/>
      <c r="E44" s="48"/>
      <c r="F44" s="48"/>
      <c r="J44" s="5"/>
      <c r="K44" s="22"/>
    </row>
    <row r="45" spans="2:11" ht="18" customHeight="1" x14ac:dyDescent="0.25">
      <c r="B45" s="48" t="s">
        <v>32</v>
      </c>
      <c r="C45" s="48"/>
      <c r="D45" s="48"/>
      <c r="E45" s="48"/>
      <c r="F45" s="48"/>
      <c r="J45" s="5"/>
      <c r="K45" s="22"/>
    </row>
    <row r="46" spans="2:11" ht="18.75" customHeight="1" x14ac:dyDescent="0.25">
      <c r="B46" s="48" t="s">
        <v>51</v>
      </c>
      <c r="C46" s="48"/>
      <c r="D46" s="48"/>
      <c r="E46" s="48"/>
      <c r="F46" s="48"/>
    </row>
    <row r="47" spans="2:11" ht="15.75" customHeight="1" x14ac:dyDescent="0.25">
      <c r="B47" s="48" t="s">
        <v>33</v>
      </c>
      <c r="C47" s="48"/>
      <c r="D47" s="48"/>
      <c r="E47" s="48"/>
      <c r="F47" s="48"/>
    </row>
    <row r="48" spans="2:11" ht="67.5" customHeight="1" x14ac:dyDescent="0.25">
      <c r="B48" s="48" t="s">
        <v>52</v>
      </c>
      <c r="C48" s="48"/>
      <c r="D48" s="48"/>
      <c r="E48" s="48"/>
      <c r="F48" s="48"/>
      <c r="H48" s="26"/>
    </row>
    <row r="49" spans="2:15" x14ac:dyDescent="0.25">
      <c r="B49" s="30"/>
      <c r="C49" s="30"/>
      <c r="D49" s="30"/>
      <c r="E49" s="30"/>
      <c r="F49" s="30"/>
      <c r="H49" s="26"/>
    </row>
    <row r="50" spans="2:15" x14ac:dyDescent="0.25">
      <c r="B50" s="30"/>
      <c r="C50" s="30"/>
      <c r="D50" s="30"/>
      <c r="E50" s="30"/>
      <c r="F50" s="30"/>
      <c r="H50" s="26"/>
    </row>
    <row r="51" spans="2:15" x14ac:dyDescent="0.25">
      <c r="B51" s="30"/>
      <c r="C51" s="30"/>
      <c r="D51" s="30"/>
      <c r="E51" s="30"/>
      <c r="F51" s="30"/>
      <c r="H51" s="26"/>
    </row>
    <row r="52" spans="2:15" x14ac:dyDescent="0.25">
      <c r="B52" s="49" t="s">
        <v>53</v>
      </c>
      <c r="C52" s="50"/>
      <c r="D52" s="50"/>
      <c r="E52" s="50"/>
      <c r="F52" s="50"/>
      <c r="H52" s="26"/>
    </row>
    <row r="53" spans="2:15" x14ac:dyDescent="0.25">
      <c r="B53" s="13"/>
      <c r="C53" s="13"/>
      <c r="D53" s="31"/>
      <c r="E53" s="31"/>
      <c r="F53" s="31"/>
    </row>
    <row r="54" spans="2:15" x14ac:dyDescent="0.25">
      <c r="B54" s="13"/>
      <c r="C54" s="13"/>
      <c r="D54" s="31"/>
      <c r="E54" s="31"/>
      <c r="F54" s="31"/>
    </row>
    <row r="55" spans="2:15" x14ac:dyDescent="0.25">
      <c r="B55" s="24" t="s">
        <v>55</v>
      </c>
      <c r="C55" s="24"/>
      <c r="D55" s="24"/>
      <c r="E55" s="24"/>
      <c r="F55" s="24"/>
    </row>
    <row r="56" spans="2:15" x14ac:dyDescent="0.25">
      <c r="B56" s="55" t="s">
        <v>54</v>
      </c>
      <c r="C56" s="50"/>
      <c r="D56" s="50"/>
      <c r="E56" s="50"/>
      <c r="F56" s="50"/>
    </row>
    <row r="57" spans="2:15" x14ac:dyDescent="0.25">
      <c r="B57" s="32"/>
      <c r="C57" s="53"/>
      <c r="D57" s="54"/>
      <c r="E57" s="54"/>
      <c r="F57" s="54"/>
    </row>
    <row r="58" spans="2:15" x14ac:dyDescent="0.25">
      <c r="B58" s="25"/>
      <c r="C58" s="25"/>
      <c r="D58" s="31"/>
      <c r="E58" s="31"/>
      <c r="F58" s="31"/>
    </row>
    <row r="59" spans="2:15" x14ac:dyDescent="0.25">
      <c r="B59" s="51"/>
      <c r="C59" s="51"/>
      <c r="D59" s="52"/>
      <c r="E59" s="52"/>
      <c r="F59" s="52"/>
      <c r="G59" s="29"/>
      <c r="H59" s="29"/>
      <c r="I59" s="29"/>
      <c r="J59" s="29"/>
      <c r="K59" s="29"/>
      <c r="L59" s="29"/>
      <c r="M59" s="29"/>
      <c r="N59" s="29"/>
      <c r="O59" s="29"/>
    </row>
    <row r="60" spans="2:15" x14ac:dyDescent="0.25">
      <c r="B60" s="52"/>
      <c r="C60" s="52"/>
      <c r="D60" s="52"/>
      <c r="E60" s="52"/>
      <c r="F60" s="52"/>
      <c r="G60" s="29"/>
      <c r="H60" s="29"/>
      <c r="I60" s="29"/>
      <c r="J60" s="29"/>
      <c r="K60" s="29"/>
      <c r="L60" s="29"/>
      <c r="M60" s="29"/>
      <c r="N60" s="29"/>
      <c r="O60" s="29"/>
    </row>
    <row r="61" spans="2:15" x14ac:dyDescent="0.25">
      <c r="B61" s="52"/>
      <c r="C61" s="52"/>
      <c r="D61" s="52"/>
      <c r="E61" s="52"/>
      <c r="F61" s="52"/>
      <c r="G61" s="29"/>
      <c r="H61" s="29"/>
      <c r="I61" s="29"/>
      <c r="J61" s="29"/>
      <c r="K61" s="29"/>
      <c r="L61" s="29"/>
      <c r="M61" s="29"/>
      <c r="N61" s="29"/>
      <c r="O61" s="29"/>
    </row>
    <row r="62" spans="2:15" x14ac:dyDescent="0.25">
      <c r="B62" s="52"/>
      <c r="C62" s="52"/>
      <c r="D62" s="52"/>
      <c r="E62" s="52"/>
      <c r="F62" s="52"/>
      <c r="G62" s="29"/>
      <c r="H62" s="29"/>
      <c r="I62" s="29"/>
      <c r="J62" s="29"/>
      <c r="K62" s="29"/>
      <c r="L62" s="29"/>
      <c r="M62" s="29"/>
      <c r="N62" s="29"/>
      <c r="O62" s="29"/>
    </row>
    <row r="63" spans="2:15" x14ac:dyDescent="0.25">
      <c r="B63" s="29"/>
      <c r="C63" s="29"/>
      <c r="D63" s="29"/>
      <c r="E63" s="29"/>
      <c r="F63" s="29"/>
      <c r="G63" s="29"/>
      <c r="H63" s="29"/>
      <c r="I63" s="29"/>
      <c r="J63" s="29"/>
      <c r="K63" s="29"/>
      <c r="L63" s="29"/>
      <c r="M63" s="29"/>
      <c r="N63" s="29"/>
      <c r="O63" s="29"/>
    </row>
    <row r="64" spans="2:15" x14ac:dyDescent="0.25">
      <c r="B64" s="29"/>
      <c r="C64" s="29"/>
      <c r="D64" s="29"/>
      <c r="E64" s="29"/>
      <c r="F64" s="29"/>
      <c r="G64" s="29"/>
      <c r="H64" s="29"/>
      <c r="I64" s="29"/>
      <c r="J64" s="29"/>
      <c r="K64" s="29"/>
      <c r="L64" s="29"/>
      <c r="M64" s="29"/>
      <c r="N64" s="29"/>
      <c r="O64" s="29"/>
    </row>
    <row r="65" spans="2:15" x14ac:dyDescent="0.25">
      <c r="B65" s="29"/>
      <c r="C65" s="29"/>
      <c r="D65" s="29"/>
      <c r="E65" s="29"/>
      <c r="F65" s="29"/>
      <c r="G65" s="29"/>
      <c r="H65" s="29"/>
      <c r="I65" s="29"/>
      <c r="J65" s="29"/>
      <c r="K65" s="29"/>
      <c r="L65" s="29"/>
      <c r="M65" s="29"/>
      <c r="N65" s="29"/>
      <c r="O65" s="29"/>
    </row>
    <row r="66" spans="2:15" x14ac:dyDescent="0.25">
      <c r="B66" s="29"/>
      <c r="C66" s="29"/>
      <c r="D66" s="29"/>
      <c r="E66" s="29"/>
      <c r="F66" s="29"/>
      <c r="G66" s="29"/>
      <c r="H66" s="29"/>
      <c r="I66" s="29"/>
      <c r="J66" s="29"/>
      <c r="K66" s="29"/>
      <c r="L66" s="29"/>
      <c r="M66" s="29"/>
      <c r="N66" s="29"/>
      <c r="O66" s="29"/>
    </row>
  </sheetData>
  <mergeCells count="15">
    <mergeCell ref="B59:F62"/>
    <mergeCell ref="B44:F44"/>
    <mergeCell ref="B45:F45"/>
    <mergeCell ref="B46:F46"/>
    <mergeCell ref="C57:F57"/>
    <mergeCell ref="B48:F48"/>
    <mergeCell ref="B52:F52"/>
    <mergeCell ref="B56:F56"/>
    <mergeCell ref="B11:F11"/>
    <mergeCell ref="B17:F17"/>
    <mergeCell ref="B20:F20"/>
    <mergeCell ref="B24:F24"/>
    <mergeCell ref="B47:F47"/>
    <mergeCell ref="B42:F42"/>
    <mergeCell ref="B18:F18"/>
  </mergeCells>
  <pageMargins left="0.7" right="0.7"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2026-07-22T22:04:49Z</cp:lastPrinted>
  <dcterms:created xsi:type="dcterms:W3CDTF">2020-12-14T19:54:01Z</dcterms:created>
  <dcterms:modified xsi:type="dcterms:W3CDTF">2026-07-22T22:06:25Z</dcterms:modified>
</cp:coreProperties>
</file>