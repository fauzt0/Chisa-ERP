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66F890F4-E517-4E70-AA71-0A8A39CD8B59}" xr6:coauthVersionLast="47" xr6:coauthVersionMax="47" xr10:uidLastSave="{00000000-0000-0000-0000-000000000000}"/>
  <bookViews>
    <workbookView xWindow="-120" yWindow="-120" windowWidth="20730" windowHeight="11160"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19" i="1" l="1"/>
  <c r="F117" i="1"/>
  <c r="F115" i="1"/>
  <c r="F113" i="1"/>
  <c r="F111" i="1"/>
  <c r="F109" i="1"/>
  <c r="F107" i="1"/>
  <c r="F105" i="1"/>
  <c r="F103" i="1"/>
  <c r="F101" i="1"/>
  <c r="F99" i="1"/>
  <c r="F95" i="1"/>
  <c r="F93" i="1"/>
  <c r="F91" i="1"/>
  <c r="F89" i="1"/>
  <c r="F87" i="1"/>
  <c r="F85" i="1"/>
  <c r="F80" i="1"/>
  <c r="F78" i="1"/>
  <c r="F76" i="1"/>
  <c r="F74" i="1"/>
  <c r="F72" i="1"/>
  <c r="F67" i="1"/>
  <c r="F65" i="1"/>
  <c r="F63" i="1"/>
  <c r="F60" i="1"/>
  <c r="F58" i="1"/>
  <c r="F54" i="1"/>
  <c r="F52" i="1"/>
  <c r="F50" i="1"/>
  <c r="F48" i="1"/>
  <c r="F46" i="1"/>
  <c r="F41" i="1"/>
  <c r="F39" i="1"/>
  <c r="F37" i="1"/>
  <c r="F35" i="1"/>
  <c r="F33" i="1"/>
  <c r="F30" i="1"/>
  <c r="F28" i="1"/>
  <c r="F26" i="1"/>
  <c r="F124" i="1" l="1"/>
  <c r="F126" i="1" s="1"/>
  <c r="F127" i="1" s="1"/>
  <c r="F128" i="1" s="1"/>
  <c r="F20" i="3" l="1"/>
  <c r="F19" i="3" l="1"/>
  <c r="F18" i="3"/>
  <c r="F17" i="3" l="1"/>
  <c r="F16" i="3"/>
  <c r="F22" i="3" s="1"/>
  <c r="F23" i="3" l="1"/>
  <c r="F24" i="3" s="1"/>
</calcChain>
</file>

<file path=xl/sharedStrings.xml><?xml version="1.0" encoding="utf-8"?>
<sst xmlns="http://schemas.openxmlformats.org/spreadsheetml/2006/main" count="160" uniqueCount="106">
  <si>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</si>
  <si>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</si>
  <si>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</si>
  <si>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</si>
  <si>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</si>
  <si>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</si>
  <si>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</si>
  <si>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</si>
  <si>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</si>
  <si>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</si>
  <si>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</si>
  <si>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</si>
  <si>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</si>
  <si>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</si>
  <si>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</si>
  <si>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</si>
  <si>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</si>
  <si>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</si>
  <si>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</si>
  <si>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</si>
  <si>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</si>
  <si>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</si>
  <si>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t>M2</t>
  </si>
  <si>
    <t xml:space="preserve">PRESENTAMOS A SU AMABLE CONSIDERACIÓN EL PRESUPUESTO DE SUMINISTRO DE LOS SIGUIENTES MATERIALES: </t>
  </si>
  <si>
    <t xml:space="preserve">NOTAS: </t>
  </si>
  <si>
    <t xml:space="preserve">  CAROLINA GALVAN</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</si>
  <si>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</si>
  <si>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</si>
  <si>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</si>
  <si>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</si>
  <si>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</si>
  <si>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</si>
  <si>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</si>
  <si>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</si>
  <si>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</si>
  <si>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</si>
  <si>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</si>
  <si>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HOSPITAL GENERAL DE QUERETARO</t>
  </si>
  <si>
    <t>CUBETA</t>
  </si>
  <si>
    <t>AT´N: ARQ. ENRIQUE CHAVEZ</t>
  </si>
  <si>
    <t>3.-CHISA GLASS REF  S.M.A. (REND. 60M2)</t>
  </si>
  <si>
    <t>2.-PRAIMER GLASS REF S.M.A. (REND. 90M2)</t>
  </si>
  <si>
    <t>CUBETAS</t>
  </si>
  <si>
    <t>4.-VITROGLASS ECOLOGICO. (REND. 180M2)</t>
  </si>
  <si>
    <t>5.-MARMO GOT (REN 25M2)</t>
  </si>
  <si>
    <t>1.-SELLADOR INICIAL (REND. 20M2)</t>
  </si>
  <si>
    <t xml:space="preserve">                     ARQ. ENRIQUE CHAVEZ</t>
  </si>
  <si>
    <t>CIUDAD DE MEXICO A 10 DE ABRIL DEL 2023</t>
  </si>
  <si>
    <t>PRES. REF. 14877-S/2023</t>
  </si>
  <si>
    <t>CIUDAD DE MEXICO A 30 DE JULIO DEL 2026</t>
  </si>
  <si>
    <t>CONSTRUCTORA: GP. CONSTRUCCION</t>
  </si>
  <si>
    <t>AT´N: ING. FLOR PEREZ NIETO</t>
  </si>
  <si>
    <t>OBRA: HOSPITAL INFANTIL, GUADLUPE NVO LEON</t>
  </si>
  <si>
    <t xml:space="preserve">PRESENTAMOS  A  SU AMABLE  CONSIDERACIÓN EL PRESUPUESTO DE SUMINISTRO Y APLICACIÓN  DE  LOS SIGUIENTES CONCEPTOS.                                                   </t>
  </si>
  <si>
    <t>SUB TOTAL</t>
  </si>
  <si>
    <r>
      <t xml:space="preserve">FORMA DE PAGO Y CONSIDERACIONES GENERALES CORRESPONDIENTES AL PRESUPUESTO </t>
    </r>
    <r>
      <rPr>
        <b/>
        <sz val="9"/>
        <color theme="1"/>
        <rFont val="Times New Roman"/>
        <family val="1"/>
      </rPr>
      <t>REF. 16635-C/2026.</t>
    </r>
  </si>
  <si>
    <r>
      <t>EN CASO DE SER ACEPTADO EL PRESENTE PRESUPUESTO REQUERIMOS DEL 5</t>
    </r>
    <r>
      <rPr>
        <b/>
        <sz val="9"/>
        <color theme="1"/>
        <rFont val="Times New Roman"/>
        <family val="1"/>
      </rPr>
      <t>0% DEL PAGO</t>
    </r>
    <r>
      <rPr>
        <sz val="9"/>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</si>
  <si>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ATENTAMENTE</t>
  </si>
  <si>
    <t>_______________________________________</t>
  </si>
  <si>
    <t>CHISA RECUBRIMIENTOS, S.A. DE C.V</t>
  </si>
  <si>
    <t>CUERPO 1</t>
  </si>
  <si>
    <t>CHISA GLASS</t>
  </si>
  <si>
    <t>RECUBRIMIENTO CHIZZATO</t>
  </si>
  <si>
    <r>
      <t>1.-SUMINISTRO Y APLICACIÓN DE RECUBRIMIENTO CHIZZATO VERTICALE REF - VERDE SOBRE SUPERFICIE LISA INCLUYE</t>
    </r>
    <r>
      <rPr>
        <sz val="9"/>
        <color rgb="FF000000"/>
        <rFont val="Times New Roman"/>
        <family val="1"/>
      </rPr>
      <t>: LIJADO DE LA SUPERFICIE, APLICACIÓN DE SELLADOR ACRÍLICO 4648 A MANO CON RODILLO DE FELPA Y/O BROCHA; APLICACIÓN DE PINTUFLEX A MANO CON RODILLO DE FELPA Y/O BROCHA DEPENDIENDO EL COLOR QUE PREDOMINE EL RECUBRIMIENTO CHIZZATO; APLICACIÓN DE RECUBRIMIENTO CHIZZATO S.M.A POR MEDIO DE ASPERSIÓN DE AIRE Y BARRIDO POR MEDIO DE ESPÁTULA Y/O LLANA METÁLICA DE FORMA VERTICAL Y EN UN SOLO SENTIDO PARA LOGRAR EL EFECTO,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</si>
  <si>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2.-SUMINISTRO Y APLICACIÓN DE RECUBRIMIENTO CHIZZATO VERTICALE REF -MULTICOLOR SOBRE SUPERFICIE LISA INCLUYE</t>
    </r>
    <r>
      <rPr>
        <sz val="9"/>
        <color rgb="FF000000"/>
        <rFont val="Times New Roman"/>
        <family val="1"/>
      </rPr>
      <t>: LIJADO DE LA SUPERFICIE, APLICACIÓN DE SELLADOR ACRÍLICO 4648 A MANO CON RODILLO DE FELPA Y/O BROCHA; APLICACIÓN DE PINTUFLEX A MANO CON RODILLO DE FELPA Y/O BROCHA DEPENDIENDO EL COLOR QUE PREDOMINE EL RECUBRIMIENTO CHIZZATO; APLICACIÓN DE RECUBRIMIENTO CHIZZATO S.M.A POR MEDIO DE ASPERSIÓN DE AIRE Y BARRIDO POR MEDIO DE ESPÁTULA Y/O LLANA METÁLICA DE FORMA VERTICAL Y EN UN SOLO SENTIDO PARA LOGRAR EL EFECTO,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</si>
  <si>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3.-SUMINISTRO Y APLICACIÓN DE RECUBRIMIENTO CHIZZATO VERTICALE REF - CAFE SOBRE SUPERFICIE LISA INCLUYE</t>
    </r>
    <r>
      <rPr>
        <sz val="9"/>
        <color rgb="FF000000"/>
        <rFont val="Times New Roman"/>
        <family val="1"/>
      </rPr>
      <t>: LIJADO DE LA SUPERFICIE, APLICACIÓN DE SELLADOR ACRÍLICO 4648 A MANO CON RODILLO DE FELPA Y/O BROCHA; APLICACIÓN DE PINTUFLEX A MANO CON RODILLO DE FELPA Y/O BROCHA DEPENDIENDO EL COLOR QUE PREDOMINE EL RECUBRIMIENTO CHIZZATO; APLICACIÓN DE RECUBRIMIENTO CHIZZATO S.M.A POR MEDIO DE ASPERSIÓN DE AIRE Y BARRIDO POR MEDIO DE ESPÁTULA Y/O LLANA METÁLICA DE FORMA VERTICAL Y EN UN SOLO SENTIDO PARA LOGRAR EL EFECTO,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</si>
  <si>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4.-SUMINISTRO Y APLICACIÓN DE RECUBRIMIENTO CHIZZATO VERTICALE REF - ROSA SOBRE SUPERFICIE LISA INCLUYE</t>
    </r>
    <r>
      <rPr>
        <sz val="9"/>
        <color rgb="FF000000"/>
        <rFont val="Times New Roman"/>
        <family val="1"/>
      </rPr>
      <t>: LIJADO DE LA SUPERFICIE, APLICACIÓN DE SELLADOR ACRÍLICO 4648 A MANO CON RODILLO DE FELPA Y/O BROCHA; APLICACIÓN DE PINTUFLEX A MANO CON RODILLO DE FELPA Y/O BROCHA DEPENDIENDO EL COLOR QUE PREDOMINE EL RECUBRIMIENTO CHIZZATO; APLICACIÓN DE RECUBRIMIENTO CHIZZATO S.M.A POR MEDIO DE ASPERSIÓN DE AIRE Y BARRIDO POR MEDIO DE ESPÁTULA Y/O LLANA METÁLICA DE FORMA VERTICAL Y EN UN SOLO SENTIDO PARA LOGRAR EL EFECTO,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</si>
  <si>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5.-SUMINISTRO Y APLICACIÓN DE RECUBRIMIENTO CHIZZATO VERTICALE REF - LILA SOBRE SUPERFICIE LISA INCLUYE</t>
    </r>
    <r>
      <rPr>
        <sz val="9"/>
        <color rgb="FF000000"/>
        <rFont val="Times New Roman"/>
        <family val="1"/>
      </rPr>
      <t>: LIJADO DE LA SUPERFICIE, APLICACIÓN DE SELLADOR ACRÍLICO 4648 A MANO CON RODILLO DE FELPA Y/O BROCHA; APLICACIÓN DE PINTUFLEX A MANO CON RODILLO DE FELPA Y/O BROCHA DEPENDIENDO EL COLOR QUE PREDOMINE EL RECUBRIMIENTO CHIZZATO; APLICACIÓN DE RECUBRIMIENTO CHIZZATO S.M.A POR MEDIO DE ASPERSIÓN DE AIRE Y BARRIDO POR MEDIO DE ESPÁTULA Y/O LLANA METÁLICA DE FORMA VERTICAL Y EN UN SOLO SENTIDO PARA LOGRAR EL EFECTO,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</si>
  <si>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6.-SUMINISTRO Y APLICACIÓN DE RECUBRIMIENTO CHIZZATO VERTICALE REF - AZUL SOBRE SUPERFICIE LISA INCLUYE</t>
    </r>
    <r>
      <rPr>
        <sz val="9"/>
        <color rgb="FF000000"/>
        <rFont val="Times New Roman"/>
        <family val="1"/>
      </rPr>
      <t>: LIJADO DE LA SUPERFICIE, APLICACIÓN DE SELLADOR ACRÍLICO 4648 A MANO CON RODILLO DE FELPA Y/O BROCHA; APLICACIÓN DE PINTUFLEX A MANO CON RODILLO DE FELPA Y/O BROCHA DEPENDIENDO EL COLOR QUE PREDOMINE EL RECUBRIMIENTO CHIZZATO; APLICACIÓN DE RECUBRIMIENTO CHIZZATO S.M.A POR MEDIO DE ASPERSIÓN DE AIRE Y BARRIDO POR MEDIO DE ESPÁTULA Y/O LLANA METÁLICA DE FORMA VERTICAL Y EN UN SOLO SENTIDO PARA LOGRAR EL EFECTO,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</si>
  <si>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7.-SUMINISTRO Y APLICACIÓN DE RECUBRIMIENTO CHIZZATO VERTICALE REF - AMARILLO SOBRE SUPERFICIE LISA INCLUYE</t>
    </r>
    <r>
      <rPr>
        <sz val="9"/>
        <color rgb="FF000000"/>
        <rFont val="Times New Roman"/>
        <family val="1"/>
      </rPr>
      <t>: LIJADO DE LA SUPERFICIE, APLICACIÓN DE SELLADOR ACRÍLICO 4648 A MANO CON RODILLO DE FELPA Y/O BROCHA; APLICACIÓN DE PINTUFLEX A MANO CON RODILLO DE FELPA Y/O BROCHA DEPENDIENDO EL COLOR QUE PREDOMINE EL RECUBRIMIENTO CHIZZATO; APLICACIÓN DE RECUBRIMIENTO CHIZZATO S.M.A POR MEDIO DE ASPERSIÓN DE AIRE Y BARRIDO POR MEDIO DE ESPÁTULA Y/O LLANA METÁLICA DE FORMA VERTICAL Y EN UN SOLO SENTIDO PARA LOGRAR EL EFECTO,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</si>
  <si>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8.-SUMINISTRO Y APLICACIÓN DE RECUBRIMIENTO CHIZZATO VERTICALE REF - NARANJA SOBRE SUPERFICIE LISA INCLUYE</t>
    </r>
    <r>
      <rPr>
        <sz val="9"/>
        <color rgb="FF000000"/>
        <rFont val="Times New Roman"/>
        <family val="1"/>
      </rPr>
      <t>: LIJADO DE LA SUPERFICIE, APLICACIÓN DE SELLADOR ACRÍLICO 4648 A MANO CON RODILLO DE FELPA Y/O BROCHA; APLICACIÓN DE PINTUFLEX A MANO CON RODILLO DE FELPA Y/O BROCHA DEPENDIENDO EL COLOR QUE PREDOMINE EL RECUBRIMIENTO CHIZZATO; APLICACIÓN DE RECUBRIMIENTO CHIZZATO S.M.A POR MEDIO DE ASPERSIÓN DE AIRE Y BARRIDO POR MEDIO DE ESPÁTULA Y/O LLANA METÁLICA DE FORMA VERTICAL Y EN UN SOLO SENTIDO PARA LOGRAR EL EFECTO,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</si>
  <si>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t>CUERPO 2</t>
  </si>
  <si>
    <t>CUERPO 3</t>
  </si>
  <si>
    <t>DESC 5%</t>
  </si>
  <si>
    <t>PRES. REF. 16629-C/2026CG</t>
  </si>
  <si>
    <r>
      <t>1.-SUMINISTRO Y APLICACIÓN DE RECUBRIMIENTO CHISA GLASS REF-ALMENDRA J4-02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REF-BLANCO 764.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</si>
  <si>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2.-SUMINISTRO Y APLICACIÓN DE RECUBRIMIENTO CHISA GLASS REF-CONFETI 01.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REF-PENELOPE 063-02.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</si>
  <si>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3.-SUMINISTRO Y APLICACIÓN DE RECUBRIMIENTO CHISA GLASS REF-CONFETI 02.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REF-LOBEZNO 298-03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</si>
  <si>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4.-SUMINISTRO Y APLICACIÓN DE RECUBRIMIENTO CHISA GLASS REF-CONFETI 03.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REF-LOBEZNO 298-03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</si>
  <si>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5.-SUMINISTRO Y APLICACIÓN DE RECUBRIMIENTO CHISA GLASS REF-CONFETI 04.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REF-LOBEZNO 298-03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</si>
  <si>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6.-SUMINISTRO Y APLICACIÓN DE RECUBRIMIENTO CHISA GLASS REF-VERDE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REF-BLANCO 764.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</si>
  <si>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7.-SUMINISTRO Y APLICACIÓN DE RECUBRIMIENTO CHISA GLASS REF-ADONIS 226-04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REF-BLANCO 764.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</si>
  <si>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8.-SUMINISTRO Y APLICACIÓN DE RECUBRIMIENTO CHISA GLASS REF-ENCANTO ARABIGO 305-04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REF-BLANCO 764.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</si>
  <si>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9.-SUMINISTRO Y APLICACIÓN DE RECUBRIMIENTO CHISA GLASS REF-ESPECIA 270-03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REF-BLANCO 764.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</si>
  <si>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10.-SUMINISTRO Y APLICACIÓN DE RECUBRIMIENTO CHISA GLASS REF-LILA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REF-BLANCO 764.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</si>
  <si>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11.-SUMINISTRO Y APLICACIÓN DE RECUBRIMIENTO CHISA GLASS REF-NARANJA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REF-BLANCO 764.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</si>
  <si>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12.-SUMINISTRO Y APLICACIÓN DE RECUBRIMIENTO CHISA GLASS REF-ROSA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REF-BLANCO 764.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</si>
  <si>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13.-SUMINISTRO Y APLICACIÓN DE RECUBRIMIENTO CHISA GLASS REF-MULTICOLOR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REF-BLANCO 764.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</si>
  <si>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14.-SUMINISTRO Y APLICACIÓN DE RECUBRIMIENTO CHISA GLASS REF-CELESTE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REF-BLANCO 764.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</si>
  <si>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15.-SUMINISTRO Y APLICACIÓN DE RECUBRIMIENTO CHISA GLASS REF-CELESTE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REF-BLANCO 764.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</si>
  <si>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1.-SUMINISTRO Y APLICACIÓN DE RECUBRIMIENTO CHISA GLASS REF-ALMENDRA J4-02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REF-BLANCO 764.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</si>
  <si>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2.-SUMINISTRO Y APLICACIÓN DE RECUBRIMIENTO CHISA GLASS REF-CONFETI 01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REF-BLANCO 764.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</si>
  <si>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3.-SUMINISTRO Y APLICACIÓN DE RECUBRIMIENTO CHISA GLASS REF-CONFETI 02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REF-BLANCO 764.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</si>
  <si>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4.-SUMINISTRO Y APLICACIÓN DE RECUBRIMIENTO CHISA GLASS REF-CONFETI 03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REF-BLANCO 764.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</si>
  <si>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5.-SUMINISTRO Y APLICACIÓN DE RECUBRIMIENTO CHISA GLASS REF-CONFETI 04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REF-BLANCO 764.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</si>
  <si>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6.-SUMINISTRO Y APLICACIÓN DE RECUBRIMIENTO CHISA GLASS REF-ESPECIA 270-03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REF-BLANCO 764.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</si>
  <si>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1.-SUMINISTRO Y APLICACIÓN DE RECUBRIMIENTO CHISA GLASS REF-CONFETI 01.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REF-PENELOPE 063-02.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</si>
  <si>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2.-SUMINISTRO Y APLICACIÓN DE RECUBRIMIENTO CHISA GLASS REF-CONFETI 03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REF-BLANCO 764.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</si>
  <si>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3.-SUMINISTRO Y APLICACIÓN DE RECUBRIMIENTO CHISA GLASS REF-CONFETI 04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REF-BLANCO 764.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</si>
  <si>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4.-SUMINISTRO Y APLICACIÓN DE RECUBRIMIENTO CHISA GLASS REF-CONFETI 02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REF-BLANCO 764.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</si>
  <si>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5.-SUMINISTRO Y APLICACIÓN DE RECUBRIMIENTO CHISA GLASS REF-AMARILLO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REF-BLANCO 764.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</si>
  <si>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7.-SUMINISTRO Y APLICACIÓN DE RECUBRIMIENTO CHISA GLASS REF-LILA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REF-BLANCO 764.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</si>
  <si>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8.-SUMINISTRO Y APLICACIÓN DE RECUBRIMIENTO CHISA GLASS REF- NARANJA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REF-BLANCO 764.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</si>
  <si>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9.-SUMINISTRO Y APLICACIÓN DE RECUBRIMIENTO CHISA GLASS REF- ROSA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REF-BLANCO 764.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</si>
  <si>
    <r>
      <t>10.-SUMINISTRO Y APLICACIÓN DE RECUBRIMIENTO CHISA GLASS REF- VERDE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REF-BLANCO 764.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HERRAMIENTA.INCLUYE ANDAMIAJE.</t>
    </r>
  </si>
  <si>
    <r>
      <t>11.-SUMINISTRO Y APLICACIÓN DE RECUBRIMIENTO CHISA GLASS REF- ALMENDRA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REF-BLANCO 764.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INCLUYE ANDAMIAJE.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</si>
</sst>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Red]\-&quot;$&quot;#,##0.00"/>
    <numFmt numFmtId="44" formatCode="_-&quot;$&quot;* #,##0.00_-;\-&quot;$&quot;* #,##0.00_-;_-&quot;$&quot;* &quot;-&quot;??_-;_-@_-"/>
    <numFmt numFmtId="164" formatCode="0.00\ &quot;m²&quot;"/>
    <numFmt numFmtId="165" formatCode="&quot;$&quot;#,##0.00"/>
  </numFmts>
  <fonts count="17"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9"/>
      <color theme="1"/>
      <name val="Calibri"/>
      <family val="2"/>
      <scheme val="minor"/>
    </font>
    <font>
      <b/>
      <u/>
      <sz val="9"/>
      <color rgb="FF000000"/>
      <name val="Times New Roman"/>
      <family val="1"/>
    </font>
    <font>
      <sz val="9"/>
      <color rgb="FF000000"/>
      <name val="Times New Roman"/>
      <family val="1"/>
    </font>
    <font>
      <sz val="10"/>
      <name val="Arial"/>
      <family val="2"/>
    </font>
    <font>
      <sz val="9"/>
      <name val="Times New Roman"/>
      <family val="1"/>
    </font>
    <font>
      <b/>
      <sz val="12"/>
      <color theme="1"/>
      <name val="Times New Roman"/>
      <family val="1"/>
    </font>
    <font>
      <b/>
      <u/>
      <sz val="12"/>
      <color theme="1"/>
      <name val="Times New Roman"/>
      <family val="1"/>
    </font>
    <font>
      <b/>
      <u/>
      <sz val="10"/>
      <color theme="1"/>
      <name val="Times New Roman"/>
      <family val="1"/>
    </font>
  </fonts>
  <fills count="2">
    <fill>
      <patternFill patternType="none"/>
    </fill>
    <fill>
      <patternFill patternType="gray125"/>
    </fill>
  </fills>
  <borders count="1">
    <border>
      <left/>
      <right/>
      <top/>
      <bottom/>
      <diagonal/>
    </border>
  </borders>
  <cellStyleXfs count="4">
    <xf numFmtId="0" fontId="0" fillId="0" borderId="0"/>
    <xf numFmtId="44" fontId="5" fillId="0" borderId="0" applyFont="0" applyFill="0" applyBorder="0" applyAlignment="0" applyProtection="0"/>
    <xf numFmtId="0" fontId="12" fillId="0" borderId="0"/>
    <xf numFmtId="44" fontId="5" fillId="0" borderId="0" applyFont="0" applyFill="0" applyBorder="0" applyAlignment="0" applyProtection="0"/>
  </cellStyleXfs>
  <cellXfs count="64">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4" fillId="0" borderId="0" xfId="0" applyFont="1" applyAlignment="1">
      <alignment horizontal="justify" vertical="top" wrapText="1"/>
    </xf>
    <xf numFmtId="0" fontId="2" fillId="0" borderId="0" xfId="0" applyFont="1" applyAlignment="1">
      <alignment horizontal="justify" vertical="center"/>
    </xf>
    <xf numFmtId="0" fontId="1" fillId="0" borderId="0" xfId="0" applyFont="1" applyAlignment="1">
      <alignment horizontal="justify" vertical="center"/>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6"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wrapText="1"/>
    </xf>
    <xf numFmtId="0" fontId="1" fillId="0" borderId="0" xfId="0" applyFont="1" applyAlignment="1">
      <alignment horizontal="left"/>
    </xf>
    <xf numFmtId="12" fontId="1" fillId="0" borderId="0" xfId="0" applyNumberFormat="1" applyFont="1" applyAlignment="1">
      <alignment horizontal="center" vertical="center" wrapText="1"/>
    </xf>
    <xf numFmtId="4" fontId="1" fillId="0" borderId="0" xfId="0" applyNumberFormat="1" applyFont="1" applyAlignment="1">
      <alignment horizontal="center" wrapText="1"/>
    </xf>
    <xf numFmtId="0" fontId="9" fillId="0" borderId="0" xfId="0" applyFont="1"/>
    <xf numFmtId="0" fontId="2" fillId="0" borderId="0" xfId="0" applyFont="1" applyAlignment="1">
      <alignment horizontal="center" vertical="center"/>
    </xf>
    <xf numFmtId="0" fontId="1" fillId="0" borderId="0" xfId="0" applyFont="1" applyAlignment="1">
      <alignment horizontal="right" vertical="center" wrapText="1"/>
    </xf>
    <xf numFmtId="0" fontId="4" fillId="0" borderId="0" xfId="0" applyFont="1" applyAlignment="1">
      <alignment horizontal="justify" vertical="center"/>
    </xf>
    <xf numFmtId="0" fontId="10" fillId="0" borderId="0" xfId="0" applyFont="1" applyAlignment="1">
      <alignment horizontal="justify" vertical="center"/>
    </xf>
    <xf numFmtId="0" fontId="1" fillId="0" borderId="0" xfId="0" applyFont="1" applyAlignment="1">
      <alignment horizontal="center"/>
    </xf>
    <xf numFmtId="0" fontId="1" fillId="0" borderId="0" xfId="0" applyFont="1" applyAlignment="1">
      <alignment horizontal="justify" vertical="center" wrapText="1"/>
    </xf>
    <xf numFmtId="0" fontId="2" fillId="0" borderId="0" xfId="0" applyFont="1" applyAlignment="1">
      <alignment horizontal="center" vertical="center"/>
    </xf>
    <xf numFmtId="0" fontId="1" fillId="0" borderId="0" xfId="0" applyFont="1" applyAlignment="1">
      <alignment horizontal="justify" vertical="top" wrapText="1"/>
    </xf>
    <xf numFmtId="0" fontId="2" fillId="0" borderId="0" xfId="0" applyFont="1" applyAlignment="1">
      <alignment horizontal="left" vertical="center"/>
    </xf>
    <xf numFmtId="0" fontId="2" fillId="0" borderId="0" xfId="0" applyFont="1" applyAlignment="1">
      <alignment horizontal="right" vertical="center"/>
    </xf>
    <xf numFmtId="0" fontId="1" fillId="0" borderId="0" xfId="0" applyFont="1" applyAlignment="1">
      <alignment horizontal="right" vertical="center"/>
    </xf>
    <xf numFmtId="0" fontId="1" fillId="0" borderId="0" xfId="0" applyFont="1" applyAlignment="1">
      <alignment horizontal="left" vertical="center"/>
    </xf>
    <xf numFmtId="0" fontId="7" fillId="0" borderId="0" xfId="0" applyFont="1" applyAlignment="1">
      <alignment horizontal="center" wrapText="1"/>
    </xf>
    <xf numFmtId="0" fontId="6" fillId="0" borderId="0" xfId="0" applyFont="1" applyAlignment="1">
      <alignment horizontal="center" wrapText="1"/>
    </xf>
    <xf numFmtId="0" fontId="1" fillId="0" borderId="0" xfId="0" applyFont="1"/>
    <xf numFmtId="0" fontId="1" fillId="0" borderId="0" xfId="0" applyFont="1" applyAlignment="1">
      <alignment horizontal="left" vertical="top"/>
    </xf>
    <xf numFmtId="0" fontId="1" fillId="0" borderId="0" xfId="0" applyFont="1" applyAlignment="1">
      <alignment horizontal="justify" vertical="justify" wrapText="1"/>
    </xf>
    <xf numFmtId="0" fontId="1" fillId="0" borderId="0" xfId="0" applyFont="1" applyAlignment="1">
      <alignment horizontal="right" vertical="center" wrapText="1"/>
    </xf>
    <xf numFmtId="0" fontId="13" fillId="0" borderId="0" xfId="2" applyFont="1" applyAlignment="1">
      <alignment vertical="center" wrapText="1"/>
    </xf>
    <xf numFmtId="44" fontId="1" fillId="0" borderId="0" xfId="1" applyFont="1" applyBorder="1" applyAlignment="1">
      <alignment horizontal="center" wrapText="1"/>
    </xf>
    <xf numFmtId="44" fontId="1" fillId="0" borderId="0" xfId="3" applyFont="1" applyAlignment="1">
      <alignment horizontal="center" wrapText="1"/>
    </xf>
    <xf numFmtId="0" fontId="1" fillId="0" borderId="0" xfId="0" applyFont="1" applyAlignment="1">
      <alignment horizontal="center" vertical="center"/>
    </xf>
    <xf numFmtId="0" fontId="1" fillId="0" borderId="0" xfId="0" applyFont="1" applyAlignment="1">
      <alignment horizontal="center" vertical="top"/>
    </xf>
    <xf numFmtId="0" fontId="14" fillId="0" borderId="0" xfId="0" applyFont="1" applyAlignment="1">
      <alignment horizontal="left" vertical="center"/>
    </xf>
    <xf numFmtId="44" fontId="1" fillId="0" borderId="0" xfId="0" applyNumberFormat="1" applyFont="1" applyAlignment="1">
      <alignment horizontal="center"/>
    </xf>
    <xf numFmtId="44" fontId="1" fillId="0" borderId="0" xfId="0" applyNumberFormat="1" applyFont="1" applyAlignment="1">
      <alignment horizontal="right"/>
    </xf>
    <xf numFmtId="0" fontId="15" fillId="0" borderId="0" xfId="0" applyFont="1" applyAlignment="1">
      <alignment horizontal="left" vertical="center"/>
    </xf>
    <xf numFmtId="4" fontId="1" fillId="0" borderId="0" xfId="0" applyNumberFormat="1" applyFont="1" applyAlignment="1">
      <alignment horizontal="right" wrapText="1"/>
    </xf>
    <xf numFmtId="165" fontId="1" fillId="0" borderId="0" xfId="1" applyNumberFormat="1" applyFont="1" applyAlignment="1">
      <alignment horizontal="right" vertical="center" wrapText="1"/>
    </xf>
    <xf numFmtId="8" fontId="1" fillId="0" borderId="0" xfId="0" applyNumberFormat="1" applyFont="1" applyAlignment="1">
      <alignment horizontal="right" wrapText="1"/>
    </xf>
    <xf numFmtId="0" fontId="1" fillId="0" borderId="0" xfId="0" applyFont="1" applyAlignment="1">
      <alignment vertical="center" wrapText="1"/>
    </xf>
    <xf numFmtId="0" fontId="1" fillId="0" borderId="0" xfId="0" applyFont="1" applyAlignment="1">
      <alignment horizontal="center" vertical="top" wrapText="1"/>
    </xf>
    <xf numFmtId="0" fontId="4" fillId="0" borderId="0" xfId="0" applyFont="1" applyAlignment="1">
      <alignment horizontal="center" vertical="center"/>
    </xf>
    <xf numFmtId="0" fontId="1" fillId="0" borderId="0" xfId="0" applyFont="1" applyAlignment="1">
      <alignment horizontal="center" wrapText="1"/>
    </xf>
    <xf numFmtId="2" fontId="1" fillId="0" borderId="0" xfId="0" applyNumberFormat="1" applyFont="1"/>
    <xf numFmtId="164" fontId="1" fillId="0" borderId="0" xfId="0" applyNumberFormat="1" applyFont="1"/>
    <xf numFmtId="0" fontId="16" fillId="0" borderId="0" xfId="0" applyFont="1" applyAlignment="1">
      <alignment horizontal="center" vertical="center"/>
    </xf>
  </cellXfs>
  <cellStyles count="4">
    <cellStyle name="Moneda" xfId="1" builtinId="4"/>
    <cellStyle name="Moneda 2 2 2 2" xfId="3" xr:uid="{B676011F-E116-4D5D-B813-3804449F6AC9}"/>
    <cellStyle name="Normal" xfId="0" builtinId="0"/>
    <cellStyle name="Normal 2" xfId="2" xr:uid="{B6116956-06E0-4808-BAF6-99D7B9549E2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5.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3</xdr:col>
      <xdr:colOff>466726</xdr:colOff>
      <xdr:row>0</xdr:row>
      <xdr:rowOff>85725</xdr:rowOff>
    </xdr:from>
    <xdr:to>
      <xdr:col>7</xdr:col>
      <xdr:colOff>133350</xdr:colOff>
      <xdr:row>6</xdr:row>
      <xdr:rowOff>104775</xdr:rowOff>
    </xdr:to>
    <xdr:pic>
      <xdr:nvPicPr>
        <xdr:cNvPr id="3" name="Imagen 2">
          <a:extLst>
            <a:ext uri="{FF2B5EF4-FFF2-40B4-BE49-F238E27FC236}">
              <a16:creationId xmlns:a16="http://schemas.microsoft.com/office/drawing/2014/main" id="{419560FA-B23E-DD04-BB1B-B0C541BF58A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12" r="14075"/>
        <a:stretch>
          <a:fillRect/>
        </a:stretch>
      </xdr:blipFill>
      <xdr:spPr>
        <a:xfrm>
          <a:off x="5238751" y="85725"/>
          <a:ext cx="2381249" cy="1162050"/>
        </a:xfrm>
        <a:prstGeom prst="rect">
          <a:avLst/>
        </a:prstGeom>
      </xdr:spPr>
    </xdr:pic>
    <xdr:clientData/>
  </xdr:twoCellAnchor>
  <xdr:twoCellAnchor editAs="oneCell">
    <xdr:from>
      <xdr:col>4</xdr:col>
      <xdr:colOff>228601</xdr:colOff>
      <xdr:row>129</xdr:row>
      <xdr:rowOff>63801</xdr:rowOff>
    </xdr:from>
    <xdr:to>
      <xdr:col>7</xdr:col>
      <xdr:colOff>390526</xdr:colOff>
      <xdr:row>134</xdr:row>
      <xdr:rowOff>171450</xdr:rowOff>
    </xdr:to>
    <xdr:pic>
      <xdr:nvPicPr>
        <xdr:cNvPr id="5" name="Imagen 4">
          <a:extLst>
            <a:ext uri="{FF2B5EF4-FFF2-40B4-BE49-F238E27FC236}">
              <a16:creationId xmlns:a16="http://schemas.microsoft.com/office/drawing/2014/main" id="{71C04DDF-6366-41D0-8D66-FB41B78BD7E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482" r="15790"/>
        <a:stretch>
          <a:fillRect/>
        </a:stretch>
      </xdr:blipFill>
      <xdr:spPr>
        <a:xfrm>
          <a:off x="5962651" y="101324076"/>
          <a:ext cx="2171700" cy="1060149"/>
        </a:xfrm>
        <a:prstGeom prst="rect">
          <a:avLst/>
        </a:prstGeom>
      </xdr:spPr>
    </xdr:pic>
    <xdr:clientData/>
  </xdr:twoCellAnchor>
  <xdr:twoCellAnchor editAs="oneCell">
    <xdr:from>
      <xdr:col>4</xdr:col>
      <xdr:colOff>342900</xdr:colOff>
      <xdr:row>31</xdr:row>
      <xdr:rowOff>38100</xdr:rowOff>
    </xdr:from>
    <xdr:to>
      <xdr:col>7</xdr:col>
      <xdr:colOff>457199</xdr:colOff>
      <xdr:row>32</xdr:row>
      <xdr:rowOff>9525</xdr:rowOff>
    </xdr:to>
    <xdr:pic>
      <xdr:nvPicPr>
        <xdr:cNvPr id="7" name="Imagen 6">
          <a:extLst>
            <a:ext uri="{FF2B5EF4-FFF2-40B4-BE49-F238E27FC236}">
              <a16:creationId xmlns:a16="http://schemas.microsoft.com/office/drawing/2014/main" id="{4B477DE5-51F9-4A1A-82A5-69C695DBE43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912" r="14075"/>
        <a:stretch>
          <a:fillRect/>
        </a:stretch>
      </xdr:blipFill>
      <xdr:spPr>
        <a:xfrm>
          <a:off x="6076950" y="11706225"/>
          <a:ext cx="2124074" cy="1000125"/>
        </a:xfrm>
        <a:prstGeom prst="rect">
          <a:avLst/>
        </a:prstGeom>
      </xdr:spPr>
    </xdr:pic>
    <xdr:clientData/>
  </xdr:twoCellAnchor>
  <xdr:twoCellAnchor editAs="oneCell">
    <xdr:from>
      <xdr:col>4</xdr:col>
      <xdr:colOff>257175</xdr:colOff>
      <xdr:row>41</xdr:row>
      <xdr:rowOff>85725</xdr:rowOff>
    </xdr:from>
    <xdr:to>
      <xdr:col>7</xdr:col>
      <xdr:colOff>371474</xdr:colOff>
      <xdr:row>44</xdr:row>
      <xdr:rowOff>171450</xdr:rowOff>
    </xdr:to>
    <xdr:pic>
      <xdr:nvPicPr>
        <xdr:cNvPr id="8" name="Imagen 7">
          <a:extLst>
            <a:ext uri="{FF2B5EF4-FFF2-40B4-BE49-F238E27FC236}">
              <a16:creationId xmlns:a16="http://schemas.microsoft.com/office/drawing/2014/main" id="{DB34CE4C-7DD0-4D50-B6AE-355BB7111FB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912" r="14075"/>
        <a:stretch>
          <a:fillRect/>
        </a:stretch>
      </xdr:blipFill>
      <xdr:spPr>
        <a:xfrm>
          <a:off x="5991225" y="23136225"/>
          <a:ext cx="2124074" cy="1000125"/>
        </a:xfrm>
        <a:prstGeom prst="rect">
          <a:avLst/>
        </a:prstGeom>
      </xdr:spPr>
    </xdr:pic>
    <xdr:clientData/>
  </xdr:twoCellAnchor>
  <xdr:twoCellAnchor editAs="oneCell">
    <xdr:from>
      <xdr:col>4</xdr:col>
      <xdr:colOff>285750</xdr:colOff>
      <xdr:row>53</xdr:row>
      <xdr:rowOff>1933575</xdr:rowOff>
    </xdr:from>
    <xdr:to>
      <xdr:col>7</xdr:col>
      <xdr:colOff>400049</xdr:colOff>
      <xdr:row>56</xdr:row>
      <xdr:rowOff>219075</xdr:rowOff>
    </xdr:to>
    <xdr:pic>
      <xdr:nvPicPr>
        <xdr:cNvPr id="10" name="Imagen 9">
          <a:extLst>
            <a:ext uri="{FF2B5EF4-FFF2-40B4-BE49-F238E27FC236}">
              <a16:creationId xmlns:a16="http://schemas.microsoft.com/office/drawing/2014/main" id="{18EA3FDD-6295-45F9-AB96-CF2F21535BD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912" r="14075"/>
        <a:stretch>
          <a:fillRect/>
        </a:stretch>
      </xdr:blipFill>
      <xdr:spPr>
        <a:xfrm>
          <a:off x="6019800" y="34575750"/>
          <a:ext cx="2124074" cy="1000125"/>
        </a:xfrm>
        <a:prstGeom prst="rect">
          <a:avLst/>
        </a:prstGeom>
      </xdr:spPr>
    </xdr:pic>
    <xdr:clientData/>
  </xdr:twoCellAnchor>
  <xdr:twoCellAnchor editAs="oneCell">
    <xdr:from>
      <xdr:col>4</xdr:col>
      <xdr:colOff>276225</xdr:colOff>
      <xdr:row>67</xdr:row>
      <xdr:rowOff>47625</xdr:rowOff>
    </xdr:from>
    <xdr:to>
      <xdr:col>7</xdr:col>
      <xdr:colOff>390524</xdr:colOff>
      <xdr:row>70</xdr:row>
      <xdr:rowOff>247650</xdr:rowOff>
    </xdr:to>
    <xdr:pic>
      <xdr:nvPicPr>
        <xdr:cNvPr id="12" name="Imagen 11">
          <a:extLst>
            <a:ext uri="{FF2B5EF4-FFF2-40B4-BE49-F238E27FC236}">
              <a16:creationId xmlns:a16="http://schemas.microsoft.com/office/drawing/2014/main" id="{685E6339-D9C7-44DF-AE72-74B01F113564}"/>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912" r="14075"/>
        <a:stretch>
          <a:fillRect/>
        </a:stretch>
      </xdr:blipFill>
      <xdr:spPr>
        <a:xfrm>
          <a:off x="6010275" y="46748700"/>
          <a:ext cx="2124074" cy="1000125"/>
        </a:xfrm>
        <a:prstGeom prst="rect">
          <a:avLst/>
        </a:prstGeom>
      </xdr:spPr>
    </xdr:pic>
    <xdr:clientData/>
  </xdr:twoCellAnchor>
  <xdr:twoCellAnchor editAs="oneCell">
    <xdr:from>
      <xdr:col>4</xdr:col>
      <xdr:colOff>314325</xdr:colOff>
      <xdr:row>80</xdr:row>
      <xdr:rowOff>38100</xdr:rowOff>
    </xdr:from>
    <xdr:to>
      <xdr:col>7</xdr:col>
      <xdr:colOff>428624</xdr:colOff>
      <xdr:row>82</xdr:row>
      <xdr:rowOff>104775</xdr:rowOff>
    </xdr:to>
    <xdr:pic>
      <xdr:nvPicPr>
        <xdr:cNvPr id="13" name="Imagen 12">
          <a:extLst>
            <a:ext uri="{FF2B5EF4-FFF2-40B4-BE49-F238E27FC236}">
              <a16:creationId xmlns:a16="http://schemas.microsoft.com/office/drawing/2014/main" id="{361DE69D-9898-4F45-83AC-F577EA29F96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912" r="14075"/>
        <a:stretch>
          <a:fillRect/>
        </a:stretch>
      </xdr:blipFill>
      <xdr:spPr>
        <a:xfrm>
          <a:off x="6048375" y="58159650"/>
          <a:ext cx="2124074" cy="1000125"/>
        </a:xfrm>
        <a:prstGeom prst="rect">
          <a:avLst/>
        </a:prstGeom>
      </xdr:spPr>
    </xdr:pic>
    <xdr:clientData/>
  </xdr:twoCellAnchor>
  <xdr:twoCellAnchor editAs="oneCell">
    <xdr:from>
      <xdr:col>4</xdr:col>
      <xdr:colOff>238125</xdr:colOff>
      <xdr:row>93</xdr:row>
      <xdr:rowOff>38100</xdr:rowOff>
    </xdr:from>
    <xdr:to>
      <xdr:col>7</xdr:col>
      <xdr:colOff>352424</xdr:colOff>
      <xdr:row>93</xdr:row>
      <xdr:rowOff>1038225</xdr:rowOff>
    </xdr:to>
    <xdr:pic>
      <xdr:nvPicPr>
        <xdr:cNvPr id="14" name="Imagen 13">
          <a:extLst>
            <a:ext uri="{FF2B5EF4-FFF2-40B4-BE49-F238E27FC236}">
              <a16:creationId xmlns:a16="http://schemas.microsoft.com/office/drawing/2014/main" id="{9F0A63AE-61A5-4E1D-8906-BAB1E19539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912" r="14075"/>
        <a:stretch>
          <a:fillRect/>
        </a:stretch>
      </xdr:blipFill>
      <xdr:spPr>
        <a:xfrm>
          <a:off x="5972175" y="70275450"/>
          <a:ext cx="2124074" cy="1000125"/>
        </a:xfrm>
        <a:prstGeom prst="rect">
          <a:avLst/>
        </a:prstGeom>
      </xdr:spPr>
    </xdr:pic>
    <xdr:clientData/>
  </xdr:twoCellAnchor>
  <xdr:twoCellAnchor editAs="oneCell">
    <xdr:from>
      <xdr:col>4</xdr:col>
      <xdr:colOff>361950</xdr:colOff>
      <xdr:row>105</xdr:row>
      <xdr:rowOff>9525</xdr:rowOff>
    </xdr:from>
    <xdr:to>
      <xdr:col>7</xdr:col>
      <xdr:colOff>476249</xdr:colOff>
      <xdr:row>105</xdr:row>
      <xdr:rowOff>1009650</xdr:rowOff>
    </xdr:to>
    <xdr:pic>
      <xdr:nvPicPr>
        <xdr:cNvPr id="15" name="Imagen 14">
          <a:extLst>
            <a:ext uri="{FF2B5EF4-FFF2-40B4-BE49-F238E27FC236}">
              <a16:creationId xmlns:a16="http://schemas.microsoft.com/office/drawing/2014/main" id="{A4764387-531A-4672-B3F2-75CEF0D7F27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912" r="14075"/>
        <a:stretch>
          <a:fillRect/>
        </a:stretch>
      </xdr:blipFill>
      <xdr:spPr>
        <a:xfrm>
          <a:off x="6096000" y="82429350"/>
          <a:ext cx="2124074" cy="1000125"/>
        </a:xfrm>
        <a:prstGeom prst="rect">
          <a:avLst/>
        </a:prstGeom>
      </xdr:spPr>
    </xdr:pic>
    <xdr:clientData/>
  </xdr:twoCellAnchor>
  <xdr:twoCellAnchor editAs="oneCell">
    <xdr:from>
      <xdr:col>4</xdr:col>
      <xdr:colOff>295275</xdr:colOff>
      <xdr:row>115</xdr:row>
      <xdr:rowOff>47625</xdr:rowOff>
    </xdr:from>
    <xdr:to>
      <xdr:col>7</xdr:col>
      <xdr:colOff>409574</xdr:colOff>
      <xdr:row>115</xdr:row>
      <xdr:rowOff>1047750</xdr:rowOff>
    </xdr:to>
    <xdr:pic>
      <xdr:nvPicPr>
        <xdr:cNvPr id="16" name="Imagen 15">
          <a:extLst>
            <a:ext uri="{FF2B5EF4-FFF2-40B4-BE49-F238E27FC236}">
              <a16:creationId xmlns:a16="http://schemas.microsoft.com/office/drawing/2014/main" id="{3D5AC813-A3FE-461C-B9CE-00AA82FD908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912" r="14075"/>
        <a:stretch>
          <a:fillRect/>
        </a:stretch>
      </xdr:blipFill>
      <xdr:spPr>
        <a:xfrm>
          <a:off x="6029325" y="93887925"/>
          <a:ext cx="2124074" cy="10001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628650</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168"/>
  <sheetViews>
    <sheetView tabSelected="1" topLeftCell="A19" zoomScaleNormal="100" workbookViewId="0">
      <selection activeCell="F25" sqref="F25"/>
    </sheetView>
  </sheetViews>
  <sheetFormatPr baseColWidth="10" defaultRowHeight="15" x14ac:dyDescent="0.25"/>
  <cols>
    <col min="1" max="1" width="2.7109375" customWidth="1"/>
    <col min="2" max="2" width="63.5703125" customWidth="1"/>
    <col min="3" max="3" width="10.42578125" customWidth="1"/>
    <col min="4" max="4" width="10.5703125" customWidth="1"/>
    <col min="5" max="5" width="12.140625" customWidth="1"/>
    <col min="6" max="6" width="14.85546875" customWidth="1"/>
    <col min="7" max="7" width="3.140625" customWidth="1"/>
  </cols>
  <sheetData>
    <row r="1" spans="2:8" x14ac:dyDescent="0.25">
      <c r="B1" s="26"/>
      <c r="C1" s="26"/>
      <c r="D1" s="26"/>
      <c r="E1" s="26"/>
      <c r="F1" s="26"/>
    </row>
    <row r="2" spans="2:8" x14ac:dyDescent="0.25">
      <c r="B2" s="37"/>
      <c r="C2" s="37"/>
      <c r="D2" s="37"/>
      <c r="E2" s="37"/>
      <c r="F2" s="37"/>
    </row>
    <row r="3" spans="2:8" x14ac:dyDescent="0.25">
      <c r="B3" s="1"/>
      <c r="C3" s="1"/>
      <c r="D3" s="26"/>
      <c r="E3" s="26"/>
      <c r="F3" s="26"/>
    </row>
    <row r="4" spans="2:8" x14ac:dyDescent="0.25">
      <c r="B4" s="1"/>
      <c r="C4" s="1"/>
      <c r="D4" s="26"/>
      <c r="E4" s="26"/>
      <c r="F4" s="26"/>
    </row>
    <row r="5" spans="2:8" x14ac:dyDescent="0.25">
      <c r="B5" s="1"/>
      <c r="C5" s="1"/>
      <c r="D5" s="26"/>
      <c r="E5" s="26"/>
      <c r="F5" s="26"/>
    </row>
    <row r="6" spans="2:8" x14ac:dyDescent="0.25">
      <c r="B6" s="1"/>
      <c r="C6" s="1"/>
      <c r="D6" s="26"/>
      <c r="E6" s="26"/>
      <c r="F6" s="26"/>
    </row>
    <row r="7" spans="2:8" x14ac:dyDescent="0.25">
      <c r="B7" s="1"/>
      <c r="C7" s="1"/>
      <c r="D7" s="26"/>
      <c r="E7" s="26"/>
      <c r="F7" s="26"/>
    </row>
    <row r="8" spans="2:8" x14ac:dyDescent="0.25">
      <c r="B8" s="1"/>
      <c r="C8" s="1"/>
      <c r="D8" s="26"/>
      <c r="E8" s="26"/>
      <c r="F8" s="26"/>
    </row>
    <row r="9" spans="2:8" x14ac:dyDescent="0.25">
      <c r="B9" s="44" t="s">
        <v>49</v>
      </c>
      <c r="C9" s="44"/>
      <c r="D9" s="44"/>
      <c r="E9" s="44"/>
      <c r="F9" s="57"/>
    </row>
    <row r="10" spans="2:8" x14ac:dyDescent="0.25">
      <c r="B10" s="1"/>
      <c r="C10" s="19"/>
      <c r="D10" s="19"/>
      <c r="E10" s="19"/>
      <c r="F10" s="45"/>
    </row>
    <row r="11" spans="2:8" x14ac:dyDescent="0.25">
      <c r="B11" s="1" t="s">
        <v>50</v>
      </c>
      <c r="C11" s="19"/>
      <c r="D11" s="19"/>
      <c r="E11" s="19"/>
      <c r="F11" s="45"/>
    </row>
    <row r="12" spans="2:8" x14ac:dyDescent="0.25">
      <c r="B12" s="1" t="s">
        <v>0</v>
      </c>
      <c r="C12" s="19"/>
      <c r="D12" s="19"/>
      <c r="E12" s="19"/>
      <c r="F12" s="19"/>
    </row>
    <row r="13" spans="2:8" x14ac:dyDescent="0.25">
      <c r="B13" s="1"/>
      <c r="C13" s="19"/>
      <c r="D13" s="19"/>
      <c r="E13" s="19"/>
      <c r="F13" s="19"/>
    </row>
    <row r="14" spans="2:8" x14ac:dyDescent="0.25">
      <c r="B14" s="36" t="s">
        <v>51</v>
      </c>
      <c r="C14" s="36"/>
      <c r="D14" s="36"/>
      <c r="E14" s="36"/>
      <c r="F14" s="36"/>
      <c r="G14" s="1"/>
      <c r="H14" s="1"/>
    </row>
    <row r="15" spans="2:8" x14ac:dyDescent="0.25">
      <c r="B15" s="16"/>
      <c r="C15" s="19"/>
      <c r="D15" s="19"/>
      <c r="E15" s="19"/>
      <c r="F15" s="19"/>
    </row>
    <row r="16" spans="2:8" x14ac:dyDescent="0.25">
      <c r="B16" s="35" t="s">
        <v>52</v>
      </c>
      <c r="C16" s="35"/>
      <c r="D16" s="35"/>
      <c r="E16" s="35"/>
      <c r="F16" s="35"/>
    </row>
    <row r="17" spans="2:8" x14ac:dyDescent="0.25">
      <c r="B17" s="7" t="s">
        <v>74</v>
      </c>
      <c r="C17" s="20"/>
      <c r="D17" s="20"/>
      <c r="E17" s="20"/>
      <c r="F17" s="19"/>
    </row>
    <row r="18" spans="2:8" x14ac:dyDescent="0.25">
      <c r="B18" s="8"/>
      <c r="C18" s="20"/>
      <c r="D18" s="20"/>
      <c r="E18" s="20"/>
      <c r="F18" s="19"/>
    </row>
    <row r="19" spans="2:8" ht="21" customHeight="1" x14ac:dyDescent="0.25">
      <c r="B19" s="34" t="s">
        <v>53</v>
      </c>
      <c r="C19" s="34"/>
      <c r="D19" s="34"/>
      <c r="E19" s="34"/>
      <c r="F19" s="34"/>
    </row>
    <row r="20" spans="2:8" ht="13.5" customHeight="1" x14ac:dyDescent="0.25">
      <c r="B20" s="58"/>
      <c r="C20" s="58"/>
      <c r="D20" s="58"/>
      <c r="E20" s="58"/>
      <c r="F20" s="58"/>
      <c r="G20" s="2"/>
      <c r="H20" s="2"/>
    </row>
    <row r="21" spans="2:8" ht="24" customHeight="1" x14ac:dyDescent="0.25">
      <c r="B21" s="27" t="s">
        <v>21</v>
      </c>
      <c r="C21" s="27" t="s">
        <v>36</v>
      </c>
      <c r="D21" s="27" t="s">
        <v>19</v>
      </c>
      <c r="E21" s="27" t="s">
        <v>27</v>
      </c>
      <c r="F21" s="27" t="s">
        <v>20</v>
      </c>
    </row>
    <row r="22" spans="2:8" x14ac:dyDescent="0.25">
      <c r="B22" s="27"/>
      <c r="C22" s="27"/>
      <c r="D22" s="27"/>
      <c r="E22" s="27"/>
      <c r="F22" s="27"/>
    </row>
    <row r="23" spans="2:8" ht="29.25" customHeight="1" x14ac:dyDescent="0.25">
      <c r="B23" s="50" t="s">
        <v>60</v>
      </c>
      <c r="C23" s="27"/>
      <c r="D23" s="27"/>
      <c r="E23" s="27"/>
      <c r="F23" s="27"/>
    </row>
    <row r="24" spans="2:8" ht="27" customHeight="1" x14ac:dyDescent="0.25">
      <c r="B24" s="63" t="s">
        <v>61</v>
      </c>
      <c r="C24" s="27"/>
      <c r="D24" s="27"/>
      <c r="E24" s="27"/>
      <c r="F24" s="27"/>
    </row>
    <row r="25" spans="2:8" ht="12" customHeight="1" x14ac:dyDescent="0.25">
      <c r="B25" s="29"/>
      <c r="C25" s="60"/>
      <c r="D25" s="25"/>
      <c r="E25" s="46"/>
      <c r="F25" s="46"/>
      <c r="G25" s="10"/>
    </row>
    <row r="26" spans="2:8" ht="155.25" customHeight="1" x14ac:dyDescent="0.25">
      <c r="B26" s="29" t="s">
        <v>75</v>
      </c>
      <c r="C26" s="31" t="s">
        <v>22</v>
      </c>
      <c r="D26" s="61">
        <v>3179.69</v>
      </c>
      <c r="E26" s="47">
        <v>239.9</v>
      </c>
      <c r="F26" s="47">
        <f>D26*E26</f>
        <v>762807.63100000005</v>
      </c>
      <c r="G26" s="10"/>
    </row>
    <row r="27" spans="2:8" ht="9.75" customHeight="1" x14ac:dyDescent="0.25">
      <c r="B27" s="29"/>
      <c r="C27" s="31"/>
      <c r="D27" s="61"/>
      <c r="E27" s="47"/>
      <c r="F27" s="47"/>
      <c r="G27" s="10"/>
    </row>
    <row r="28" spans="2:8" ht="155.25" customHeight="1" x14ac:dyDescent="0.25">
      <c r="B28" s="29" t="s">
        <v>76</v>
      </c>
      <c r="C28" s="31" t="s">
        <v>22</v>
      </c>
      <c r="D28" s="25">
        <v>5674.13</v>
      </c>
      <c r="E28" s="47">
        <v>239.9</v>
      </c>
      <c r="F28" s="47">
        <f>D28*E28</f>
        <v>1361223.787</v>
      </c>
      <c r="G28" s="10"/>
    </row>
    <row r="29" spans="2:8" ht="9.75" customHeight="1" x14ac:dyDescent="0.25">
      <c r="B29" s="29"/>
      <c r="C29" s="31"/>
      <c r="D29" s="25"/>
      <c r="E29" s="47"/>
      <c r="F29" s="47"/>
      <c r="G29" s="10"/>
    </row>
    <row r="30" spans="2:8" ht="155.25" customHeight="1" x14ac:dyDescent="0.25">
      <c r="B30" s="29" t="s">
        <v>77</v>
      </c>
      <c r="C30" s="31" t="s">
        <v>22</v>
      </c>
      <c r="D30" s="25">
        <v>4131.43</v>
      </c>
      <c r="E30" s="47">
        <v>239.9</v>
      </c>
      <c r="F30" s="47">
        <f>D30*E30</f>
        <v>991130.05700000015</v>
      </c>
      <c r="G30" s="10"/>
    </row>
    <row r="31" spans="2:8" ht="21.75" customHeight="1" x14ac:dyDescent="0.25">
      <c r="B31" s="29"/>
      <c r="C31" s="31"/>
      <c r="D31" s="25"/>
      <c r="E31" s="47"/>
      <c r="F31" s="47"/>
      <c r="G31" s="10"/>
    </row>
    <row r="32" spans="2:8" ht="81" customHeight="1" x14ac:dyDescent="0.25">
      <c r="B32" s="29"/>
      <c r="C32" s="31"/>
      <c r="D32" s="25"/>
      <c r="E32" s="47"/>
      <c r="F32" s="47"/>
      <c r="G32" s="10"/>
    </row>
    <row r="33" spans="2:7" ht="155.25" customHeight="1" x14ac:dyDescent="0.25">
      <c r="B33" s="29" t="s">
        <v>78</v>
      </c>
      <c r="C33" s="31" t="s">
        <v>22</v>
      </c>
      <c r="D33" s="25">
        <v>2077.5700000000002</v>
      </c>
      <c r="E33" s="47">
        <v>239.9</v>
      </c>
      <c r="F33" s="47">
        <f>D33*E33</f>
        <v>498409.04300000006</v>
      </c>
      <c r="G33" s="10"/>
    </row>
    <row r="34" spans="2:7" ht="9.75" customHeight="1" x14ac:dyDescent="0.25">
      <c r="B34" s="29"/>
      <c r="C34" s="31"/>
      <c r="D34" s="25"/>
      <c r="E34" s="47"/>
      <c r="F34" s="47"/>
      <c r="G34" s="10"/>
    </row>
    <row r="35" spans="2:7" ht="155.25" customHeight="1" x14ac:dyDescent="0.25">
      <c r="B35" s="29" t="s">
        <v>79</v>
      </c>
      <c r="C35" s="31" t="s">
        <v>22</v>
      </c>
      <c r="D35" s="25">
        <v>6683.86</v>
      </c>
      <c r="E35" s="47">
        <v>239.9</v>
      </c>
      <c r="F35" s="47">
        <f>D35*E35</f>
        <v>1603458.014</v>
      </c>
      <c r="G35" s="10"/>
    </row>
    <row r="36" spans="2:7" ht="9.75" customHeight="1" x14ac:dyDescent="0.25">
      <c r="B36" s="29"/>
      <c r="C36" s="31"/>
      <c r="D36" s="25"/>
      <c r="E36" s="47"/>
      <c r="F36" s="47"/>
      <c r="G36" s="10"/>
    </row>
    <row r="37" spans="2:7" ht="155.25" customHeight="1" x14ac:dyDescent="0.25">
      <c r="B37" s="29" t="s">
        <v>80</v>
      </c>
      <c r="C37" s="31" t="s">
        <v>22</v>
      </c>
      <c r="D37" s="25">
        <v>1033.49</v>
      </c>
      <c r="E37" s="47">
        <v>239.9</v>
      </c>
      <c r="F37" s="47">
        <f>D37*E37</f>
        <v>247934.25100000002</v>
      </c>
      <c r="G37" s="10"/>
    </row>
    <row r="38" spans="2:7" ht="9.75" customHeight="1" x14ac:dyDescent="0.25">
      <c r="B38" s="29"/>
      <c r="C38" s="31"/>
      <c r="D38" s="25"/>
      <c r="E38" s="47"/>
      <c r="F38" s="47"/>
      <c r="G38" s="10"/>
    </row>
    <row r="39" spans="2:7" ht="155.25" customHeight="1" x14ac:dyDescent="0.25">
      <c r="B39" s="29" t="s">
        <v>81</v>
      </c>
      <c r="C39" s="31" t="s">
        <v>22</v>
      </c>
      <c r="D39" s="25">
        <v>686.26</v>
      </c>
      <c r="E39" s="47">
        <v>239.9</v>
      </c>
      <c r="F39" s="47">
        <f>D39*E39</f>
        <v>164633.774</v>
      </c>
      <c r="G39" s="10"/>
    </row>
    <row r="40" spans="2:7" ht="9.75" customHeight="1" x14ac:dyDescent="0.25">
      <c r="B40" s="29"/>
      <c r="C40" s="31"/>
      <c r="D40" s="25"/>
      <c r="E40" s="47"/>
      <c r="F40" s="47"/>
      <c r="G40" s="10"/>
    </row>
    <row r="41" spans="2:7" ht="155.25" customHeight="1" x14ac:dyDescent="0.25">
      <c r="B41" s="29" t="s">
        <v>82</v>
      </c>
      <c r="C41" s="31" t="s">
        <v>22</v>
      </c>
      <c r="D41" s="25">
        <v>194.5</v>
      </c>
      <c r="E41" s="47">
        <v>239.9</v>
      </c>
      <c r="F41" s="47">
        <f>D41*E41</f>
        <v>46660.55</v>
      </c>
    </row>
    <row r="42" spans="2:7" ht="24" customHeight="1" x14ac:dyDescent="0.25">
      <c r="B42" s="29"/>
      <c r="C42" s="31"/>
      <c r="D42" s="25"/>
      <c r="E42" s="47"/>
      <c r="F42" s="47"/>
    </row>
    <row r="43" spans="2:7" ht="24" customHeight="1" x14ac:dyDescent="0.25">
      <c r="B43" s="29"/>
      <c r="C43" s="31"/>
      <c r="D43" s="25"/>
      <c r="E43" s="47"/>
      <c r="F43" s="47"/>
    </row>
    <row r="44" spans="2:7" ht="24" customHeight="1" x14ac:dyDescent="0.25">
      <c r="B44" s="29"/>
      <c r="C44" s="31"/>
      <c r="D44" s="25"/>
      <c r="E44" s="47"/>
      <c r="F44" s="47"/>
    </row>
    <row r="45" spans="2:7" ht="24" customHeight="1" x14ac:dyDescent="0.25">
      <c r="B45" s="29"/>
      <c r="C45" s="31"/>
      <c r="D45" s="25"/>
      <c r="E45" s="47"/>
      <c r="F45" s="47"/>
    </row>
    <row r="46" spans="2:7" ht="155.25" customHeight="1" x14ac:dyDescent="0.25">
      <c r="B46" s="29" t="s">
        <v>83</v>
      </c>
      <c r="C46" s="31" t="s">
        <v>22</v>
      </c>
      <c r="D46" s="25">
        <v>544.91</v>
      </c>
      <c r="E46" s="47">
        <v>239.9</v>
      </c>
      <c r="F46" s="47">
        <f>D46*E46</f>
        <v>130723.909</v>
      </c>
    </row>
    <row r="47" spans="2:7" ht="9.75" customHeight="1" x14ac:dyDescent="0.25">
      <c r="B47" s="29"/>
      <c r="C47" s="31"/>
      <c r="D47" s="25"/>
      <c r="E47" s="47"/>
      <c r="F47" s="47"/>
    </row>
    <row r="48" spans="2:7" ht="155.25" customHeight="1" x14ac:dyDescent="0.25">
      <c r="B48" s="29" t="s">
        <v>84</v>
      </c>
      <c r="C48" s="31" t="s">
        <v>22</v>
      </c>
      <c r="D48" s="25">
        <v>96.57</v>
      </c>
      <c r="E48" s="47">
        <v>239.9</v>
      </c>
      <c r="F48" s="47">
        <f>D48*E48</f>
        <v>23167.143</v>
      </c>
    </row>
    <row r="49" spans="2:6" ht="9" customHeight="1" x14ac:dyDescent="0.25">
      <c r="B49" s="29"/>
      <c r="C49" s="31"/>
      <c r="D49" s="25"/>
      <c r="E49" s="47"/>
      <c r="F49" s="47"/>
    </row>
    <row r="50" spans="2:6" ht="155.25" customHeight="1" x14ac:dyDescent="0.25">
      <c r="B50" s="29" t="s">
        <v>85</v>
      </c>
      <c r="C50" s="31" t="s">
        <v>22</v>
      </c>
      <c r="D50" s="25">
        <v>435.65</v>
      </c>
      <c r="E50" s="47">
        <v>239.9</v>
      </c>
      <c r="F50" s="47">
        <f>D50*E50</f>
        <v>104512.435</v>
      </c>
    </row>
    <row r="51" spans="2:6" ht="9.75" customHeight="1" x14ac:dyDescent="0.25">
      <c r="B51" s="29"/>
      <c r="C51" s="31"/>
      <c r="D51" s="25"/>
      <c r="E51" s="47"/>
      <c r="F51" s="47"/>
    </row>
    <row r="52" spans="2:6" ht="155.25" customHeight="1" x14ac:dyDescent="0.25">
      <c r="B52" s="29" t="s">
        <v>86</v>
      </c>
      <c r="C52" s="31" t="s">
        <v>22</v>
      </c>
      <c r="D52" s="25">
        <v>35.380000000000003</v>
      </c>
      <c r="E52" s="47">
        <v>239.9</v>
      </c>
      <c r="F52" s="47">
        <f>D52*E52</f>
        <v>8487.6620000000003</v>
      </c>
    </row>
    <row r="53" spans="2:6" ht="9.75" customHeight="1" x14ac:dyDescent="0.25">
      <c r="B53" s="29"/>
      <c r="C53" s="31"/>
      <c r="D53" s="25"/>
      <c r="E53" s="47"/>
      <c r="F53" s="47"/>
    </row>
    <row r="54" spans="2:6" ht="155.25" customHeight="1" x14ac:dyDescent="0.25">
      <c r="B54" s="29" t="s">
        <v>87</v>
      </c>
      <c r="C54" s="31" t="s">
        <v>22</v>
      </c>
      <c r="D54" s="25">
        <v>132.75</v>
      </c>
      <c r="E54" s="47">
        <v>239.9</v>
      </c>
      <c r="F54" s="47">
        <f t="shared" ref="F54" si="0">D54*E54</f>
        <v>31846.725000000002</v>
      </c>
    </row>
    <row r="55" spans="2:6" ht="29.25" customHeight="1" x14ac:dyDescent="0.25">
      <c r="B55" s="29"/>
      <c r="C55" s="31"/>
      <c r="D55" s="25"/>
      <c r="E55" s="47"/>
      <c r="F55" s="47"/>
    </row>
    <row r="56" spans="2:6" ht="29.25" customHeight="1" x14ac:dyDescent="0.25">
      <c r="B56" s="29"/>
      <c r="C56" s="31"/>
      <c r="D56" s="25"/>
      <c r="E56" s="47"/>
      <c r="F56" s="47"/>
    </row>
    <row r="57" spans="2:6" ht="29.25" customHeight="1" x14ac:dyDescent="0.25">
      <c r="B57" s="29"/>
      <c r="C57" s="31"/>
      <c r="D57" s="25"/>
      <c r="E57" s="47"/>
      <c r="F57" s="47"/>
    </row>
    <row r="58" spans="2:6" ht="155.25" customHeight="1" x14ac:dyDescent="0.25">
      <c r="B58" s="29" t="s">
        <v>88</v>
      </c>
      <c r="C58" s="31" t="s">
        <v>22</v>
      </c>
      <c r="D58" s="25">
        <v>537.26</v>
      </c>
      <c r="E58" s="47">
        <v>239.9</v>
      </c>
      <c r="F58" s="47">
        <f t="shared" ref="F58:F60" si="1">D58*E58</f>
        <v>128888.674</v>
      </c>
    </row>
    <row r="59" spans="2:6" ht="9.75" customHeight="1" x14ac:dyDescent="0.25">
      <c r="B59" s="29"/>
      <c r="C59" s="31"/>
      <c r="D59" s="25"/>
      <c r="E59" s="47"/>
      <c r="F59" s="47"/>
    </row>
    <row r="60" spans="2:6" ht="155.25" customHeight="1" x14ac:dyDescent="0.25">
      <c r="B60" s="29" t="s">
        <v>89</v>
      </c>
      <c r="C60" s="31" t="s">
        <v>22</v>
      </c>
      <c r="D60" s="25">
        <v>229.13</v>
      </c>
      <c r="E60" s="47">
        <v>239.9</v>
      </c>
      <c r="F60" s="47">
        <f t="shared" si="1"/>
        <v>54968.286999999997</v>
      </c>
    </row>
    <row r="61" spans="2:6" ht="24.75" customHeight="1" x14ac:dyDescent="0.25">
      <c r="B61" s="29"/>
      <c r="C61" s="31"/>
      <c r="D61" s="25"/>
      <c r="E61" s="25"/>
      <c r="F61" s="25"/>
    </row>
    <row r="62" spans="2:6" ht="33.75" customHeight="1" x14ac:dyDescent="0.25">
      <c r="B62" s="63" t="s">
        <v>62</v>
      </c>
      <c r="C62" s="31"/>
      <c r="D62" s="25"/>
      <c r="E62" s="47"/>
      <c r="F62" s="47"/>
    </row>
    <row r="63" spans="2:6" ht="155.25" customHeight="1" x14ac:dyDescent="0.25">
      <c r="B63" s="30" t="s">
        <v>63</v>
      </c>
      <c r="C63" s="31" t="s">
        <v>22</v>
      </c>
      <c r="D63" s="25">
        <v>262.13</v>
      </c>
      <c r="E63" s="51">
        <v>255.9</v>
      </c>
      <c r="F63" s="52">
        <f>D63*E63</f>
        <v>67079.066999999995</v>
      </c>
    </row>
    <row r="64" spans="2:6" ht="9.75" customHeight="1" x14ac:dyDescent="0.25">
      <c r="B64" s="30"/>
      <c r="C64" s="31"/>
      <c r="D64" s="25"/>
      <c r="E64" s="51"/>
      <c r="F64" s="52"/>
    </row>
    <row r="65" spans="2:6" ht="155.25" customHeight="1" x14ac:dyDescent="0.25">
      <c r="B65" s="30" t="s">
        <v>64</v>
      </c>
      <c r="C65" s="31" t="s">
        <v>22</v>
      </c>
      <c r="D65" s="25">
        <v>474.34</v>
      </c>
      <c r="E65" s="51">
        <v>255.9</v>
      </c>
      <c r="F65" s="52">
        <f>D65*E65</f>
        <v>121383.606</v>
      </c>
    </row>
    <row r="66" spans="2:6" ht="9.75" customHeight="1" x14ac:dyDescent="0.25">
      <c r="B66" s="30"/>
      <c r="C66" s="31"/>
      <c r="D66" s="25"/>
      <c r="E66" s="51"/>
      <c r="F66" s="52"/>
    </row>
    <row r="67" spans="2:6" ht="155.25" customHeight="1" x14ac:dyDescent="0.25">
      <c r="B67" s="30" t="s">
        <v>65</v>
      </c>
      <c r="C67" s="31" t="s">
        <v>22</v>
      </c>
      <c r="D67" s="25">
        <v>16.309999999999999</v>
      </c>
      <c r="E67" s="51">
        <v>255.9</v>
      </c>
      <c r="F67" s="52">
        <f>D67*E67</f>
        <v>4173.7289999999994</v>
      </c>
    </row>
    <row r="68" spans="2:6" ht="21" customHeight="1" x14ac:dyDescent="0.25">
      <c r="B68" s="30"/>
      <c r="C68" s="31"/>
      <c r="D68" s="25"/>
      <c r="E68" s="51"/>
      <c r="F68" s="52"/>
    </row>
    <row r="69" spans="2:6" ht="21" customHeight="1" x14ac:dyDescent="0.25">
      <c r="B69" s="30"/>
      <c r="C69" s="31"/>
      <c r="D69" s="25"/>
      <c r="E69" s="51"/>
      <c r="F69" s="52"/>
    </row>
    <row r="70" spans="2:6" ht="21" customHeight="1" x14ac:dyDescent="0.25">
      <c r="B70" s="30"/>
      <c r="C70" s="31"/>
      <c r="D70" s="25"/>
      <c r="E70" s="51"/>
      <c r="F70" s="52"/>
    </row>
    <row r="71" spans="2:6" ht="21" customHeight="1" x14ac:dyDescent="0.25">
      <c r="B71" s="30"/>
      <c r="C71" s="31"/>
      <c r="D71" s="25"/>
      <c r="E71" s="51"/>
      <c r="F71" s="52"/>
    </row>
    <row r="72" spans="2:6" ht="155.25" customHeight="1" x14ac:dyDescent="0.25">
      <c r="B72" s="30" t="s">
        <v>66</v>
      </c>
      <c r="C72" s="31" t="s">
        <v>22</v>
      </c>
      <c r="D72" s="25">
        <v>169.29</v>
      </c>
      <c r="E72" s="51">
        <v>255.9</v>
      </c>
      <c r="F72" s="52">
        <f>D72*E72</f>
        <v>43321.311000000002</v>
      </c>
    </row>
    <row r="73" spans="2:6" ht="9.75" customHeight="1" x14ac:dyDescent="0.25">
      <c r="B73" s="30"/>
      <c r="C73" s="31"/>
      <c r="D73" s="25"/>
      <c r="E73" s="51"/>
      <c r="F73" s="52"/>
    </row>
    <row r="74" spans="2:6" ht="155.25" customHeight="1" x14ac:dyDescent="0.25">
      <c r="B74" s="30" t="s">
        <v>67</v>
      </c>
      <c r="C74" s="31" t="s">
        <v>22</v>
      </c>
      <c r="D74" s="25">
        <v>321.37</v>
      </c>
      <c r="E74" s="51">
        <v>255.9</v>
      </c>
      <c r="F74" s="52">
        <f>D74*E74</f>
        <v>82238.582999999999</v>
      </c>
    </row>
    <row r="75" spans="2:6" ht="9.75" customHeight="1" x14ac:dyDescent="0.25">
      <c r="B75" s="30"/>
      <c r="C75" s="31"/>
      <c r="D75" s="25"/>
      <c r="E75" s="51"/>
      <c r="F75" s="52"/>
    </row>
    <row r="76" spans="2:6" ht="155.25" customHeight="1" x14ac:dyDescent="0.25">
      <c r="B76" s="30" t="s">
        <v>68</v>
      </c>
      <c r="C76" s="31" t="s">
        <v>22</v>
      </c>
      <c r="D76" s="25">
        <v>374.42</v>
      </c>
      <c r="E76" s="51">
        <v>255.9</v>
      </c>
      <c r="F76" s="52">
        <f>D76*E76</f>
        <v>95814.078000000009</v>
      </c>
    </row>
    <row r="77" spans="2:6" ht="9.75" customHeight="1" x14ac:dyDescent="0.25">
      <c r="B77" s="30"/>
      <c r="C77" s="31"/>
      <c r="D77" s="25"/>
      <c r="E77" s="51"/>
      <c r="F77" s="52"/>
    </row>
    <row r="78" spans="2:6" ht="155.25" customHeight="1" x14ac:dyDescent="0.25">
      <c r="B78" s="30" t="s">
        <v>69</v>
      </c>
      <c r="C78" s="31" t="s">
        <v>22</v>
      </c>
      <c r="D78" s="25">
        <v>271.13</v>
      </c>
      <c r="E78" s="51">
        <v>255.9</v>
      </c>
      <c r="F78" s="52">
        <f>D78*E78</f>
        <v>69382.167000000001</v>
      </c>
    </row>
    <row r="79" spans="2:6" ht="9.75" customHeight="1" x14ac:dyDescent="0.25">
      <c r="B79" s="30"/>
      <c r="C79" s="31"/>
      <c r="D79" s="25"/>
      <c r="E79" s="51"/>
      <c r="F79" s="52"/>
    </row>
    <row r="80" spans="2:6" ht="155.25" customHeight="1" x14ac:dyDescent="0.25">
      <c r="B80" s="30" t="s">
        <v>70</v>
      </c>
      <c r="C80" s="31" t="s">
        <v>22</v>
      </c>
      <c r="D80" s="25">
        <v>370.92</v>
      </c>
      <c r="E80" s="51">
        <v>255.9</v>
      </c>
      <c r="F80" s="52">
        <f>D80*E80</f>
        <v>94918.428</v>
      </c>
    </row>
    <row r="81" spans="2:6" ht="36.75" customHeight="1" x14ac:dyDescent="0.25">
      <c r="B81" s="30"/>
      <c r="C81" s="31"/>
      <c r="D81" s="25"/>
      <c r="E81" s="51"/>
      <c r="F81" s="25"/>
    </row>
    <row r="82" spans="2:6" ht="36.75" customHeight="1" x14ac:dyDescent="0.25">
      <c r="B82" s="30"/>
      <c r="C82" s="31"/>
      <c r="D82" s="25"/>
      <c r="E82" s="51"/>
      <c r="F82" s="25"/>
    </row>
    <row r="83" spans="2:6" ht="29.25" customHeight="1" x14ac:dyDescent="0.25">
      <c r="B83" s="50" t="s">
        <v>71</v>
      </c>
      <c r="C83" s="27"/>
      <c r="D83" s="27"/>
      <c r="E83" s="27"/>
      <c r="F83" s="27"/>
    </row>
    <row r="84" spans="2:6" ht="36" customHeight="1" x14ac:dyDescent="0.25">
      <c r="B84" s="63" t="s">
        <v>61</v>
      </c>
      <c r="C84" s="27"/>
      <c r="D84" s="27"/>
      <c r="E84" s="27"/>
      <c r="F84" s="27"/>
    </row>
    <row r="85" spans="2:6" ht="155.25" customHeight="1" x14ac:dyDescent="0.25">
      <c r="B85" s="29" t="s">
        <v>90</v>
      </c>
      <c r="C85" s="31" t="s">
        <v>22</v>
      </c>
      <c r="D85" s="25">
        <v>1362.38</v>
      </c>
      <c r="E85" s="47">
        <v>239.9</v>
      </c>
      <c r="F85" s="52">
        <f>D85*E85</f>
        <v>326834.96200000006</v>
      </c>
    </row>
    <row r="86" spans="2:6" ht="9.75" customHeight="1" x14ac:dyDescent="0.25">
      <c r="B86" s="29"/>
      <c r="C86" s="31"/>
      <c r="D86" s="25"/>
      <c r="E86" s="47"/>
      <c r="F86" s="52"/>
    </row>
    <row r="87" spans="2:6" ht="155.25" customHeight="1" x14ac:dyDescent="0.25">
      <c r="B87" s="29" t="s">
        <v>91</v>
      </c>
      <c r="C87" s="31" t="s">
        <v>22</v>
      </c>
      <c r="D87" s="25">
        <v>396.27</v>
      </c>
      <c r="E87" s="47">
        <v>239.9</v>
      </c>
      <c r="F87" s="47">
        <f t="shared" ref="F87:F95" si="2">D87*E87</f>
        <v>95065.172999999995</v>
      </c>
    </row>
    <row r="88" spans="2:6" ht="9.75" customHeight="1" x14ac:dyDescent="0.25">
      <c r="B88" s="29"/>
      <c r="C88" s="31"/>
      <c r="D88" s="25"/>
      <c r="E88" s="47"/>
      <c r="F88" s="47"/>
    </row>
    <row r="89" spans="2:6" ht="155.25" customHeight="1" x14ac:dyDescent="0.25">
      <c r="B89" s="29" t="s">
        <v>92</v>
      </c>
      <c r="C89" s="31" t="s">
        <v>22</v>
      </c>
      <c r="D89" s="25">
        <v>506.33</v>
      </c>
      <c r="E89" s="47">
        <v>239.9</v>
      </c>
      <c r="F89" s="47">
        <f t="shared" si="2"/>
        <v>121468.567</v>
      </c>
    </row>
    <row r="90" spans="2:6" ht="9.75" customHeight="1" x14ac:dyDescent="0.25">
      <c r="B90" s="29"/>
      <c r="C90" s="31"/>
      <c r="D90" s="25"/>
      <c r="E90" s="47"/>
      <c r="F90" s="47"/>
    </row>
    <row r="91" spans="2:6" ht="155.25" customHeight="1" x14ac:dyDescent="0.25">
      <c r="B91" s="29" t="s">
        <v>93</v>
      </c>
      <c r="C91" s="31" t="s">
        <v>22</v>
      </c>
      <c r="D91" s="25">
        <v>198.73</v>
      </c>
      <c r="E91" s="47">
        <v>239.9</v>
      </c>
      <c r="F91" s="47">
        <f t="shared" si="2"/>
        <v>47675.326999999997</v>
      </c>
    </row>
    <row r="92" spans="2:6" ht="9.75" customHeight="1" x14ac:dyDescent="0.25">
      <c r="B92" s="29"/>
      <c r="C92" s="31"/>
      <c r="D92" s="25"/>
      <c r="E92" s="47"/>
      <c r="F92" s="47"/>
    </row>
    <row r="93" spans="2:6" ht="155.25" customHeight="1" x14ac:dyDescent="0.25">
      <c r="B93" s="29" t="s">
        <v>94</v>
      </c>
      <c r="C93" s="31" t="s">
        <v>22</v>
      </c>
      <c r="D93" s="25">
        <v>396.92</v>
      </c>
      <c r="E93" s="47">
        <v>239.9</v>
      </c>
      <c r="F93" s="47">
        <f t="shared" si="2"/>
        <v>95221.108000000007</v>
      </c>
    </row>
    <row r="94" spans="2:6" ht="85.5" customHeight="1" x14ac:dyDescent="0.25">
      <c r="B94" s="29"/>
      <c r="C94" s="31"/>
      <c r="D94" s="25"/>
      <c r="E94" s="47"/>
      <c r="F94" s="47"/>
    </row>
    <row r="95" spans="2:6" ht="155.25" customHeight="1" x14ac:dyDescent="0.25">
      <c r="B95" s="29" t="s">
        <v>95</v>
      </c>
      <c r="C95" s="31" t="s">
        <v>22</v>
      </c>
      <c r="D95" s="25">
        <v>20.9</v>
      </c>
      <c r="E95" s="47">
        <v>239.9</v>
      </c>
      <c r="F95" s="47">
        <f t="shared" si="2"/>
        <v>5013.91</v>
      </c>
    </row>
    <row r="96" spans="2:6" ht="9.75" customHeight="1" x14ac:dyDescent="0.25">
      <c r="B96" s="59"/>
      <c r="C96" s="31"/>
      <c r="D96" s="25"/>
      <c r="E96" s="47"/>
      <c r="F96" s="25"/>
    </row>
    <row r="97" spans="2:6" ht="33" customHeight="1" x14ac:dyDescent="0.25">
      <c r="B97" s="53" t="s">
        <v>72</v>
      </c>
      <c r="C97" s="31"/>
      <c r="D97" s="25"/>
      <c r="E97" s="47"/>
      <c r="F97" s="47"/>
    </row>
    <row r="98" spans="2:6" ht="25.5" customHeight="1" x14ac:dyDescent="0.25">
      <c r="B98" s="63" t="s">
        <v>61</v>
      </c>
      <c r="C98" s="27"/>
      <c r="D98" s="27"/>
      <c r="E98" s="27"/>
      <c r="F98" s="27"/>
    </row>
    <row r="99" spans="2:6" ht="155.25" customHeight="1" x14ac:dyDescent="0.25">
      <c r="B99" s="29" t="s">
        <v>96</v>
      </c>
      <c r="C99" s="31" t="s">
        <v>22</v>
      </c>
      <c r="D99" s="25">
        <v>46.46</v>
      </c>
      <c r="E99" s="47">
        <v>239.9</v>
      </c>
      <c r="F99" s="47">
        <f>D99*E99</f>
        <v>11145.754000000001</v>
      </c>
    </row>
    <row r="100" spans="2:6" ht="9.75" customHeight="1" x14ac:dyDescent="0.25">
      <c r="B100" s="29"/>
      <c r="C100" s="31"/>
      <c r="D100" s="25"/>
      <c r="E100" s="47"/>
      <c r="F100" s="47"/>
    </row>
    <row r="101" spans="2:6" ht="155.25" customHeight="1" x14ac:dyDescent="0.25">
      <c r="B101" s="29" t="s">
        <v>97</v>
      </c>
      <c r="C101" s="31" t="s">
        <v>22</v>
      </c>
      <c r="D101" s="25">
        <v>120.06</v>
      </c>
      <c r="E101" s="47">
        <v>239.9</v>
      </c>
      <c r="F101" s="47">
        <f>D101*E101</f>
        <v>28802.394</v>
      </c>
    </row>
    <row r="102" spans="2:6" ht="9.75" customHeight="1" x14ac:dyDescent="0.25">
      <c r="B102" s="29"/>
      <c r="C102" s="31"/>
      <c r="D102" s="25"/>
      <c r="E102" s="47"/>
      <c r="F102" s="47"/>
    </row>
    <row r="103" spans="2:6" ht="155.25" customHeight="1" x14ac:dyDescent="0.25">
      <c r="B103" s="29" t="s">
        <v>98</v>
      </c>
      <c r="C103" s="31" t="s">
        <v>22</v>
      </c>
      <c r="D103" s="25">
        <v>1496.41</v>
      </c>
      <c r="E103" s="47">
        <v>239.9</v>
      </c>
      <c r="F103" s="47">
        <f>D103*E103</f>
        <v>358988.75900000002</v>
      </c>
    </row>
    <row r="104" spans="2:6" ht="9.75" customHeight="1" x14ac:dyDescent="0.25">
      <c r="B104" s="29"/>
      <c r="C104" s="31"/>
      <c r="D104" s="25"/>
      <c r="E104" s="47"/>
      <c r="F104" s="47"/>
    </row>
    <row r="105" spans="2:6" ht="155.25" customHeight="1" x14ac:dyDescent="0.25">
      <c r="B105" s="29" t="s">
        <v>99</v>
      </c>
      <c r="C105" s="31" t="s">
        <v>22</v>
      </c>
      <c r="D105" s="25">
        <v>72.41</v>
      </c>
      <c r="E105" s="47">
        <v>239.9</v>
      </c>
      <c r="F105" s="47">
        <f>D105*E105</f>
        <v>17371.159</v>
      </c>
    </row>
    <row r="106" spans="2:6" ht="84.75" customHeight="1" x14ac:dyDescent="0.25">
      <c r="B106" s="29"/>
      <c r="C106" s="31"/>
      <c r="D106" s="25"/>
      <c r="E106" s="47"/>
      <c r="F106" s="47"/>
    </row>
    <row r="107" spans="2:6" ht="155.25" customHeight="1" x14ac:dyDescent="0.25">
      <c r="B107" s="29" t="s">
        <v>100</v>
      </c>
      <c r="C107" s="31" t="s">
        <v>22</v>
      </c>
      <c r="D107" s="25">
        <v>97.59</v>
      </c>
      <c r="E107" s="47">
        <v>239.9</v>
      </c>
      <c r="F107" s="47">
        <f>D107*E107</f>
        <v>23411.841</v>
      </c>
    </row>
    <row r="108" spans="2:6" ht="9" customHeight="1" x14ac:dyDescent="0.25">
      <c r="B108" s="29"/>
      <c r="C108" s="31"/>
      <c r="D108" s="25"/>
      <c r="E108" s="47"/>
      <c r="F108" s="47"/>
    </row>
    <row r="109" spans="2:6" ht="155.25" customHeight="1" x14ac:dyDescent="0.25">
      <c r="B109" s="29" t="s">
        <v>95</v>
      </c>
      <c r="C109" s="31" t="s">
        <v>22</v>
      </c>
      <c r="D109" s="25">
        <v>164.91</v>
      </c>
      <c r="E109" s="47">
        <v>239.9</v>
      </c>
      <c r="F109" s="47">
        <f t="shared" ref="F109" si="3">D109*E109</f>
        <v>39561.909</v>
      </c>
    </row>
    <row r="110" spans="2:6" ht="9.75" customHeight="1" x14ac:dyDescent="0.25">
      <c r="B110" s="29"/>
      <c r="C110" s="31"/>
      <c r="D110" s="25"/>
      <c r="E110" s="47"/>
      <c r="F110" s="47"/>
    </row>
    <row r="111" spans="2:6" ht="155.25" customHeight="1" x14ac:dyDescent="0.25">
      <c r="B111" s="29" t="s">
        <v>101</v>
      </c>
      <c r="C111" s="31" t="s">
        <v>22</v>
      </c>
      <c r="D111" s="25">
        <v>42.96</v>
      </c>
      <c r="E111" s="47">
        <v>239.9</v>
      </c>
      <c r="F111" s="47">
        <f t="shared" ref="F111:F119" si="4">D111*E111</f>
        <v>10306.104000000001</v>
      </c>
    </row>
    <row r="112" spans="2:6" ht="9.75" customHeight="1" x14ac:dyDescent="0.25">
      <c r="B112" s="29"/>
      <c r="C112" s="31"/>
      <c r="D112" s="25"/>
      <c r="E112" s="47"/>
      <c r="F112" s="47"/>
    </row>
    <row r="113" spans="2:6" ht="155.25" customHeight="1" x14ac:dyDescent="0.25">
      <c r="B113" s="29" t="s">
        <v>102</v>
      </c>
      <c r="C113" s="31" t="s">
        <v>22</v>
      </c>
      <c r="D113" s="25">
        <v>145.35</v>
      </c>
      <c r="E113" s="47">
        <v>239.9</v>
      </c>
      <c r="F113" s="47">
        <f t="shared" si="4"/>
        <v>34869.464999999997</v>
      </c>
    </row>
    <row r="114" spans="2:6" ht="9.75" customHeight="1" x14ac:dyDescent="0.25">
      <c r="B114" s="29"/>
      <c r="C114" s="31"/>
      <c r="D114" s="25"/>
      <c r="E114" s="47"/>
      <c r="F114" s="47"/>
    </row>
    <row r="115" spans="2:6" ht="155.25" customHeight="1" x14ac:dyDescent="0.25">
      <c r="B115" s="29" t="s">
        <v>103</v>
      </c>
      <c r="C115" s="31" t="s">
        <v>22</v>
      </c>
      <c r="D115" s="25">
        <v>112.24</v>
      </c>
      <c r="E115" s="47">
        <v>239.9</v>
      </c>
      <c r="F115" s="47">
        <f t="shared" si="4"/>
        <v>26926.376</v>
      </c>
    </row>
    <row r="116" spans="2:6" ht="107.25" customHeight="1" x14ac:dyDescent="0.25">
      <c r="B116" s="29"/>
      <c r="C116" s="31"/>
      <c r="D116" s="25"/>
      <c r="E116" s="47"/>
      <c r="F116" s="47"/>
    </row>
    <row r="117" spans="2:6" ht="155.25" customHeight="1" x14ac:dyDescent="0.25">
      <c r="B117" s="29" t="s">
        <v>104</v>
      </c>
      <c r="C117" s="31" t="s">
        <v>22</v>
      </c>
      <c r="D117" s="25">
        <v>53.98</v>
      </c>
      <c r="E117" s="47">
        <v>239.9</v>
      </c>
      <c r="F117" s="47">
        <f t="shared" si="4"/>
        <v>12949.802</v>
      </c>
    </row>
    <row r="118" spans="2:6" ht="9.75" customHeight="1" x14ac:dyDescent="0.25">
      <c r="B118" s="29"/>
      <c r="C118" s="31"/>
      <c r="D118" s="25"/>
      <c r="E118" s="47"/>
      <c r="F118" s="47"/>
    </row>
    <row r="119" spans="2:6" ht="155.25" customHeight="1" x14ac:dyDescent="0.25">
      <c r="B119" s="29" t="s">
        <v>105</v>
      </c>
      <c r="C119" s="31" t="s">
        <v>22</v>
      </c>
      <c r="D119" s="25">
        <v>1948.91</v>
      </c>
      <c r="E119" s="47">
        <v>239.9</v>
      </c>
      <c r="F119" s="47">
        <f t="shared" si="4"/>
        <v>467543.50900000002</v>
      </c>
    </row>
    <row r="120" spans="2:6" ht="17.25" customHeight="1" x14ac:dyDescent="0.25">
      <c r="B120" s="29"/>
      <c r="C120" s="31"/>
      <c r="D120" s="25"/>
      <c r="E120" s="47"/>
      <c r="F120" s="47"/>
    </row>
    <row r="121" spans="2:6" ht="17.25" customHeight="1" x14ac:dyDescent="0.25">
      <c r="B121" s="29"/>
      <c r="C121" s="31"/>
      <c r="D121" s="25"/>
      <c r="E121" s="47"/>
      <c r="F121" s="47"/>
    </row>
    <row r="122" spans="2:6" ht="17.25" customHeight="1" x14ac:dyDescent="0.25">
      <c r="B122" s="29"/>
      <c r="C122" s="31"/>
      <c r="D122" s="25"/>
      <c r="E122" s="47"/>
      <c r="F122" s="47"/>
    </row>
    <row r="123" spans="2:6" x14ac:dyDescent="0.25">
      <c r="B123" s="29"/>
      <c r="C123" s="31"/>
      <c r="D123" s="62"/>
      <c r="E123" s="47"/>
      <c r="F123" s="47"/>
    </row>
    <row r="124" spans="2:6" x14ac:dyDescent="0.25">
      <c r="B124" s="29"/>
      <c r="C124" s="54"/>
      <c r="D124" s="9"/>
      <c r="E124" s="3" t="s">
        <v>2</v>
      </c>
      <c r="F124" s="55">
        <f>SUM(F26:F119)</f>
        <v>8460319.0299999975</v>
      </c>
    </row>
    <row r="125" spans="2:6" x14ac:dyDescent="0.25">
      <c r="B125" s="29"/>
      <c r="C125" s="54"/>
      <c r="D125" s="9"/>
      <c r="E125" s="3" t="s">
        <v>73</v>
      </c>
      <c r="F125" s="55">
        <v>423015.95</v>
      </c>
    </row>
    <row r="126" spans="2:6" x14ac:dyDescent="0.25">
      <c r="B126" s="29"/>
      <c r="C126" s="54"/>
      <c r="D126" s="9"/>
      <c r="E126" s="3" t="s">
        <v>54</v>
      </c>
      <c r="F126" s="55">
        <f>F124-F125</f>
        <v>8037303.0799999973</v>
      </c>
    </row>
    <row r="127" spans="2:6" x14ac:dyDescent="0.25">
      <c r="B127" s="29"/>
      <c r="C127" s="54"/>
      <c r="D127" s="9"/>
      <c r="E127" s="3" t="s">
        <v>3</v>
      </c>
      <c r="F127" s="55">
        <f>F126*16%</f>
        <v>1285968.4927999997</v>
      </c>
    </row>
    <row r="128" spans="2:6" x14ac:dyDescent="0.25">
      <c r="B128" s="7"/>
      <c r="C128" s="28"/>
      <c r="D128" s="56"/>
      <c r="E128" s="3" t="s">
        <v>4</v>
      </c>
      <c r="F128" s="55">
        <f>F126+F127</f>
        <v>9323271.5727999974</v>
      </c>
    </row>
    <row r="129" spans="2:6" x14ac:dyDescent="0.25">
      <c r="B129" s="3"/>
      <c r="C129" s="3"/>
      <c r="D129" s="15"/>
      <c r="E129" s="3"/>
      <c r="F129" s="10"/>
    </row>
    <row r="130" spans="2:6" x14ac:dyDescent="0.25">
      <c r="B130" s="3"/>
      <c r="C130" s="3"/>
      <c r="D130" s="15"/>
      <c r="E130" s="3"/>
      <c r="F130" s="10"/>
    </row>
    <row r="131" spans="2:6" x14ac:dyDescent="0.25">
      <c r="B131" s="3"/>
      <c r="C131" s="3"/>
      <c r="D131" s="15"/>
      <c r="E131" s="3"/>
      <c r="F131" s="10"/>
    </row>
    <row r="132" spans="2:6" x14ac:dyDescent="0.25">
      <c r="B132" s="3"/>
      <c r="C132" s="3"/>
      <c r="D132" s="15"/>
      <c r="E132" s="3"/>
      <c r="F132" s="10"/>
    </row>
    <row r="133" spans="2:6" x14ac:dyDescent="0.25">
      <c r="B133" s="3"/>
      <c r="C133" s="3"/>
      <c r="D133" s="15"/>
      <c r="E133" s="3"/>
      <c r="F133" s="10"/>
    </row>
    <row r="134" spans="2:6" x14ac:dyDescent="0.25">
      <c r="B134" s="3"/>
      <c r="C134" s="3"/>
      <c r="D134" s="15"/>
      <c r="E134" s="3"/>
      <c r="F134" s="10"/>
    </row>
    <row r="135" spans="2:6" x14ac:dyDescent="0.25">
      <c r="B135" s="3"/>
      <c r="C135" s="3"/>
      <c r="D135" s="15"/>
      <c r="E135" s="3"/>
      <c r="F135" s="3"/>
    </row>
    <row r="136" spans="2:6" x14ac:dyDescent="0.25">
      <c r="B136" s="3"/>
      <c r="C136" s="3"/>
      <c r="D136" s="15"/>
      <c r="E136" s="3"/>
      <c r="F136" s="3"/>
    </row>
    <row r="137" spans="2:6" x14ac:dyDescent="0.25">
      <c r="B137" s="3"/>
      <c r="C137" s="3"/>
      <c r="D137" s="15"/>
      <c r="E137" s="3"/>
      <c r="F137" s="3"/>
    </row>
    <row r="138" spans="2:6" x14ac:dyDescent="0.25">
      <c r="B138" s="3"/>
      <c r="C138" s="3"/>
      <c r="D138" s="15"/>
      <c r="E138" s="3"/>
      <c r="F138" s="3"/>
    </row>
    <row r="139" spans="2:6" x14ac:dyDescent="0.25">
      <c r="B139" s="38" t="s">
        <v>55</v>
      </c>
      <c r="C139" s="38"/>
      <c r="D139" s="38"/>
      <c r="E139" s="38"/>
      <c r="F139" s="38"/>
    </row>
    <row r="140" spans="2:6" x14ac:dyDescent="0.25">
      <c r="B140" s="35" t="s">
        <v>52</v>
      </c>
      <c r="C140" s="35"/>
      <c r="D140" s="35"/>
      <c r="E140" s="35"/>
      <c r="F140" s="35"/>
    </row>
    <row r="141" spans="2:6" x14ac:dyDescent="0.25">
      <c r="B141" s="17"/>
      <c r="C141" s="17"/>
      <c r="D141" s="17"/>
      <c r="E141" s="17"/>
      <c r="F141" s="17"/>
    </row>
    <row r="142" spans="2:6" x14ac:dyDescent="0.25">
      <c r="B142" s="33" t="s">
        <v>5</v>
      </c>
      <c r="C142" s="33"/>
      <c r="D142" s="33"/>
      <c r="E142" s="33"/>
      <c r="F142" s="33"/>
    </row>
    <row r="143" spans="2:6" x14ac:dyDescent="0.25">
      <c r="B143" s="27"/>
      <c r="C143" s="27"/>
      <c r="D143" s="27"/>
      <c r="E143" s="27"/>
      <c r="F143" s="27"/>
    </row>
    <row r="144" spans="2:6" ht="64.5" customHeight="1" x14ac:dyDescent="0.25">
      <c r="B144" s="32" t="s">
        <v>56</v>
      </c>
      <c r="C144" s="32"/>
      <c r="D144" s="32"/>
      <c r="E144" s="32"/>
      <c r="F144" s="32"/>
    </row>
    <row r="145" spans="2:6" ht="14.25" customHeight="1" x14ac:dyDescent="0.25">
      <c r="B145" s="3"/>
      <c r="C145" s="3"/>
      <c r="D145" s="3"/>
      <c r="E145" s="3"/>
      <c r="F145" s="3"/>
    </row>
    <row r="146" spans="2:6" ht="23.25" customHeight="1" x14ac:dyDescent="0.25">
      <c r="B146" s="33" t="s">
        <v>6</v>
      </c>
      <c r="C146" s="33"/>
      <c r="D146" s="33"/>
      <c r="E146" s="33"/>
      <c r="F146" s="33"/>
    </row>
    <row r="147" spans="2:6" ht="16.5" customHeight="1" x14ac:dyDescent="0.25">
      <c r="B147" s="27"/>
      <c r="C147" s="27"/>
      <c r="D147" s="27"/>
      <c r="E147" s="27"/>
      <c r="F147" s="27"/>
    </row>
    <row r="148" spans="2:6" ht="27.75" customHeight="1" x14ac:dyDescent="0.25">
      <c r="B148" s="32" t="s">
        <v>7</v>
      </c>
      <c r="C148" s="32"/>
      <c r="D148" s="32"/>
      <c r="E148" s="32"/>
      <c r="F148" s="32"/>
    </row>
    <row r="149" spans="2:6" ht="41.25" customHeight="1" x14ac:dyDescent="0.25">
      <c r="B149" s="34" t="s">
        <v>8</v>
      </c>
      <c r="C149" s="34"/>
      <c r="D149" s="34"/>
      <c r="E149" s="34"/>
      <c r="F149" s="34"/>
    </row>
    <row r="150" spans="2:6" ht="53.25" customHeight="1" x14ac:dyDescent="0.25">
      <c r="B150" s="34" t="s">
        <v>9</v>
      </c>
      <c r="C150" s="34"/>
      <c r="D150" s="34"/>
      <c r="E150" s="34"/>
      <c r="F150" s="34"/>
    </row>
    <row r="151" spans="2:6" ht="24" customHeight="1" x14ac:dyDescent="0.25">
      <c r="B151" s="34" t="s">
        <v>10</v>
      </c>
      <c r="C151" s="34"/>
      <c r="D151" s="34"/>
      <c r="E151" s="34"/>
      <c r="F151" s="34"/>
    </row>
    <row r="152" spans="2:6" ht="58.5" customHeight="1" x14ac:dyDescent="0.25">
      <c r="B152" s="32" t="s">
        <v>11</v>
      </c>
      <c r="C152" s="32"/>
      <c r="D152" s="32"/>
      <c r="E152" s="32"/>
      <c r="F152" s="32"/>
    </row>
    <row r="153" spans="2:6" ht="18" customHeight="1" x14ac:dyDescent="0.25">
      <c r="B153" s="32" t="s">
        <v>12</v>
      </c>
      <c r="C153" s="32"/>
      <c r="D153" s="32"/>
      <c r="E153" s="32"/>
      <c r="F153" s="32"/>
    </row>
    <row r="154" spans="2:6" ht="51" customHeight="1" x14ac:dyDescent="0.25">
      <c r="B154" s="32" t="s">
        <v>13</v>
      </c>
      <c r="C154" s="32"/>
      <c r="D154" s="32"/>
      <c r="E154" s="32"/>
      <c r="F154" s="32"/>
    </row>
    <row r="155" spans="2:6" ht="24" customHeight="1" x14ac:dyDescent="0.25">
      <c r="B155" s="32" t="s">
        <v>14</v>
      </c>
      <c r="C155" s="32"/>
      <c r="D155" s="32"/>
      <c r="E155" s="32"/>
      <c r="F155" s="32"/>
    </row>
    <row r="156" spans="2:6" ht="62.25" customHeight="1" x14ac:dyDescent="0.25">
      <c r="B156" s="34" t="s">
        <v>15</v>
      </c>
      <c r="C156" s="34"/>
      <c r="D156" s="34"/>
      <c r="E156" s="34"/>
      <c r="F156" s="34"/>
    </row>
    <row r="157" spans="2:6" x14ac:dyDescent="0.25">
      <c r="B157" s="32" t="s">
        <v>16</v>
      </c>
      <c r="C157" s="32"/>
      <c r="D157" s="32"/>
      <c r="E157" s="32"/>
      <c r="F157" s="32"/>
    </row>
    <row r="158" spans="2:6" x14ac:dyDescent="0.25">
      <c r="B158" s="3"/>
      <c r="C158" s="3"/>
      <c r="D158" s="3"/>
      <c r="E158" s="3"/>
      <c r="F158" s="3"/>
    </row>
    <row r="159" spans="2:6" x14ac:dyDescent="0.25">
      <c r="B159" s="3"/>
      <c r="C159" s="3"/>
      <c r="D159" s="3"/>
      <c r="E159" s="3"/>
      <c r="F159" s="3"/>
    </row>
    <row r="160" spans="2:6" x14ac:dyDescent="0.25">
      <c r="B160" s="8" t="s">
        <v>17</v>
      </c>
      <c r="C160" s="8"/>
      <c r="D160" s="20"/>
      <c r="E160" s="20"/>
      <c r="F160" s="20"/>
    </row>
    <row r="161" spans="2:6" x14ac:dyDescent="0.25">
      <c r="B161" s="8" t="s">
        <v>18</v>
      </c>
      <c r="C161" s="8"/>
      <c r="D161" s="20"/>
      <c r="E161" s="20"/>
      <c r="F161" s="20"/>
    </row>
    <row r="162" spans="2:6" x14ac:dyDescent="0.25">
      <c r="B162" s="48" t="s">
        <v>57</v>
      </c>
      <c r="C162" s="48"/>
      <c r="D162" s="48"/>
      <c r="E162" s="48"/>
      <c r="F162" s="48"/>
    </row>
    <row r="163" spans="2:6" x14ac:dyDescent="0.25">
      <c r="B163" s="8"/>
      <c r="C163" s="8"/>
      <c r="D163" s="20"/>
      <c r="E163" s="20"/>
      <c r="F163" s="20"/>
    </row>
    <row r="164" spans="2:6" x14ac:dyDescent="0.25">
      <c r="B164" s="8"/>
      <c r="C164" s="8"/>
      <c r="D164" s="20"/>
      <c r="E164" s="20"/>
      <c r="F164" s="20"/>
    </row>
    <row r="165" spans="2:6" x14ac:dyDescent="0.25">
      <c r="B165" s="48" t="s">
        <v>58</v>
      </c>
      <c r="C165" s="48"/>
      <c r="D165" s="48"/>
      <c r="E165" s="48"/>
      <c r="F165" s="48"/>
    </row>
    <row r="166" spans="2:6" x14ac:dyDescent="0.25">
      <c r="B166" s="49" t="s">
        <v>59</v>
      </c>
      <c r="C166" s="49"/>
      <c r="D166" s="49"/>
      <c r="E166" s="49"/>
      <c r="F166" s="49"/>
    </row>
    <row r="167" spans="2:6" x14ac:dyDescent="0.25">
      <c r="B167" s="12"/>
      <c r="C167" s="12"/>
      <c r="D167" s="20"/>
      <c r="E167" s="20"/>
      <c r="F167" s="20"/>
    </row>
    <row r="168" spans="2:6" x14ac:dyDescent="0.25">
      <c r="B168" s="26"/>
      <c r="C168" s="26"/>
      <c r="D168" s="26"/>
      <c r="E168" s="26"/>
      <c r="F168" s="26"/>
    </row>
  </sheetData>
  <mergeCells count="23">
    <mergeCell ref="B165:F165"/>
    <mergeCell ref="B166:F166"/>
    <mergeCell ref="B162:F162"/>
    <mergeCell ref="B140:F140"/>
    <mergeCell ref="B14:F14"/>
    <mergeCell ref="B2:F2"/>
    <mergeCell ref="B139:F139"/>
    <mergeCell ref="B9:F9"/>
    <mergeCell ref="B16:F16"/>
    <mergeCell ref="B19:F19"/>
    <mergeCell ref="B157:F157"/>
    <mergeCell ref="B142:F142"/>
    <mergeCell ref="B144:F144"/>
    <mergeCell ref="B148:F148"/>
    <mergeCell ref="B149:F149"/>
    <mergeCell ref="B152:F152"/>
    <mergeCell ref="B153:F153"/>
    <mergeCell ref="B154:F154"/>
    <mergeCell ref="B156:F156"/>
    <mergeCell ref="B150:F150"/>
    <mergeCell ref="B151:F151"/>
    <mergeCell ref="B155:F155"/>
    <mergeCell ref="B146:F146"/>
  </mergeCells>
  <pageMargins left="0.23622047244094491" right="0.23622047244094491" top="0.74803149606299213" bottom="0.74803149606299213" header="0.31496062992125984" footer="0.31496062992125984"/>
  <pageSetup paperSize="9" scale="77" orientation="portrait" r:id="rId1"/>
  <headerFooter>
    <oddFooter>&amp;C&amp;G</oddFooter>
  </headerFooter>
  <rowBreaks count="9" manualBreakCount="9">
    <brk id="31" max="16383" man="1"/>
    <brk id="41" max="16383" man="1"/>
    <brk id="54" max="16383" man="1"/>
    <brk id="67" max="16383" man="1"/>
    <brk id="80" max="16383" man="1"/>
    <brk id="93" max="16383" man="1"/>
    <brk id="105" max="16383" man="1"/>
    <brk id="115" max="16383" man="1"/>
    <brk id="129" max="16383" man="1"/>
  </rowBreaks>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46"/>
  <sheetViews>
    <sheetView topLeftCell="A7" zoomScaleNormal="100" zoomScalePageLayoutView="50" workbookViewId="0">
      <selection activeCell="H19" sqref="H19"/>
    </sheetView>
  </sheetViews>
  <sheetFormatPr baseColWidth="10" defaultRowHeight="15" x14ac:dyDescent="0.25"/>
  <cols>
    <col min="1" max="1" width="5.85546875" style="14" customWidth="1"/>
    <col min="2" max="2" width="52.140625" customWidth="1"/>
    <col min="3" max="3" width="14.28515625" customWidth="1"/>
    <col min="4" max="4" width="11.42578125" customWidth="1"/>
    <col min="5" max="5" width="9.85546875" bestFit="1" customWidth="1"/>
    <col min="6" max="6" width="10.42578125" customWidth="1"/>
  </cols>
  <sheetData>
    <row r="4" spans="2:6" x14ac:dyDescent="0.25">
      <c r="B4" s="19"/>
      <c r="C4" s="19"/>
      <c r="D4" s="19"/>
      <c r="E4" s="19"/>
      <c r="F4" s="19"/>
    </row>
    <row r="5" spans="2:6" x14ac:dyDescent="0.25">
      <c r="B5" s="19"/>
      <c r="C5" s="19"/>
      <c r="D5" s="19"/>
      <c r="E5" s="19"/>
      <c r="F5" s="19"/>
    </row>
    <row r="6" spans="2:6" x14ac:dyDescent="0.25">
      <c r="B6" s="37" t="s">
        <v>47</v>
      </c>
      <c r="C6" s="37"/>
      <c r="D6" s="37"/>
      <c r="E6" s="37"/>
      <c r="F6" s="37"/>
    </row>
    <row r="7" spans="2:6" x14ac:dyDescent="0.25">
      <c r="B7" s="1" t="s">
        <v>37</v>
      </c>
      <c r="C7" s="1"/>
      <c r="D7" s="19"/>
      <c r="E7" s="19"/>
      <c r="F7" s="19"/>
    </row>
    <row r="8" spans="2:6" x14ac:dyDescent="0.25">
      <c r="B8" s="1" t="s">
        <v>0</v>
      </c>
      <c r="C8" s="1"/>
      <c r="D8" s="19"/>
      <c r="E8" s="19"/>
      <c r="F8" s="19"/>
    </row>
    <row r="9" spans="2:6" x14ac:dyDescent="0.25">
      <c r="B9" s="36" t="s">
        <v>39</v>
      </c>
      <c r="C9" s="36"/>
      <c r="D9" s="36"/>
      <c r="E9" s="36"/>
      <c r="F9" s="36"/>
    </row>
    <row r="10" spans="2:6" x14ac:dyDescent="0.25">
      <c r="B10" s="35"/>
      <c r="C10" s="35"/>
      <c r="D10" s="35"/>
      <c r="E10" s="35"/>
      <c r="F10" s="35"/>
    </row>
    <row r="11" spans="2:6" ht="12.75" customHeight="1" x14ac:dyDescent="0.25">
      <c r="B11" s="7" t="s">
        <v>48</v>
      </c>
      <c r="C11" s="7"/>
      <c r="D11" s="20"/>
      <c r="E11" s="20"/>
      <c r="F11" s="20"/>
    </row>
    <row r="12" spans="2:6" ht="13.5" customHeight="1" x14ac:dyDescent="0.25">
      <c r="B12" s="8" t="s">
        <v>1</v>
      </c>
      <c r="C12" s="8"/>
      <c r="D12" s="20"/>
      <c r="E12" s="20"/>
      <c r="F12" s="20"/>
    </row>
    <row r="13" spans="2:6" ht="21.75" customHeight="1" x14ac:dyDescent="0.25">
      <c r="B13" s="43" t="s">
        <v>23</v>
      </c>
      <c r="C13" s="43"/>
      <c r="D13" s="43"/>
      <c r="E13" s="43"/>
      <c r="F13" s="43"/>
    </row>
    <row r="14" spans="2:6" x14ac:dyDescent="0.25">
      <c r="B14" s="7" t="s">
        <v>21</v>
      </c>
      <c r="C14" s="7"/>
      <c r="D14" s="17" t="s">
        <v>19</v>
      </c>
      <c r="E14" s="17" t="s">
        <v>27</v>
      </c>
      <c r="F14" s="16" t="s">
        <v>20</v>
      </c>
    </row>
    <row r="15" spans="2:6" x14ac:dyDescent="0.25">
      <c r="B15" s="7"/>
      <c r="C15" s="7"/>
      <c r="D15" s="16"/>
      <c r="E15" s="16"/>
      <c r="F15" s="16"/>
    </row>
    <row r="16" spans="2:6" x14ac:dyDescent="0.25">
      <c r="B16" s="6" t="s">
        <v>45</v>
      </c>
      <c r="C16" s="22" t="s">
        <v>38</v>
      </c>
      <c r="D16" s="4">
        <v>13</v>
      </c>
      <c r="E16" s="21">
        <v>750.46</v>
      </c>
      <c r="F16" s="9">
        <f t="shared" ref="F16" si="0">D16*E16</f>
        <v>9755.98</v>
      </c>
    </row>
    <row r="17" spans="2:8" x14ac:dyDescent="0.25">
      <c r="B17" s="6" t="s">
        <v>41</v>
      </c>
      <c r="C17" s="22" t="s">
        <v>38</v>
      </c>
      <c r="D17" s="4">
        <v>3</v>
      </c>
      <c r="E17" s="21">
        <v>850.38</v>
      </c>
      <c r="F17" s="9">
        <f t="shared" ref="F17" si="1">D17*E17</f>
        <v>2551.14</v>
      </c>
    </row>
    <row r="18" spans="2:8" x14ac:dyDescent="0.25">
      <c r="B18" s="6" t="s">
        <v>40</v>
      </c>
      <c r="C18" s="22" t="s">
        <v>38</v>
      </c>
      <c r="D18" s="4">
        <v>4</v>
      </c>
      <c r="E18" s="21">
        <v>4190</v>
      </c>
      <c r="F18" s="9">
        <f t="shared" ref="F18:F20" si="2">D18*E18</f>
        <v>16760</v>
      </c>
    </row>
    <row r="19" spans="2:8" x14ac:dyDescent="0.25">
      <c r="B19" s="6" t="s">
        <v>43</v>
      </c>
      <c r="C19" s="22" t="s">
        <v>38</v>
      </c>
      <c r="D19" s="24">
        <v>1.5</v>
      </c>
      <c r="E19" s="21">
        <v>4154.8100000000004</v>
      </c>
      <c r="F19" s="9">
        <f t="shared" si="2"/>
        <v>6232.2150000000001</v>
      </c>
    </row>
    <row r="20" spans="2:8" x14ac:dyDescent="0.25">
      <c r="B20" s="6" t="s">
        <v>44</v>
      </c>
      <c r="C20" s="22" t="s">
        <v>42</v>
      </c>
      <c r="D20" s="4">
        <v>3</v>
      </c>
      <c r="E20" s="21">
        <v>4786.5</v>
      </c>
      <c r="F20" s="9">
        <f t="shared" si="2"/>
        <v>14359.5</v>
      </c>
    </row>
    <row r="21" spans="2:8" x14ac:dyDescent="0.25">
      <c r="B21" s="6"/>
      <c r="C21" s="22"/>
      <c r="D21" s="4"/>
      <c r="E21" s="21"/>
      <c r="F21" s="9"/>
    </row>
    <row r="22" spans="2:8" x14ac:dyDescent="0.25">
      <c r="B22" s="3"/>
      <c r="C22" s="3"/>
      <c r="D22" s="20"/>
      <c r="E22" s="3" t="s">
        <v>2</v>
      </c>
      <c r="F22" s="10">
        <f>SUM(F16:F21)</f>
        <v>49658.834999999999</v>
      </c>
    </row>
    <row r="23" spans="2:8" x14ac:dyDescent="0.25">
      <c r="B23" s="3"/>
      <c r="C23" s="3"/>
      <c r="D23" s="3"/>
      <c r="E23" s="3" t="s">
        <v>3</v>
      </c>
      <c r="F23" s="10">
        <f>F22*16%</f>
        <v>7945.4135999999999</v>
      </c>
    </row>
    <row r="24" spans="2:8" x14ac:dyDescent="0.25">
      <c r="B24" s="3"/>
      <c r="C24" s="3"/>
      <c r="D24" s="15"/>
      <c r="E24" s="3" t="s">
        <v>4</v>
      </c>
      <c r="F24" s="10">
        <f>SUM(F22:F23)</f>
        <v>57604.248599999999</v>
      </c>
    </row>
    <row r="25" spans="2:8" x14ac:dyDescent="0.25">
      <c r="B25" s="3"/>
      <c r="C25" s="3"/>
      <c r="D25" s="15"/>
      <c r="E25" s="3"/>
      <c r="F25" s="10"/>
    </row>
    <row r="26" spans="2:8" x14ac:dyDescent="0.25">
      <c r="B26" s="1" t="s">
        <v>24</v>
      </c>
      <c r="C26" s="1"/>
      <c r="D26" s="19"/>
      <c r="E26" s="19"/>
      <c r="F26" s="19"/>
    </row>
    <row r="27" spans="2:8" ht="39" customHeight="1" x14ac:dyDescent="0.25">
      <c r="B27" s="43" t="s">
        <v>28</v>
      </c>
      <c r="C27" s="43"/>
      <c r="D27" s="43"/>
      <c r="E27" s="43"/>
      <c r="F27" s="43"/>
    </row>
    <row r="28" spans="2:8" ht="17.25" customHeight="1" x14ac:dyDescent="0.25">
      <c r="B28" s="43" t="s">
        <v>29</v>
      </c>
      <c r="C28" s="43"/>
      <c r="D28" s="43"/>
      <c r="E28" s="43"/>
      <c r="F28" s="43"/>
    </row>
    <row r="29" spans="2:8" ht="15" customHeight="1" x14ac:dyDescent="0.25">
      <c r="B29" s="43" t="s">
        <v>30</v>
      </c>
      <c r="C29" s="43"/>
      <c r="D29" s="43"/>
      <c r="E29" s="43"/>
      <c r="F29" s="43"/>
    </row>
    <row r="30" spans="2:8" ht="18" customHeight="1" x14ac:dyDescent="0.25">
      <c r="B30" s="43" t="s">
        <v>31</v>
      </c>
      <c r="C30" s="43"/>
      <c r="D30" s="43"/>
      <c r="E30" s="43"/>
      <c r="F30" s="43"/>
    </row>
    <row r="31" spans="2:8" ht="96.75" customHeight="1" x14ac:dyDescent="0.25">
      <c r="B31" s="43" t="s">
        <v>32</v>
      </c>
      <c r="C31" s="43"/>
      <c r="D31" s="43"/>
      <c r="E31" s="43"/>
      <c r="F31" s="43"/>
    </row>
    <row r="32" spans="2:8" x14ac:dyDescent="0.25">
      <c r="B32" s="19"/>
      <c r="C32" s="19"/>
      <c r="D32" s="19"/>
      <c r="E32" s="19"/>
      <c r="F32" s="19"/>
      <c r="H32" s="13"/>
    </row>
    <row r="33" spans="2:15" x14ac:dyDescent="0.25">
      <c r="B33" s="5" t="s">
        <v>33</v>
      </c>
      <c r="C33" s="5"/>
      <c r="D33" s="41" t="s">
        <v>34</v>
      </c>
      <c r="E33" s="41"/>
      <c r="F33" s="41"/>
    </row>
    <row r="34" spans="2:15" x14ac:dyDescent="0.25">
      <c r="B34" s="8"/>
      <c r="C34" s="8"/>
      <c r="D34" s="20"/>
      <c r="E34" s="20"/>
      <c r="F34" s="20"/>
    </row>
    <row r="35" spans="2:15" x14ac:dyDescent="0.25">
      <c r="B35" s="8"/>
      <c r="C35" s="8"/>
      <c r="D35" s="20"/>
      <c r="E35" s="20"/>
      <c r="F35" s="20"/>
    </row>
    <row r="36" spans="2:15" x14ac:dyDescent="0.25">
      <c r="B36" s="11" t="s">
        <v>35</v>
      </c>
      <c r="C36" s="11"/>
      <c r="D36" s="20"/>
      <c r="E36" s="20"/>
      <c r="F36" s="20"/>
    </row>
    <row r="37" spans="2:15" x14ac:dyDescent="0.25">
      <c r="B37" s="23" t="s">
        <v>46</v>
      </c>
      <c r="C37" s="23"/>
      <c r="D37" s="42" t="s">
        <v>25</v>
      </c>
      <c r="E37" s="42"/>
      <c r="F37" s="42"/>
    </row>
    <row r="38" spans="2:15" x14ac:dyDescent="0.25">
      <c r="B38" s="12"/>
      <c r="C38" s="12"/>
      <c r="D38" s="20"/>
      <c r="E38" s="20"/>
      <c r="F38" s="20"/>
    </row>
    <row r="39" spans="2:15" x14ac:dyDescent="0.25">
      <c r="B39" s="39" t="s">
        <v>26</v>
      </c>
      <c r="C39" s="39"/>
      <c r="D39" s="40"/>
      <c r="E39" s="40"/>
      <c r="F39" s="40"/>
      <c r="G39" s="18"/>
      <c r="H39" s="18"/>
      <c r="I39" s="18"/>
      <c r="J39" s="18"/>
      <c r="K39" s="18"/>
      <c r="L39" s="18"/>
      <c r="M39" s="18"/>
      <c r="N39" s="18"/>
      <c r="O39" s="18"/>
    </row>
    <row r="40" spans="2:15" x14ac:dyDescent="0.25">
      <c r="B40" s="40"/>
      <c r="C40" s="40"/>
      <c r="D40" s="40"/>
      <c r="E40" s="40"/>
      <c r="F40" s="40"/>
      <c r="G40" s="18"/>
      <c r="H40" s="18"/>
      <c r="I40" s="18"/>
      <c r="J40" s="18"/>
      <c r="K40" s="18"/>
      <c r="L40" s="18"/>
      <c r="M40" s="18"/>
      <c r="N40" s="18"/>
      <c r="O40" s="18"/>
    </row>
    <row r="41" spans="2:15" x14ac:dyDescent="0.25">
      <c r="B41" s="40"/>
      <c r="C41" s="40"/>
      <c r="D41" s="40"/>
      <c r="E41" s="40"/>
      <c r="F41" s="40"/>
      <c r="G41" s="18"/>
      <c r="H41" s="18"/>
      <c r="I41" s="18"/>
      <c r="J41" s="18"/>
      <c r="K41" s="18"/>
      <c r="L41" s="18"/>
      <c r="M41" s="18"/>
      <c r="N41" s="18"/>
      <c r="O41" s="18"/>
    </row>
    <row r="42" spans="2:15" x14ac:dyDescent="0.25">
      <c r="B42" s="40"/>
      <c r="C42" s="40"/>
      <c r="D42" s="40"/>
      <c r="E42" s="40"/>
      <c r="F42" s="40"/>
      <c r="G42" s="18"/>
      <c r="H42" s="18"/>
      <c r="I42" s="18"/>
      <c r="J42" s="18"/>
      <c r="K42" s="18"/>
      <c r="L42" s="18"/>
      <c r="M42" s="18"/>
      <c r="N42" s="18"/>
      <c r="O42" s="18"/>
    </row>
    <row r="43" spans="2:15" x14ac:dyDescent="0.25">
      <c r="B43" s="18"/>
      <c r="C43" s="18"/>
      <c r="D43" s="18"/>
      <c r="E43" s="18"/>
      <c r="F43" s="18"/>
      <c r="G43" s="18"/>
      <c r="H43" s="18"/>
      <c r="I43" s="18"/>
      <c r="J43" s="18"/>
      <c r="K43" s="18"/>
      <c r="L43" s="18"/>
      <c r="M43" s="18"/>
      <c r="N43" s="18"/>
      <c r="O43" s="18"/>
    </row>
    <row r="44" spans="2:15" x14ac:dyDescent="0.25">
      <c r="B44" s="18"/>
      <c r="C44" s="18"/>
      <c r="D44" s="18"/>
      <c r="E44" s="18"/>
      <c r="F44" s="18"/>
      <c r="G44" s="18"/>
      <c r="H44" s="18"/>
      <c r="I44" s="18"/>
      <c r="J44" s="18"/>
      <c r="K44" s="18"/>
      <c r="L44" s="18"/>
      <c r="M44" s="18"/>
      <c r="N44" s="18"/>
      <c r="O44" s="18"/>
    </row>
    <row r="45" spans="2:15" x14ac:dyDescent="0.25">
      <c r="B45" s="18"/>
      <c r="C45" s="18"/>
      <c r="D45" s="18"/>
      <c r="E45" s="18"/>
      <c r="F45" s="18"/>
      <c r="G45" s="18"/>
      <c r="H45" s="18"/>
      <c r="I45" s="18"/>
      <c r="J45" s="18"/>
      <c r="K45" s="18"/>
      <c r="L45" s="18"/>
      <c r="M45" s="18"/>
      <c r="N45" s="18"/>
      <c r="O45" s="18"/>
    </row>
    <row r="46" spans="2:15" x14ac:dyDescent="0.25">
      <c r="B46" s="18"/>
      <c r="C46" s="18"/>
      <c r="D46" s="18"/>
      <c r="E46" s="18"/>
      <c r="F46" s="18"/>
      <c r="G46" s="18"/>
      <c r="H46" s="18"/>
      <c r="I46" s="18"/>
      <c r="J46" s="18"/>
      <c r="K46" s="18"/>
      <c r="L46" s="18"/>
      <c r="M46" s="18"/>
      <c r="N46" s="18"/>
      <c r="O46" s="18"/>
    </row>
  </sheetData>
  <mergeCells count="12">
    <mergeCell ref="B6:F6"/>
    <mergeCell ref="B9:F9"/>
    <mergeCell ref="B10:F10"/>
    <mergeCell ref="B13:F13"/>
    <mergeCell ref="B31:F31"/>
    <mergeCell ref="B39:F42"/>
    <mergeCell ref="D33:F33"/>
    <mergeCell ref="D37:F37"/>
    <mergeCell ref="B27:F27"/>
    <mergeCell ref="B28:F28"/>
    <mergeCell ref="B29:F29"/>
    <mergeCell ref="B30:F30"/>
  </mergeCells>
  <pageMargins left="0.7" right="0.7" top="0.75" bottom="0.75" header="0.3" footer="0.3"/>
  <pageSetup paperSize="9" scale="8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2026-08-21T20:02:14Z</cp:lastPrinted>
  <dcterms:created xsi:type="dcterms:W3CDTF">2020-12-14T19:54:01Z</dcterms:created>
  <dcterms:modified xsi:type="dcterms:W3CDTF">2026-08-21T20:02:17Z</dcterms:modified>
</cp:coreProperties>
</file>