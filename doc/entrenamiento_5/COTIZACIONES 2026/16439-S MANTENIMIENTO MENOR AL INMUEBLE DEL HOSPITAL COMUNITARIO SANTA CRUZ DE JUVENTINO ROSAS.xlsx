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57B259D-C87B-42E0-9971-E05614017DD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F35" i="3"/>
  <c r="F29" i="3" l="1"/>
  <c r="F28" i="3"/>
  <c r="F27" i="3"/>
  <c r="F33" i="3" l="1"/>
  <c r="D21" i="1"/>
  <c r="D22" i="1" s="1"/>
  <c r="F37" i="3" l="1"/>
</calcChain>
</file>

<file path=xl/sharedStrings.xml><?xml version="1.0" encoding="utf-8"?>
<sst xmlns="http://schemas.openxmlformats.org/spreadsheetml/2006/main" count="71" uniqueCount="63">
  <si>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</si>
  <si>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</si>
  <si>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</si>
  <si>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</si>
  <si>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</si>
  <si>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</si>
  <si>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</si>
  <si>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</si>
  <si>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</si>
  <si>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</si>
  <si>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</si>
  <si>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</si>
  <si>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</si>
  <si>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</si>
  <si>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</si>
  <si>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</si>
  <si>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</si>
  <si>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</si>
  <si>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</si>
  <si>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</si>
  <si>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</si>
  <si>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</si>
  <si>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</si>
  <si>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</si>
  <si>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</si>
  <si>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</si>
  <si>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</si>
  <si>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</si>
  <si>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</si>
  <si>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</si>
  <si>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</si>
  <si>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</si>
  <si>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</si>
  <si>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</si>
  <si>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</si>
  <si>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</si>
  <si>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</si>
  <si>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</si>
  <si>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</si>
  <si>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</si>
  <si>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</si>
  <si>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</si>
  <si>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</si>
  <si>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</si>
  <si>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</si>
  <si>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</si>
  <si>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</si>
  <si>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</si>
  <si>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</si>
  <si>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</si>
  <si>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</si>
  <si>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>PRES. REF. 16426-S/2026CG</t>
  </si>
  <si>
    <t>CIUDAD DE MEXICO A 27 DE FEBRERO DEL 2026</t>
  </si>
  <si>
    <t>CONSTRUCTORA: CONSULTORIA Y ASESORIA EN PROCESOS Y PROYECTOS SA DE CV</t>
  </si>
  <si>
    <t>AT´N: ARQ. EVELYN OROZCO</t>
  </si>
  <si>
    <t>OBRA: MANTENIMIENTO MENOR AL INMUEBLE DEL HOSPITAL COMUNITARIO SANTA CRUZ DE JUVENTINO ROSAS</t>
  </si>
  <si>
    <t xml:space="preserve">1.- PRAIMER GLASS REF. S.M.A (REND. 85M2) </t>
  </si>
  <si>
    <t>3.- VITROGLASS REF. S.M.A (REND. 180M2)</t>
  </si>
  <si>
    <t>ENVIO</t>
  </si>
  <si>
    <t>SUB TOTAL</t>
  </si>
  <si>
    <t>2.- CHISA GLASS REF. S.M.A (REND. 55M2)</t>
  </si>
  <si>
    <t xml:space="preserve">PRESENTAMOS A SU AMABLE CONSIDERACIÓN EL PRESUPUESTO DE SUMINISTRO PARA 75 M2  DE LOS SIGUIENTES MATERIALES: </t>
  </si>
  <si>
    <r>
      <t xml:space="preserve">                            ARQ. EVELYN OROZCO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</si>
</sst>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2" t="s">
        <v>37</v>
      </c>
      <c r="B4" s="52"/>
      <c r="C4" s="52"/>
      <c r="D4" s="52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35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51" t="s">
        <v>31</v>
      </c>
      <c r="C40" s="51"/>
      <c r="D40" s="5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3"/>
  <sheetViews>
    <sheetView tabSelected="1" topLeftCell="A40" zoomScaleNormal="100" zoomScalePageLayoutView="50" workbookViewId="0">
      <selection activeCell="B53" sqref="B53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52" t="s">
        <v>52</v>
      </c>
      <c r="C8" s="52"/>
      <c r="D8" s="52"/>
      <c r="E8" s="52"/>
      <c r="F8" s="52"/>
    </row>
    <row r="9" spans="2:6" x14ac:dyDescent="0.25">
      <c r="B9" s="25"/>
      <c r="C9" s="25"/>
      <c r="D9" s="25"/>
      <c r="E9" s="25"/>
      <c r="F9" s="25"/>
    </row>
    <row r="10" spans="2:6" ht="14.25" customHeight="1" x14ac:dyDescent="0.25">
      <c r="B10" s="58" t="s">
        <v>53</v>
      </c>
      <c r="C10" s="67"/>
      <c r="D10" s="67"/>
      <c r="E10" s="67"/>
      <c r="F10" s="67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49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54" t="s">
        <v>54</v>
      </c>
      <c r="C15" s="54"/>
      <c r="D15" s="54"/>
      <c r="E15" s="54"/>
      <c r="F15" s="54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59" t="s">
        <v>55</v>
      </c>
      <c r="C17" s="59"/>
      <c r="D17" s="59"/>
      <c r="E17" s="59"/>
      <c r="F17" s="59"/>
    </row>
    <row r="18" spans="2:6" ht="12.75" customHeight="1" x14ac:dyDescent="0.25">
      <c r="B18" s="8" t="s">
        <v>51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18" customHeight="1" x14ac:dyDescent="0.25">
      <c r="B20" s="65" t="s">
        <v>61</v>
      </c>
      <c r="C20" s="65"/>
      <c r="D20" s="65"/>
      <c r="E20" s="65"/>
      <c r="F20" s="65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4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48"/>
      <c r="C24" s="8"/>
      <c r="D24" s="18"/>
      <c r="E24" s="18"/>
      <c r="F24" s="17"/>
    </row>
    <row r="25" spans="2:6" x14ac:dyDescent="0.25">
      <c r="B25" s="48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40" t="s">
        <v>56</v>
      </c>
      <c r="C27" s="39" t="s">
        <v>46</v>
      </c>
      <c r="D27" s="38">
        <v>1</v>
      </c>
      <c r="E27" s="41">
        <v>1028.18</v>
      </c>
      <c r="F27" s="41">
        <f>D27*E27</f>
        <v>1028.18</v>
      </c>
    </row>
    <row r="28" spans="2:6" x14ac:dyDescent="0.25">
      <c r="B28" s="40" t="s">
        <v>60</v>
      </c>
      <c r="C28" s="39" t="s">
        <v>46</v>
      </c>
      <c r="D28" s="38">
        <v>2</v>
      </c>
      <c r="E28" s="41">
        <v>4797.13</v>
      </c>
      <c r="F28" s="41">
        <f t="shared" ref="F28:F29" si="0">D28*E28</f>
        <v>9594.26</v>
      </c>
    </row>
    <row r="29" spans="2:6" x14ac:dyDescent="0.25">
      <c r="B29" s="40" t="s">
        <v>57</v>
      </c>
      <c r="C29" s="39" t="s">
        <v>46</v>
      </c>
      <c r="D29" s="38">
        <v>1</v>
      </c>
      <c r="E29" s="41">
        <v>5023.57</v>
      </c>
      <c r="F29" s="41">
        <f t="shared" si="0"/>
        <v>5023.57</v>
      </c>
    </row>
    <row r="30" spans="2:6" x14ac:dyDescent="0.25">
      <c r="B30" s="40"/>
      <c r="C30" s="39"/>
      <c r="D30" s="38"/>
      <c r="E30" s="41"/>
      <c r="F30" s="41"/>
    </row>
    <row r="31" spans="2:6" x14ac:dyDescent="0.25">
      <c r="B31" s="47"/>
      <c r="C31" s="39"/>
      <c r="D31" s="38"/>
      <c r="E31" s="41"/>
      <c r="F31" s="41"/>
    </row>
    <row r="32" spans="2:6" x14ac:dyDescent="0.25">
      <c r="B32" s="40"/>
      <c r="C32" s="39"/>
      <c r="D32" s="38"/>
      <c r="E32" s="41"/>
      <c r="F32" s="41"/>
    </row>
    <row r="33" spans="2:8" ht="19.5" customHeight="1" x14ac:dyDescent="0.25">
      <c r="B33" s="4"/>
      <c r="C33" s="4"/>
      <c r="D33" s="16"/>
      <c r="E33" s="4" t="s">
        <v>3</v>
      </c>
      <c r="F33" s="46">
        <f>SUM(F27:F32)</f>
        <v>15646.01</v>
      </c>
    </row>
    <row r="34" spans="2:8" ht="19.5" customHeight="1" x14ac:dyDescent="0.25">
      <c r="B34" s="4"/>
      <c r="C34" s="4"/>
      <c r="D34" s="16"/>
      <c r="E34" s="4" t="s">
        <v>58</v>
      </c>
      <c r="F34" s="46">
        <v>935.45</v>
      </c>
    </row>
    <row r="35" spans="2:8" ht="19.5" customHeight="1" x14ac:dyDescent="0.25">
      <c r="B35" s="4"/>
      <c r="C35" s="4"/>
      <c r="D35" s="16"/>
      <c r="E35" s="4" t="s">
        <v>59</v>
      </c>
      <c r="F35" s="46">
        <f>F33+F34</f>
        <v>16581.46</v>
      </c>
    </row>
    <row r="36" spans="2:8" ht="17.25" customHeight="1" x14ac:dyDescent="0.25">
      <c r="B36" s="4"/>
      <c r="C36" s="4"/>
      <c r="D36" s="16"/>
      <c r="E36" s="4" t="s">
        <v>44</v>
      </c>
      <c r="F36" s="46">
        <f>F35*16%</f>
        <v>2653.0335999999998</v>
      </c>
    </row>
    <row r="37" spans="2:8" ht="15" customHeight="1" x14ac:dyDescent="0.25">
      <c r="B37" s="4"/>
      <c r="C37" s="4"/>
      <c r="D37" s="16"/>
      <c r="E37" s="50" t="s">
        <v>45</v>
      </c>
      <c r="F37" s="46">
        <f>F33+F36</f>
        <v>18299.043600000001</v>
      </c>
    </row>
    <row r="38" spans="2:8" ht="15" customHeight="1" x14ac:dyDescent="0.25">
      <c r="B38" s="4"/>
      <c r="C38" s="4"/>
      <c r="D38" s="16"/>
      <c r="E38" s="50"/>
      <c r="F38" s="46"/>
    </row>
    <row r="39" spans="2:8" ht="14.25" customHeight="1" x14ac:dyDescent="0.25">
      <c r="B39" s="4"/>
      <c r="C39" s="4"/>
      <c r="D39" s="16"/>
      <c r="E39" s="4"/>
      <c r="F39" s="11"/>
    </row>
    <row r="40" spans="2:8" ht="14.25" customHeight="1" x14ac:dyDescent="0.25">
      <c r="B40" s="57" t="s">
        <v>23</v>
      </c>
      <c r="C40" s="66"/>
      <c r="D40" s="66"/>
      <c r="E40" s="66"/>
      <c r="F40" s="66"/>
    </row>
    <row r="41" spans="2:8" ht="14.25" customHeight="1" x14ac:dyDescent="0.25">
      <c r="B41" s="23"/>
      <c r="C41" s="42"/>
      <c r="D41" s="42"/>
      <c r="E41" s="42"/>
      <c r="F41" s="42"/>
    </row>
    <row r="42" spans="2:8" ht="13.5" customHeight="1" x14ac:dyDescent="0.25">
      <c r="B42" s="65" t="s">
        <v>26</v>
      </c>
      <c r="C42" s="65"/>
      <c r="D42" s="65"/>
      <c r="E42" s="65"/>
      <c r="F42" s="65"/>
      <c r="H42" s="14"/>
    </row>
    <row r="43" spans="2:8" ht="13.5" customHeight="1" x14ac:dyDescent="0.25">
      <c r="B43" s="65" t="s">
        <v>27</v>
      </c>
      <c r="C43" s="65"/>
      <c r="D43" s="65"/>
      <c r="E43" s="65"/>
      <c r="F43" s="65"/>
    </row>
    <row r="44" spans="2:8" ht="13.5" customHeight="1" x14ac:dyDescent="0.25">
      <c r="B44" s="65" t="s">
        <v>28</v>
      </c>
      <c r="C44" s="65"/>
      <c r="D44" s="65"/>
      <c r="E44" s="65"/>
      <c r="F44" s="65"/>
    </row>
    <row r="45" spans="2:8" ht="13.5" customHeight="1" x14ac:dyDescent="0.25">
      <c r="B45" s="65" t="s">
        <v>29</v>
      </c>
      <c r="C45" s="65"/>
      <c r="D45" s="65"/>
      <c r="E45" s="65"/>
      <c r="F45" s="65"/>
    </row>
    <row r="46" spans="2:8" ht="13.5" customHeight="1" x14ac:dyDescent="0.25">
      <c r="B46" s="65" t="s">
        <v>30</v>
      </c>
      <c r="C46" s="65"/>
      <c r="D46" s="65"/>
      <c r="E46" s="65"/>
      <c r="F46" s="65"/>
    </row>
    <row r="47" spans="2:8" ht="13.5" customHeight="1" x14ac:dyDescent="0.25">
      <c r="B47" s="33"/>
      <c r="C47" s="33"/>
      <c r="D47" s="33"/>
      <c r="E47" s="33"/>
      <c r="F47" s="33"/>
    </row>
    <row r="48" spans="2:8" x14ac:dyDescent="0.25">
      <c r="B48" s="20"/>
      <c r="C48" s="20"/>
      <c r="D48" s="20"/>
      <c r="E48" s="20"/>
      <c r="F48" s="20"/>
    </row>
    <row r="49" spans="2:15" ht="12" customHeight="1" x14ac:dyDescent="0.25">
      <c r="B49" s="18" t="s">
        <v>48</v>
      </c>
      <c r="C49" s="36"/>
      <c r="D49" s="64" t="s">
        <v>47</v>
      </c>
      <c r="E49" s="64"/>
      <c r="F49" s="64"/>
    </row>
    <row r="50" spans="2:15" ht="12" customHeight="1" x14ac:dyDescent="0.25">
      <c r="B50" s="18"/>
      <c r="C50" s="36"/>
      <c r="D50" s="43"/>
      <c r="E50" s="43"/>
      <c r="F50" s="43"/>
    </row>
    <row r="51" spans="2:15" ht="15" customHeight="1" x14ac:dyDescent="0.25">
      <c r="B51" s="9"/>
      <c r="C51" s="9"/>
      <c r="D51" s="21"/>
      <c r="E51" s="21"/>
      <c r="F51" s="21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5" customHeight="1" x14ac:dyDescent="0.25">
      <c r="B52" s="35"/>
      <c r="C52" s="44" t="s">
        <v>50</v>
      </c>
      <c r="D52" s="45"/>
      <c r="E52" s="45"/>
      <c r="F52" s="45"/>
      <c r="G52" s="19"/>
      <c r="H52" s="19"/>
      <c r="I52" s="19"/>
      <c r="J52" s="19"/>
      <c r="K52" s="19"/>
      <c r="L52" s="19"/>
      <c r="M52" s="19"/>
      <c r="N52" s="19"/>
      <c r="O52" s="19"/>
    </row>
    <row r="53" spans="2:15" ht="15" customHeight="1" x14ac:dyDescent="0.25">
      <c r="B53" s="49" t="s">
        <v>62</v>
      </c>
      <c r="C53" s="34"/>
      <c r="D53" s="34"/>
      <c r="E53" s="34"/>
      <c r="F53" s="34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62" t="s">
        <v>24</v>
      </c>
      <c r="C54" s="62"/>
      <c r="D54" s="63"/>
      <c r="E54" s="63"/>
      <c r="F54" s="63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62"/>
      <c r="C55" s="62"/>
      <c r="D55" s="63"/>
      <c r="E55" s="63"/>
      <c r="F55" s="63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62"/>
      <c r="C56" s="62"/>
      <c r="D56" s="63"/>
      <c r="E56" s="63"/>
      <c r="F56" s="63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63"/>
      <c r="C57" s="63"/>
      <c r="D57" s="63"/>
      <c r="E57" s="63"/>
      <c r="F57" s="63"/>
    </row>
    <row r="58" spans="2:15" x14ac:dyDescent="0.25">
      <c r="B58" s="63"/>
      <c r="C58" s="63"/>
      <c r="D58" s="63"/>
      <c r="E58" s="63"/>
      <c r="F58" s="63"/>
    </row>
    <row r="59" spans="2:15" x14ac:dyDescent="0.25">
      <c r="B59" s="63"/>
      <c r="C59" s="63"/>
      <c r="D59" s="63"/>
      <c r="E59" s="63"/>
      <c r="F59" s="63"/>
    </row>
    <row r="60" spans="2:15" x14ac:dyDescent="0.25">
      <c r="B60" s="19"/>
      <c r="C60" s="19"/>
      <c r="D60" s="19"/>
      <c r="E60" s="19"/>
      <c r="F60" s="19"/>
    </row>
    <row r="61" spans="2:15" x14ac:dyDescent="0.25">
      <c r="B61" s="19"/>
      <c r="C61" s="19"/>
      <c r="D61" s="19"/>
      <c r="E61" s="19"/>
      <c r="F61" s="19"/>
    </row>
    <row r="62" spans="2:15" x14ac:dyDescent="0.25">
      <c r="B62" s="19"/>
      <c r="C62" s="19"/>
      <c r="D62" s="19"/>
      <c r="E62" s="19"/>
      <c r="F62" s="19"/>
    </row>
    <row r="63" spans="2:15" x14ac:dyDescent="0.25">
      <c r="B63" s="19"/>
      <c r="C63" s="19"/>
      <c r="D63" s="19"/>
      <c r="E63" s="19"/>
      <c r="F63" s="19"/>
    </row>
  </sheetData>
  <mergeCells count="13">
    <mergeCell ref="B8:F8"/>
    <mergeCell ref="B15:F15"/>
    <mergeCell ref="B17:F17"/>
    <mergeCell ref="B20:F20"/>
    <mergeCell ref="B46:F46"/>
    <mergeCell ref="B40:F40"/>
    <mergeCell ref="B10:F10"/>
    <mergeCell ref="B54:F59"/>
    <mergeCell ref="D49:F49"/>
    <mergeCell ref="B42:F42"/>
    <mergeCell ref="B43:F43"/>
    <mergeCell ref="B44:F44"/>
    <mergeCell ref="B45:F45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2026-02-27T21:39:48Z</cp:lastPrinted>
  <dcterms:created xsi:type="dcterms:W3CDTF">2020-12-14T19:54:01Z</dcterms:created>
  <dcterms:modified xsi:type="dcterms:W3CDTF">2026-02-27T21:39:56Z</dcterms:modified>
</cp:coreProperties>
</file>