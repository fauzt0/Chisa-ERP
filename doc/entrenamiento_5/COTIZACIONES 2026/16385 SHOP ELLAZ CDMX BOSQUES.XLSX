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158D1BE-F9E5-4398-9661-3AC9433F1863}"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3" i="1" l="1"/>
  <c r="E12" i="1" l="1"/>
  <c r="E15" i="1" s="1"/>
  <c r="E17" i="1" s="1"/>
  <c r="F31" i="3"/>
  <c r="F27" i="3"/>
  <c r="E18" i="1" l="1"/>
  <c r="E19" i="1"/>
  <c r="F28" i="3"/>
  <c r="F29" i="3" s="1"/>
  <c r="F32" i="3"/>
  <c r="F33" i="3" s="1"/>
  <c r="F24" i="3"/>
  <c r="F25" i="3" l="1"/>
  <c r="F26" i="3"/>
</calcChain>
</file>

<file path=xl/sharedStrings.xml><?xml version="1.0" encoding="utf-8"?>
<sst xmlns="http://schemas.openxmlformats.org/spreadsheetml/2006/main" count="76" uniqueCount="63">
  <si>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</si>
  <si>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</si>
  <si>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</si>
  <si>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</si>
  <si>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</si>
  <si>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</si>
  <si>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</si>
  <si>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</si>
  <si>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</si>
  <si>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</si>
  <si>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</si>
  <si>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</si>
  <si>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</si>
  <si>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</si>
  <si>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SIN MAS POR EL MOMENTO, LE REITERO A USTED, LAS SEGURIDADES DE MI MAS DISTINGUIDA CONSIDERACIÓN. </t>
  </si>
  <si>
    <t xml:space="preserve">   </t>
  </si>
  <si>
    <t>CANTIDAD</t>
  </si>
  <si>
    <t>IMPORTE</t>
  </si>
  <si>
    <t>CONCEPTO</t>
  </si>
  <si>
    <t>M2</t>
  </si>
  <si>
    <t>ACEPTO</t>
  </si>
  <si>
    <t xml:space="preserve">PRESENTAMOS A SU AMABLE CONSIDERACIÓN EL PRESUPUESTO DE SUMINISTRO DE LOS SIGUIENTES MATERIALES: </t>
  </si>
  <si>
    <t xml:space="preserve">NOTAS: </t>
  </si>
  <si>
    <t>CUBETAS</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</si>
  <si>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</si>
  <si>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</si>
  <si>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</si>
  <si>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</si>
  <si>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</si>
  <si>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</si>
  <si>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</si>
  <si>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</si>
  <si>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</si>
  <si>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</si>
  <si>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</si>
  <si>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t>
  </si>
  <si>
    <t>CIUDAD DE MEXICO A 24 DE OCTUBRE DEL 2023</t>
  </si>
  <si>
    <t>AT´N: ING. SERGIO ALBERTO GUTIERREZ</t>
  </si>
  <si>
    <t>PRES. REF. 15216-S/2023</t>
  </si>
  <si>
    <r>
      <t xml:space="preserve">1.-PINTUFLEX (SIMILAR A VINIMEX) </t>
    </r>
    <r>
      <rPr>
        <sz val="9"/>
        <color theme="1"/>
        <rFont val="Times New Roman"/>
        <family val="1"/>
      </rPr>
      <t xml:space="preserve">Pintura Vinil - Acrilica semi mate para interiores o exteriores </t>
    </r>
  </si>
  <si>
    <r>
      <t xml:space="preserve">2.-CHISA VINIL (SIMILAR A PROMIL) </t>
    </r>
    <r>
      <rPr>
        <sz val="9"/>
        <color theme="1"/>
        <rFont val="Times New Roman"/>
        <family val="1"/>
      </rPr>
      <t xml:space="preserve">Pintura Vinil - Acrilica  mate para interiores o exteriores </t>
    </r>
  </si>
  <si>
    <t xml:space="preserve">             ING. SERGIO ALBERTO GUTIERREZ</t>
  </si>
  <si>
    <t xml:space="preserve"> LIC. CAROLINA GALVAN</t>
  </si>
  <si>
    <r>
      <t xml:space="preserve">3.-SELLADOR INICIAL 4648 , </t>
    </r>
    <r>
      <rPr>
        <sz val="9"/>
        <color theme="1"/>
        <rFont val="Times New Roman"/>
        <family val="1"/>
      </rPr>
      <t>precusor de adherencia para distintos recubrimientos</t>
    </r>
  </si>
  <si>
    <t>iva 16%</t>
  </si>
  <si>
    <t>ttl</t>
  </si>
  <si>
    <t>AT´N: "TIO BEN"</t>
  </si>
  <si>
    <r>
      <t>PRESENTAMOS  A  SU AMABLE  CONSIDERACIÓN EL PRESUPUESTO DE SUMINISTRO Y APLICACIÓN  DE  LOS SIGUIENTES CONCEPTOS.</t>
    </r>
    <r>
      <rPr>
        <b/>
        <sz val="8"/>
        <color theme="1"/>
        <rFont val="Times New Roman"/>
        <family val="1"/>
      </rPr>
      <t xml:space="preserve">                                                   </t>
    </r>
  </si>
  <si>
    <r>
      <t xml:space="preserve">PRECIO  U.                </t>
    </r>
    <r>
      <rPr>
        <sz val="8"/>
        <color theme="1"/>
        <rFont val="Times New Roman"/>
        <family val="1"/>
      </rPr>
      <t xml:space="preserve">       </t>
    </r>
  </si>
  <si>
    <t>EN CASO DE SER ACEPTADO EL PRESENTE PRESUPUESTO REQUERIMOS DEL 70% COMO ANTICIPO,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</si>
  <si>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 xml:space="preserve">EL PERSONAL APLICADOR DE HAPA SOLUCIONES INTEGRALES EN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</si>
  <si>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 xml:space="preserve">                                                      ATENTAMENTE</t>
  </si>
  <si>
    <r>
      <t xml:space="preserve">1.-SUMINISTRO Y APLICACIÓN DE PINTURA VINIL-ACRILICA PINTUFLEX, PARA INTERIOR INCLUYE: </t>
    </r>
    <r>
      <rPr>
        <sz val="9"/>
        <color theme="1"/>
        <rFont val="Times New Roman"/>
        <family val="1"/>
      </rPr>
      <t>LIMPIEZA DE LA SUPERFICIE,  APLICACIÓN DE SELLADOR INICIAL A MANO CON RODILLO DE FELPA, APLICACION DE PINTURA VINIL-ACRILICA PINTUFLEX  A MANO CON RODILLO DE FELPA Y BROCHA,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18 MTS. Y DEMÁS DERIVADOS DEL USO DE HERRAMIENTA. NO INCLUYE ANDAMIAJE.</t>
    </r>
  </si>
  <si>
    <t>CIUDAD DE MEXICO A 21 DE ENERO DEL 2026</t>
  </si>
  <si>
    <t>OBRA: SHOP ELLAZ BOSQUES</t>
  </si>
  <si>
    <t>PRES. REF. 16385/2026CG</t>
  </si>
  <si>
    <r>
      <t xml:space="preserve">2.-SUMINISTRO Y APLICACIÓN DE RECUBRIMIENTO CHISA GLASS REF-S.M.A. EN MUROS CON SUPERFICIE LISA, INCLUYE :  </t>
    </r>
    <r>
      <rPr>
        <sz val="9"/>
        <color theme="1"/>
        <rFont val="Times New Roman"/>
        <family val="1"/>
      </rPr>
      <t>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</si>
  <si>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 xml:space="preserve">FORMA DE PAGO Y CONSIDERACIONES GENERALES CORRESPONDIENTES AL PRESUPUESTO </t>
    </r>
    <r>
      <rPr>
        <b/>
        <sz val="8"/>
        <color theme="1"/>
        <rFont val="Times New Roman"/>
        <family val="1"/>
      </rPr>
      <t>REF. 16385/2026CG.</t>
    </r>
  </si>
  <si>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</si>
  <si>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DESC 3.5%</t>
  </si>
  <si>
    <t>SUB TOTAL</t>
  </si>
  <si>
    <t xml:space="preserve">                         ___________________________________                                                           _____________________________________</t>
  </si>
  <si>
    <t xml:space="preserve">                                                  "TIO  BEN"                                                                                       CHISA RECUBRIMIENTOS SA DE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</si>
</sst>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80A]#,##0.00"/>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sz val="10"/>
      <name val="Arial"/>
      <family val="2"/>
    </font>
    <font>
      <sz val="9"/>
      <color theme="1"/>
      <name val="Calibri"/>
      <family val="2"/>
      <scheme val="minor"/>
    </font>
    <font>
      <sz val="8"/>
      <name val="Arial"/>
      <family val="2"/>
    </font>
  </fonts>
  <fills count="2">
    <fill>
      <patternFill patternType="none"/>
    </fill>
    <fill>
      <patternFill patternType="gray125"/>
    </fill>
  </fills>
  <borders count="1">
    <border>
      <left/>
      <right/>
      <top/>
      <bottom/>
      <diagonal/>
    </border>
  </borders>
  <cellStyleXfs count="3">
    <xf numFmtId="0" fontId="0" fillId="0" borderId="0"/>
    <xf numFmtId="44" fontId="6" fillId="0" borderId="0" applyFont="0" applyFill="0" applyBorder="0" applyAlignment="0" applyProtection="0"/>
    <xf numFmtId="0" fontId="11" fillId="0" borderId="0"/>
  </cellStyleXfs>
  <cellXfs count="78">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5"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0" fillId="0" borderId="0" xfId="0" applyFont="1"/>
    <xf numFmtId="0" fontId="10" fillId="0" borderId="0" xfId="0" applyFont="1" applyAlignment="1">
      <alignment horizontal="justify"/>
    </xf>
    <xf numFmtId="0" fontId="1" fillId="0" borderId="0" xfId="0" applyFont="1" applyAlignment="1">
      <alignment horizontal="justify" vertical="justify" wrapText="1"/>
    </xf>
    <xf numFmtId="0" fontId="0" fillId="0" borderId="0" xfId="0" applyAlignment="1">
      <alignment vertical="center" wrapText="1"/>
    </xf>
    <xf numFmtId="0" fontId="11" fillId="0" borderId="0" xfId="2"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5" fillId="0" borderId="0" xfId="0" applyFont="1" applyAlignment="1">
      <alignment horizontal="justify" vertical="center"/>
    </xf>
    <xf numFmtId="0" fontId="1" fillId="0" borderId="0" xfId="0" applyFont="1" applyAlignment="1">
      <alignment horizontal="center"/>
    </xf>
    <xf numFmtId="4" fontId="1" fillId="0" borderId="0" xfId="0" applyNumberFormat="1" applyFont="1" applyAlignment="1">
      <alignment horizontal="center" wrapText="1"/>
    </xf>
    <xf numFmtId="44" fontId="1" fillId="0" borderId="0" xfId="1" applyFont="1" applyBorder="1" applyAlignment="1">
      <alignment horizontal="center" wrapText="1"/>
    </xf>
    <xf numFmtId="44" fontId="1" fillId="0" borderId="0" xfId="1" applyFont="1" applyBorder="1" applyAlignment="1">
      <alignment horizontal="right" wrapText="1"/>
    </xf>
    <xf numFmtId="4" fontId="1" fillId="0" borderId="0" xfId="0" applyNumberFormat="1" applyFont="1" applyAlignment="1">
      <alignment horizontal="right" wrapText="1"/>
    </xf>
    <xf numFmtId="0" fontId="0" fillId="0" borderId="0" xfId="0" applyAlignment="1">
      <alignment horizontal="justify" vertical="top" wrapText="1"/>
    </xf>
    <xf numFmtId="0" fontId="12" fillId="0" borderId="0" xfId="0" applyFont="1" applyAlignment="1">
      <alignment horizontal="justify"/>
    </xf>
    <xf numFmtId="0" fontId="1" fillId="0" borderId="0" xfId="0" applyFont="1" applyAlignment="1">
      <alignment horizontal="center" vertical="center"/>
    </xf>
    <xf numFmtId="0" fontId="0" fillId="0" borderId="0" xfId="0" applyAlignment="1">
      <alignment horizontal="justify"/>
    </xf>
    <xf numFmtId="0" fontId="0" fillId="0" borderId="0" xfId="0" applyAlignment="1">
      <alignment horizontal="center"/>
    </xf>
    <xf numFmtId="4" fontId="11" fillId="0" borderId="0" xfId="2" applyNumberFormat="1" applyAlignment="1">
      <alignment vertical="center" wrapText="1"/>
    </xf>
    <xf numFmtId="164" fontId="11" fillId="0" borderId="0" xfId="2" applyNumberFormat="1" applyAlignment="1">
      <alignment vertical="center" wrapText="1"/>
    </xf>
    <xf numFmtId="0" fontId="13" fillId="0" borderId="0" xfId="2"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justify" vertical="center" wrapText="1"/>
    </xf>
    <xf numFmtId="0" fontId="10" fillId="0" borderId="0" xfId="0" applyFont="1" applyAlignment="1">
      <alignment horizontal="center" wrapText="1"/>
    </xf>
    <xf numFmtId="8" fontId="1" fillId="0" borderId="0" xfId="1" applyNumberFormat="1" applyFont="1" applyAlignment="1">
      <alignment horizontal="right" wrapText="1"/>
    </xf>
    <xf numFmtId="0" fontId="4" fillId="0" borderId="0" xfId="0" applyFont="1" applyAlignment="1">
      <alignment horizontal="justify" vertical="top" wrapText="1"/>
    </xf>
    <xf numFmtId="0" fontId="10" fillId="0" borderId="0" xfId="0" applyFont="1" applyAlignment="1">
      <alignment horizontal="justify" vertical="top" wrapText="1"/>
    </xf>
    <xf numFmtId="0" fontId="10" fillId="0" borderId="0" xfId="0" applyFont="1" applyAlignment="1">
      <alignment wrapText="1"/>
    </xf>
    <xf numFmtId="0" fontId="4" fillId="0" borderId="0" xfId="0" applyFont="1" applyAlignment="1">
      <alignment horizontal="justify" vertical="center" wrapText="1"/>
    </xf>
    <xf numFmtId="0" fontId="10" fillId="0" borderId="0" xfId="0" applyFont="1" applyAlignment="1">
      <alignment horizontal="justify" vertical="center" wrapText="1"/>
    </xf>
    <xf numFmtId="0" fontId="10" fillId="0" borderId="0" xfId="0" applyFont="1" applyAlignment="1">
      <alignment vertical="center" wrapText="1"/>
    </xf>
    <xf numFmtId="0" fontId="1" fillId="0" borderId="0" xfId="0" applyFont="1" applyAlignment="1">
      <alignment horizontal="left"/>
    </xf>
    <xf numFmtId="0" fontId="3" fillId="0" borderId="0" xfId="0" applyFont="1" applyAlignment="1">
      <alignment horizontal="left" vertical="center"/>
    </xf>
    <xf numFmtId="0" fontId="3" fillId="0" borderId="0" xfId="0" applyFont="1" applyAlignment="1">
      <alignment horizontal="center" vertical="center" wrapText="1"/>
    </xf>
    <xf numFmtId="0" fontId="10" fillId="0" borderId="0" xfId="0" applyFont="1" applyAlignment="1">
      <alignment horizontal="center" wrapText="1"/>
    </xf>
    <xf numFmtId="0" fontId="1"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horizontal="justify" vertical="justify" wrapText="1"/>
    </xf>
    <xf numFmtId="0" fontId="10"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1" fillId="0" borderId="0" xfId="0" applyFont="1" applyAlignment="1">
      <alignment horizontal="right" vertical="center"/>
    </xf>
  </cellXfs>
  <cellStyles count="3">
    <cellStyle name="Moneda" xfId="1" builtinId="4"/>
    <cellStyle name="Normal" xfId="0" builtinId="0"/>
    <cellStyle name="Normal 2" xfId="2" xr:uid="{0BF4331E-A5A0-40D3-84B7-4DD9B98F31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5"/>
  <sheetViews>
    <sheetView tabSelected="1" topLeftCell="A43" zoomScale="80" zoomScaleNormal="80" workbookViewId="0">
      <selection activeCell="A49" sqref="A4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7" x14ac:dyDescent="0.25">
      <c r="A1" s="30"/>
      <c r="B1" s="30"/>
      <c r="C1" s="30"/>
      <c r="D1" s="30"/>
      <c r="E1" s="30"/>
    </row>
    <row r="2" spans="1:7" x14ac:dyDescent="0.25">
      <c r="A2" s="30"/>
      <c r="B2" s="30"/>
      <c r="C2" s="30"/>
      <c r="D2" s="30"/>
      <c r="E2" s="30"/>
    </row>
    <row r="3" spans="1:7" x14ac:dyDescent="0.25">
      <c r="A3" s="66" t="s">
        <v>53</v>
      </c>
      <c r="B3" s="66"/>
      <c r="C3" s="66"/>
      <c r="D3" s="66"/>
      <c r="E3" s="67"/>
      <c r="F3" s="6"/>
    </row>
    <row r="4" spans="1:7" x14ac:dyDescent="0.25">
      <c r="A4" s="12"/>
      <c r="B4" s="12"/>
      <c r="C4" s="12"/>
      <c r="D4" s="12"/>
      <c r="E4" s="33"/>
    </row>
    <row r="5" spans="1:7" x14ac:dyDescent="0.25">
      <c r="A5" s="35" t="s">
        <v>0</v>
      </c>
      <c r="B5" s="30"/>
      <c r="C5" s="30"/>
      <c r="D5" s="30"/>
      <c r="E5" s="30"/>
    </row>
    <row r="6" spans="1:7" x14ac:dyDescent="0.25">
      <c r="A6" s="68" t="s">
        <v>46</v>
      </c>
      <c r="B6" s="68"/>
      <c r="C6" s="68"/>
      <c r="D6" s="68"/>
      <c r="E6" s="68"/>
    </row>
    <row r="7" spans="1:7" ht="16.5" customHeight="1" x14ac:dyDescent="0.25">
      <c r="A7" s="69" t="s">
        <v>54</v>
      </c>
      <c r="B7" s="69"/>
      <c r="C7" s="69"/>
      <c r="D7" s="69"/>
      <c r="E7" s="69"/>
      <c r="F7" s="4"/>
    </row>
    <row r="8" spans="1:7" x14ac:dyDescent="0.25">
      <c r="A8" s="2" t="s">
        <v>55</v>
      </c>
      <c r="B8" s="31"/>
      <c r="C8" s="31"/>
      <c r="D8" s="31"/>
      <c r="E8" s="30"/>
      <c r="F8" s="10"/>
    </row>
    <row r="9" spans="1:7" ht="12" customHeight="1" x14ac:dyDescent="0.25">
      <c r="A9" s="5" t="s">
        <v>1</v>
      </c>
      <c r="B9" s="31"/>
      <c r="C9" s="31"/>
      <c r="D9" s="31"/>
      <c r="E9" s="30"/>
      <c r="F9" s="4"/>
      <c r="G9" s="15"/>
    </row>
    <row r="10" spans="1:7" ht="24" customHeight="1" x14ac:dyDescent="0.25">
      <c r="A10" s="56" t="s">
        <v>47</v>
      </c>
      <c r="B10" s="56"/>
      <c r="C10" s="56"/>
      <c r="D10" s="56"/>
      <c r="E10" s="56"/>
      <c r="F10" s="4"/>
      <c r="G10" s="15"/>
    </row>
    <row r="11" spans="1:7" ht="15.75" customHeight="1" x14ac:dyDescent="0.25">
      <c r="A11" s="36" t="s">
        <v>18</v>
      </c>
      <c r="B11" s="36" t="s">
        <v>34</v>
      </c>
      <c r="C11" s="36" t="s">
        <v>16</v>
      </c>
      <c r="D11" s="36" t="s">
        <v>48</v>
      </c>
      <c r="E11" s="36" t="s">
        <v>17</v>
      </c>
      <c r="F11" s="4"/>
    </row>
    <row r="12" spans="1:7" ht="183" customHeight="1" x14ac:dyDescent="0.25">
      <c r="A12" s="37" t="s">
        <v>52</v>
      </c>
      <c r="B12" s="29" t="s">
        <v>19</v>
      </c>
      <c r="C12" s="39">
        <v>396</v>
      </c>
      <c r="D12" s="55">
        <v>189.9</v>
      </c>
      <c r="E12" s="55">
        <f>C12*D12</f>
        <v>75200.400000000009</v>
      </c>
    </row>
    <row r="13" spans="1:7" ht="217.5" customHeight="1" x14ac:dyDescent="0.25">
      <c r="A13" s="37" t="s">
        <v>56</v>
      </c>
      <c r="B13" s="29" t="s">
        <v>19</v>
      </c>
      <c r="C13" s="39">
        <v>80</v>
      </c>
      <c r="D13" s="55">
        <v>255.9</v>
      </c>
      <c r="E13" s="55">
        <f>C13*D13</f>
        <v>20472</v>
      </c>
    </row>
    <row r="14" spans="1:7" ht="21" customHeight="1" x14ac:dyDescent="0.25">
      <c r="A14" s="37"/>
      <c r="B14" s="38"/>
      <c r="C14" s="39"/>
      <c r="D14" s="40"/>
      <c r="E14" s="41"/>
    </row>
    <row r="15" spans="1:7" ht="15.75" customHeight="1" x14ac:dyDescent="0.25">
      <c r="A15" s="37"/>
      <c r="B15" s="42"/>
      <c r="C15" s="14"/>
      <c r="D15" s="3" t="s">
        <v>2</v>
      </c>
      <c r="E15" s="15">
        <f>SUM(E12:E14)</f>
        <v>95672.400000000009</v>
      </c>
    </row>
    <row r="16" spans="1:7" ht="15.75" customHeight="1" x14ac:dyDescent="0.25">
      <c r="A16" s="37"/>
      <c r="B16" s="42"/>
      <c r="C16" s="14"/>
      <c r="D16" s="3" t="s">
        <v>59</v>
      </c>
      <c r="E16" s="15">
        <v>3348.53</v>
      </c>
    </row>
    <row r="17" spans="1:5" ht="15.75" customHeight="1" x14ac:dyDescent="0.25">
      <c r="A17" s="37"/>
      <c r="B17" s="42"/>
      <c r="C17" s="14"/>
      <c r="D17" s="3" t="s">
        <v>60</v>
      </c>
      <c r="E17" s="15">
        <f>E15-E16</f>
        <v>92323.87000000001</v>
      </c>
    </row>
    <row r="18" spans="1:5" ht="15.75" customHeight="1" x14ac:dyDescent="0.25">
      <c r="A18" s="37"/>
      <c r="B18" s="42"/>
      <c r="C18" s="14"/>
      <c r="D18" s="3" t="s">
        <v>3</v>
      </c>
      <c r="E18" s="15">
        <f>E17*16%</f>
        <v>14771.819200000002</v>
      </c>
    </row>
    <row r="19" spans="1:5" ht="19.5" customHeight="1" x14ac:dyDescent="0.25">
      <c r="A19" s="8"/>
      <c r="B19" s="12"/>
      <c r="C19" s="13"/>
      <c r="D19" s="3" t="s">
        <v>4</v>
      </c>
      <c r="E19" s="15">
        <f>E17+E18</f>
        <v>107095.68920000001</v>
      </c>
    </row>
    <row r="20" spans="1:5" ht="17.25" customHeight="1" x14ac:dyDescent="0.25">
      <c r="A20" s="3"/>
      <c r="B20" s="43"/>
      <c r="C20" s="3"/>
      <c r="D20" s="3"/>
      <c r="E20" s="34"/>
    </row>
    <row r="21" spans="1:5" ht="17.25" customHeight="1" x14ac:dyDescent="0.25">
      <c r="A21" s="3"/>
      <c r="B21" s="43"/>
      <c r="C21" s="3"/>
      <c r="D21" s="3"/>
      <c r="E21" s="34"/>
    </row>
    <row r="22" spans="1:5" x14ac:dyDescent="0.25">
      <c r="A22" s="3"/>
      <c r="B22" s="43"/>
      <c r="C22" s="3"/>
      <c r="D22" s="3"/>
      <c r="E22" s="34"/>
    </row>
    <row r="23" spans="1:5" x14ac:dyDescent="0.25">
      <c r="A23" s="3"/>
      <c r="B23" s="43"/>
      <c r="C23" s="3"/>
      <c r="D23" s="3"/>
      <c r="E23" s="34"/>
    </row>
    <row r="24" spans="1:5" x14ac:dyDescent="0.25">
      <c r="A24" s="3"/>
      <c r="B24" s="43"/>
      <c r="C24" s="3"/>
      <c r="D24" s="3"/>
      <c r="E24" s="34"/>
    </row>
    <row r="25" spans="1:5" x14ac:dyDescent="0.25">
      <c r="A25" s="3"/>
      <c r="B25" s="43"/>
      <c r="C25" s="3"/>
      <c r="D25" s="3"/>
      <c r="E25" s="34"/>
    </row>
    <row r="26" spans="1:5" x14ac:dyDescent="0.25">
      <c r="A26" s="3"/>
      <c r="B26" s="43"/>
      <c r="C26" s="3"/>
      <c r="D26" s="3"/>
      <c r="E26" s="34"/>
    </row>
    <row r="27" spans="1:5" ht="16.5" customHeight="1" x14ac:dyDescent="0.25">
      <c r="A27" s="70" t="s">
        <v>57</v>
      </c>
      <c r="B27" s="70"/>
      <c r="C27" s="70"/>
      <c r="D27" s="70"/>
      <c r="E27" s="71"/>
    </row>
    <row r="28" spans="1:5" x14ac:dyDescent="0.25">
      <c r="A28" s="63" t="s">
        <v>54</v>
      </c>
      <c r="B28" s="63"/>
      <c r="C28" s="63"/>
      <c r="D28" s="63"/>
      <c r="E28" s="50"/>
    </row>
    <row r="29" spans="1:5" ht="12.75" customHeight="1" x14ac:dyDescent="0.25">
      <c r="A29" s="51"/>
      <c r="B29" s="51"/>
      <c r="C29" s="51"/>
      <c r="D29" s="51"/>
      <c r="E29" s="50"/>
    </row>
    <row r="30" spans="1:5" ht="12.75" customHeight="1" x14ac:dyDescent="0.25">
      <c r="A30" s="64" t="s">
        <v>5</v>
      </c>
      <c r="B30" s="64"/>
      <c r="C30" s="64"/>
      <c r="D30" s="64"/>
      <c r="E30" s="61"/>
    </row>
    <row r="31" spans="1:5" ht="62.25" customHeight="1" x14ac:dyDescent="0.25">
      <c r="A31" s="59" t="s">
        <v>49</v>
      </c>
      <c r="B31" s="61"/>
      <c r="C31" s="61"/>
      <c r="D31" s="61"/>
      <c r="E31" s="61"/>
    </row>
    <row r="32" spans="1:5" ht="12.75" customHeight="1" x14ac:dyDescent="0.25">
      <c r="A32" s="53"/>
      <c r="B32" s="53"/>
      <c r="C32" s="53"/>
      <c r="D32" s="53"/>
      <c r="E32" s="50"/>
    </row>
    <row r="33" spans="1:5" ht="12.75" customHeight="1" x14ac:dyDescent="0.25">
      <c r="A33" s="64" t="s">
        <v>6</v>
      </c>
      <c r="B33" s="65"/>
      <c r="C33" s="65"/>
      <c r="D33" s="65"/>
      <c r="E33" s="58"/>
    </row>
    <row r="34" spans="1:5" ht="12.75" customHeight="1" x14ac:dyDescent="0.25">
      <c r="A34" s="52"/>
      <c r="B34" s="54"/>
      <c r="C34" s="54"/>
      <c r="D34" s="54"/>
      <c r="E34" s="50"/>
    </row>
    <row r="35" spans="1:5" ht="37.5" customHeight="1" x14ac:dyDescent="0.25">
      <c r="A35" s="59" t="s">
        <v>7</v>
      </c>
      <c r="B35" s="60"/>
      <c r="C35" s="60"/>
      <c r="D35" s="60"/>
      <c r="E35" s="61"/>
    </row>
    <row r="36" spans="1:5" ht="45" customHeight="1" x14ac:dyDescent="0.25">
      <c r="A36" s="56" t="s">
        <v>50</v>
      </c>
      <c r="B36" s="57"/>
      <c r="C36" s="57"/>
      <c r="D36" s="57"/>
      <c r="E36" s="58"/>
    </row>
    <row r="37" spans="1:5" ht="45.75" customHeight="1" x14ac:dyDescent="0.25">
      <c r="A37" s="56" t="s">
        <v>8</v>
      </c>
      <c r="B37" s="57"/>
      <c r="C37" s="57"/>
      <c r="D37" s="57"/>
      <c r="E37" s="58"/>
    </row>
    <row r="38" spans="1:5" ht="24" customHeight="1" x14ac:dyDescent="0.25">
      <c r="A38" s="56" t="s">
        <v>9</v>
      </c>
      <c r="B38" s="57"/>
      <c r="C38" s="57"/>
      <c r="D38" s="57"/>
      <c r="E38" s="58"/>
    </row>
    <row r="39" spans="1:5" ht="71.25" customHeight="1" x14ac:dyDescent="0.25">
      <c r="A39" s="59" t="s">
        <v>10</v>
      </c>
      <c r="B39" s="60"/>
      <c r="C39" s="60"/>
      <c r="D39" s="60"/>
      <c r="E39" s="61"/>
    </row>
    <row r="40" spans="1:5" ht="24" customHeight="1" x14ac:dyDescent="0.25">
      <c r="A40" s="59" t="s">
        <v>11</v>
      </c>
      <c r="B40" s="60"/>
      <c r="C40" s="60"/>
      <c r="D40" s="60"/>
      <c r="E40" s="61"/>
    </row>
    <row r="41" spans="1:5" ht="48" customHeight="1" x14ac:dyDescent="0.25">
      <c r="A41" s="59" t="s">
        <v>12</v>
      </c>
      <c r="B41" s="60"/>
      <c r="C41" s="60"/>
      <c r="D41" s="60"/>
      <c r="E41" s="61"/>
    </row>
    <row r="42" spans="1:5" ht="24.75" customHeight="1" x14ac:dyDescent="0.25">
      <c r="A42" s="59" t="s">
        <v>13</v>
      </c>
      <c r="B42" s="58"/>
      <c r="C42" s="58"/>
      <c r="D42" s="58"/>
      <c r="E42" s="58"/>
    </row>
    <row r="43" spans="1:5" ht="66.75" customHeight="1" x14ac:dyDescent="0.25">
      <c r="A43" s="56" t="s">
        <v>58</v>
      </c>
      <c r="B43" s="56"/>
      <c r="C43" s="56"/>
      <c r="D43" s="56"/>
      <c r="E43" s="56"/>
    </row>
    <row r="44" spans="1:5" x14ac:dyDescent="0.25">
      <c r="A44" s="59" t="s">
        <v>14</v>
      </c>
      <c r="B44" s="60"/>
      <c r="C44" s="60"/>
      <c r="D44" s="60"/>
      <c r="E44" s="61"/>
    </row>
    <row r="45" spans="1:5" x14ac:dyDescent="0.25">
      <c r="A45" s="9" t="s">
        <v>15</v>
      </c>
      <c r="B45" s="44"/>
      <c r="C45" s="44"/>
      <c r="D45" s="44"/>
      <c r="E45" s="34"/>
    </row>
    <row r="46" spans="1:5" x14ac:dyDescent="0.25">
      <c r="A46" s="45" t="s">
        <v>20</v>
      </c>
      <c r="B46" s="62" t="s">
        <v>51</v>
      </c>
      <c r="C46" s="62"/>
      <c r="D46" s="62"/>
      <c r="E46" s="34"/>
    </row>
    <row r="47" spans="1:5" x14ac:dyDescent="0.25">
      <c r="A47" s="9"/>
      <c r="B47" s="25"/>
      <c r="C47" s="25"/>
      <c r="D47" s="25"/>
      <c r="E47" s="34"/>
    </row>
    <row r="48" spans="1:5" x14ac:dyDescent="0.25">
      <c r="A48" s="16" t="s">
        <v>61</v>
      </c>
      <c r="B48" s="25"/>
      <c r="C48" s="25"/>
      <c r="D48" s="25"/>
      <c r="E48" s="34"/>
    </row>
    <row r="49" spans="1:5" x14ac:dyDescent="0.25">
      <c r="A49" s="17" t="s">
        <v>62</v>
      </c>
      <c r="B49" s="25"/>
      <c r="C49" s="25"/>
      <c r="D49" s="25"/>
      <c r="E49" s="34"/>
    </row>
    <row r="50" spans="1:5" x14ac:dyDescent="0.25">
      <c r="A50" s="17"/>
      <c r="B50" s="46"/>
      <c r="C50" s="46"/>
      <c r="D50" s="46"/>
      <c r="E50" s="34"/>
    </row>
    <row r="51" spans="1:5" x14ac:dyDescent="0.25">
      <c r="A51" s="47"/>
      <c r="B51" s="46"/>
      <c r="C51" s="46"/>
      <c r="D51" s="46"/>
      <c r="E51" s="34"/>
    </row>
    <row r="52" spans="1:5" x14ac:dyDescent="0.25">
      <c r="E52" s="34"/>
    </row>
    <row r="53" spans="1:5" x14ac:dyDescent="0.25">
      <c r="A53" s="34"/>
      <c r="B53" s="34"/>
      <c r="C53" s="48"/>
      <c r="D53" s="49"/>
      <c r="E53" s="34"/>
    </row>
    <row r="54" spans="1:5" x14ac:dyDescent="0.25">
      <c r="A54" s="34"/>
      <c r="B54" s="34"/>
      <c r="C54" s="48"/>
      <c r="D54" s="49"/>
      <c r="E54" s="34"/>
    </row>
    <row r="55" spans="1:5" x14ac:dyDescent="0.25">
      <c r="A55" s="34"/>
      <c r="B55" s="34"/>
      <c r="C55" s="48"/>
      <c r="D55" s="49"/>
      <c r="E55" s="34"/>
    </row>
    <row r="56" spans="1:5" x14ac:dyDescent="0.25">
      <c r="A56" s="34"/>
      <c r="B56" s="34"/>
      <c r="C56" s="48"/>
      <c r="D56" s="49"/>
      <c r="E56" s="34"/>
    </row>
    <row r="57" spans="1:5" x14ac:dyDescent="0.25">
      <c r="A57" s="34"/>
      <c r="B57" s="34"/>
      <c r="C57" s="48"/>
      <c r="D57" s="49"/>
      <c r="E57" s="34"/>
    </row>
    <row r="58" spans="1:5" x14ac:dyDescent="0.25">
      <c r="A58" s="34"/>
      <c r="B58" s="34"/>
      <c r="C58" s="48"/>
      <c r="D58" s="49"/>
      <c r="E58" s="34"/>
    </row>
    <row r="59" spans="1:5" x14ac:dyDescent="0.25">
      <c r="A59" s="34"/>
      <c r="B59" s="34"/>
      <c r="C59" s="48"/>
      <c r="D59" s="49"/>
      <c r="E59" s="34"/>
    </row>
    <row r="60" spans="1:5" x14ac:dyDescent="0.25">
      <c r="A60" s="34"/>
      <c r="B60" s="34"/>
      <c r="C60" s="48"/>
      <c r="D60" s="49"/>
      <c r="E60" s="34"/>
    </row>
    <row r="61" spans="1:5" x14ac:dyDescent="0.25">
      <c r="A61" s="34"/>
      <c r="B61" s="34"/>
      <c r="C61" s="48"/>
      <c r="D61" s="49"/>
      <c r="E61" s="34"/>
    </row>
    <row r="62" spans="1:5" x14ac:dyDescent="0.25">
      <c r="A62" s="34"/>
      <c r="B62" s="34"/>
      <c r="C62" s="48"/>
      <c r="D62" s="49"/>
      <c r="E62" s="34"/>
    </row>
    <row r="63" spans="1:5" x14ac:dyDescent="0.25">
      <c r="A63" s="34"/>
      <c r="B63" s="34"/>
      <c r="C63" s="48"/>
      <c r="D63" s="49"/>
      <c r="E63" s="34"/>
    </row>
    <row r="64" spans="1:5" x14ac:dyDescent="0.25">
      <c r="A64" s="34"/>
      <c r="B64" s="34"/>
      <c r="C64" s="48"/>
      <c r="D64" s="49"/>
      <c r="E64" s="34"/>
    </row>
    <row r="65" spans="1:5" x14ac:dyDescent="0.25">
      <c r="A65" s="34"/>
      <c r="B65" s="34"/>
      <c r="C65" s="48"/>
      <c r="D65" s="49"/>
      <c r="E65" s="34"/>
    </row>
    <row r="66" spans="1:5" x14ac:dyDescent="0.25">
      <c r="A66" s="34"/>
      <c r="B66" s="34"/>
      <c r="C66" s="48"/>
      <c r="D66" s="49"/>
      <c r="E66" s="34"/>
    </row>
    <row r="67" spans="1:5" x14ac:dyDescent="0.25">
      <c r="A67" s="34"/>
      <c r="B67" s="34"/>
      <c r="C67" s="48"/>
      <c r="D67" s="49"/>
      <c r="E67" s="34"/>
    </row>
    <row r="68" spans="1:5" x14ac:dyDescent="0.25">
      <c r="A68" s="34"/>
      <c r="B68" s="34"/>
      <c r="C68" s="48"/>
      <c r="D68" s="49"/>
      <c r="E68" s="34"/>
    </row>
    <row r="69" spans="1:5" x14ac:dyDescent="0.25">
      <c r="A69" s="34"/>
      <c r="B69" s="34"/>
      <c r="C69" s="48"/>
      <c r="D69" s="49"/>
      <c r="E69" s="34"/>
    </row>
    <row r="70" spans="1:5" x14ac:dyDescent="0.25">
      <c r="A70" s="34"/>
      <c r="B70" s="34"/>
      <c r="C70" s="48"/>
      <c r="D70" s="49"/>
      <c r="E70" s="34"/>
    </row>
    <row r="71" spans="1:5" x14ac:dyDescent="0.25">
      <c r="A71" s="34"/>
      <c r="B71" s="34"/>
      <c r="C71" s="48"/>
      <c r="D71" s="49"/>
      <c r="E71" s="34"/>
    </row>
    <row r="72" spans="1:5" x14ac:dyDescent="0.25">
      <c r="A72" s="34"/>
      <c r="B72" s="34"/>
      <c r="C72" s="48"/>
      <c r="D72" s="49"/>
      <c r="E72" s="34"/>
    </row>
    <row r="73" spans="1:5" x14ac:dyDescent="0.25">
      <c r="A73" s="34"/>
      <c r="B73" s="34"/>
      <c r="C73" s="48"/>
      <c r="D73" s="49"/>
      <c r="E73" s="34"/>
    </row>
    <row r="74" spans="1:5" x14ac:dyDescent="0.25">
      <c r="A74" s="34"/>
      <c r="B74" s="34"/>
      <c r="C74" s="48"/>
      <c r="D74" s="49"/>
      <c r="E74" s="34"/>
    </row>
    <row r="75" spans="1:5" x14ac:dyDescent="0.25">
      <c r="A75" s="34"/>
      <c r="B75" s="34"/>
      <c r="C75" s="48"/>
      <c r="D75" s="49"/>
      <c r="E75" s="34"/>
    </row>
    <row r="76" spans="1:5" x14ac:dyDescent="0.25">
      <c r="A76" s="34"/>
      <c r="B76" s="34"/>
      <c r="C76" s="48"/>
      <c r="D76" s="49"/>
      <c r="E76" s="34"/>
    </row>
    <row r="77" spans="1:5" x14ac:dyDescent="0.25">
      <c r="A77" s="34"/>
      <c r="B77" s="34"/>
      <c r="C77" s="48"/>
      <c r="D77" s="49"/>
      <c r="E77" s="34"/>
    </row>
    <row r="78" spans="1:5" x14ac:dyDescent="0.25">
      <c r="A78" s="34"/>
      <c r="B78" s="34"/>
      <c r="C78" s="48"/>
      <c r="D78" s="49"/>
      <c r="E78" s="34"/>
    </row>
    <row r="79" spans="1:5" x14ac:dyDescent="0.25">
      <c r="A79" s="34"/>
      <c r="B79" s="34"/>
      <c r="C79" s="48"/>
      <c r="D79" s="49"/>
      <c r="E79" s="34"/>
    </row>
    <row r="80" spans="1:5" x14ac:dyDescent="0.25">
      <c r="A80" s="34"/>
      <c r="B80" s="34"/>
      <c r="C80" s="48"/>
      <c r="D80" s="49"/>
      <c r="E80" s="34"/>
    </row>
    <row r="81" spans="1:5" x14ac:dyDescent="0.25">
      <c r="A81" s="34"/>
      <c r="B81" s="34"/>
      <c r="C81" s="48"/>
      <c r="D81" s="49"/>
      <c r="E81" s="34"/>
    </row>
    <row r="82" spans="1:5" x14ac:dyDescent="0.25">
      <c r="A82" s="34"/>
      <c r="B82" s="34"/>
      <c r="C82" s="48"/>
      <c r="D82" s="49"/>
      <c r="E82" s="34"/>
    </row>
    <row r="83" spans="1:5" x14ac:dyDescent="0.25">
      <c r="A83" s="34"/>
      <c r="B83" s="34"/>
      <c r="C83" s="48"/>
      <c r="D83" s="49"/>
      <c r="E83" s="34"/>
    </row>
    <row r="84" spans="1:5" x14ac:dyDescent="0.25">
      <c r="A84" s="34"/>
      <c r="B84" s="34"/>
      <c r="C84" s="48"/>
      <c r="D84" s="49"/>
      <c r="E84" s="34"/>
    </row>
    <row r="85" spans="1:5" x14ac:dyDescent="0.25">
      <c r="A85" s="34"/>
      <c r="B85" s="34"/>
      <c r="C85" s="48"/>
      <c r="D85" s="49"/>
      <c r="E85" s="34"/>
    </row>
    <row r="86" spans="1:5" x14ac:dyDescent="0.25">
      <c r="A86" s="34"/>
      <c r="B86" s="34"/>
      <c r="C86" s="48"/>
      <c r="D86" s="49"/>
      <c r="E86" s="34"/>
    </row>
    <row r="87" spans="1:5" x14ac:dyDescent="0.25">
      <c r="A87" s="34"/>
      <c r="B87" s="34"/>
      <c r="C87" s="48"/>
      <c r="D87" s="49"/>
      <c r="E87" s="34"/>
    </row>
    <row r="88" spans="1:5" x14ac:dyDescent="0.25">
      <c r="A88" s="34"/>
      <c r="B88" s="34"/>
      <c r="C88" s="48"/>
      <c r="D88" s="49"/>
      <c r="E88" s="34"/>
    </row>
    <row r="89" spans="1:5" x14ac:dyDescent="0.25">
      <c r="A89" s="34"/>
      <c r="B89" s="34"/>
      <c r="C89" s="48"/>
      <c r="D89" s="49"/>
      <c r="E89" s="34"/>
    </row>
    <row r="90" spans="1:5" x14ac:dyDescent="0.25">
      <c r="A90" s="34"/>
      <c r="B90" s="34"/>
      <c r="C90" s="48"/>
      <c r="D90" s="49"/>
      <c r="E90" s="34"/>
    </row>
    <row r="91" spans="1:5" x14ac:dyDescent="0.25">
      <c r="A91" s="34"/>
      <c r="B91" s="34"/>
      <c r="C91" s="48"/>
      <c r="D91" s="49"/>
      <c r="E91" s="34"/>
    </row>
    <row r="92" spans="1:5" x14ac:dyDescent="0.25">
      <c r="A92" s="34"/>
      <c r="B92" s="34"/>
      <c r="C92" s="48"/>
      <c r="D92" s="49"/>
      <c r="E92" s="34"/>
    </row>
    <row r="93" spans="1:5" x14ac:dyDescent="0.25">
      <c r="A93" s="34"/>
      <c r="B93" s="34"/>
      <c r="C93" s="48"/>
      <c r="D93" s="49"/>
      <c r="E93" s="34"/>
    </row>
    <row r="94" spans="1:5" x14ac:dyDescent="0.25">
      <c r="A94" s="34"/>
      <c r="B94" s="34"/>
      <c r="C94" s="48"/>
      <c r="D94" s="49"/>
      <c r="E94" s="34"/>
    </row>
    <row r="95" spans="1:5" x14ac:dyDescent="0.25">
      <c r="A95" s="34"/>
      <c r="B95" s="34"/>
      <c r="C95" s="48"/>
      <c r="D95" s="49"/>
      <c r="E95" s="34"/>
    </row>
    <row r="96" spans="1:5" x14ac:dyDescent="0.25">
      <c r="A96" s="34"/>
      <c r="B96" s="34"/>
      <c r="C96" s="48"/>
      <c r="D96" s="49"/>
      <c r="E96" s="34"/>
    </row>
    <row r="97" spans="1:5" x14ac:dyDescent="0.25">
      <c r="A97" s="34"/>
      <c r="B97" s="34"/>
      <c r="C97" s="48"/>
      <c r="D97" s="49"/>
      <c r="E97" s="34"/>
    </row>
    <row r="98" spans="1:5" x14ac:dyDescent="0.25">
      <c r="A98" s="34"/>
      <c r="B98" s="34"/>
      <c r="C98" s="48"/>
      <c r="D98" s="49"/>
      <c r="E98" s="34"/>
    </row>
    <row r="99" spans="1:5" x14ac:dyDescent="0.25">
      <c r="A99" s="34"/>
      <c r="B99" s="34"/>
      <c r="C99" s="48"/>
      <c r="D99" s="49"/>
      <c r="E99" s="34"/>
    </row>
    <row r="100" spans="1:5" x14ac:dyDescent="0.25">
      <c r="A100" s="34"/>
      <c r="B100" s="34"/>
      <c r="C100" s="48"/>
      <c r="D100" s="49"/>
      <c r="E100" s="34"/>
    </row>
    <row r="101" spans="1:5" x14ac:dyDescent="0.25">
      <c r="A101" s="34"/>
      <c r="B101" s="34"/>
      <c r="C101" s="48"/>
      <c r="D101" s="49"/>
      <c r="E101" s="34"/>
    </row>
    <row r="102" spans="1:5" x14ac:dyDescent="0.25">
      <c r="A102" s="34"/>
      <c r="B102" s="34"/>
      <c r="C102" s="48"/>
      <c r="D102" s="49"/>
      <c r="E102" s="34"/>
    </row>
    <row r="103" spans="1:5" x14ac:dyDescent="0.25">
      <c r="A103" s="34"/>
      <c r="B103" s="34"/>
      <c r="C103" s="48"/>
      <c r="D103" s="49"/>
      <c r="E103" s="34"/>
    </row>
    <row r="104" spans="1:5" x14ac:dyDescent="0.25">
      <c r="A104" s="34"/>
      <c r="B104" s="34"/>
      <c r="C104" s="48"/>
      <c r="D104" s="49"/>
      <c r="E104" s="34"/>
    </row>
    <row r="105" spans="1:5" x14ac:dyDescent="0.25">
      <c r="A105" s="34"/>
      <c r="B105" s="34"/>
      <c r="C105" s="48"/>
      <c r="D105" s="49"/>
      <c r="E105" s="34"/>
    </row>
    <row r="106" spans="1:5" x14ac:dyDescent="0.25">
      <c r="A106" s="34"/>
      <c r="B106" s="34"/>
      <c r="C106" s="48"/>
      <c r="D106" s="49"/>
      <c r="E106" s="34"/>
    </row>
    <row r="107" spans="1:5" x14ac:dyDescent="0.25">
      <c r="A107" s="34"/>
      <c r="B107" s="34"/>
      <c r="C107" s="48"/>
      <c r="D107" s="49"/>
      <c r="E107" s="34"/>
    </row>
    <row r="108" spans="1:5" x14ac:dyDescent="0.25">
      <c r="A108" s="34"/>
      <c r="B108" s="34"/>
      <c r="C108" s="48"/>
      <c r="D108" s="49"/>
      <c r="E108" s="34"/>
    </row>
    <row r="109" spans="1:5" x14ac:dyDescent="0.25">
      <c r="A109" s="34"/>
      <c r="B109" s="34"/>
      <c r="C109" s="48"/>
      <c r="D109" s="49"/>
      <c r="E109" s="34"/>
    </row>
    <row r="110" spans="1:5" x14ac:dyDescent="0.25">
      <c r="A110" s="34"/>
      <c r="B110" s="34"/>
      <c r="C110" s="48"/>
      <c r="D110" s="49"/>
      <c r="E110" s="34"/>
    </row>
    <row r="111" spans="1:5" x14ac:dyDescent="0.25">
      <c r="A111" s="34"/>
      <c r="B111" s="34"/>
      <c r="C111" s="48"/>
      <c r="D111" s="49"/>
      <c r="E111" s="34"/>
    </row>
    <row r="112" spans="1:5" x14ac:dyDescent="0.25">
      <c r="A112" s="34"/>
      <c r="B112" s="34"/>
      <c r="C112" s="48"/>
      <c r="D112" s="49"/>
      <c r="E112" s="34"/>
    </row>
    <row r="113" spans="1:5" x14ac:dyDescent="0.25">
      <c r="A113" s="34"/>
      <c r="B113" s="34"/>
      <c r="C113" s="48"/>
      <c r="D113" s="49"/>
      <c r="E113" s="34"/>
    </row>
    <row r="114" spans="1:5" x14ac:dyDescent="0.25">
      <c r="A114" s="34"/>
      <c r="B114" s="34"/>
      <c r="C114" s="48"/>
      <c r="D114" s="49"/>
      <c r="E114" s="34"/>
    </row>
    <row r="115" spans="1:5" x14ac:dyDescent="0.25">
      <c r="A115" s="34"/>
      <c r="B115" s="34"/>
      <c r="C115" s="48"/>
      <c r="D115" s="49"/>
      <c r="E115" s="34"/>
    </row>
  </sheetData>
  <mergeCells count="20">
    <mergeCell ref="A3:E3"/>
    <mergeCell ref="A6:E6"/>
    <mergeCell ref="A7:E7"/>
    <mergeCell ref="A10:E10"/>
    <mergeCell ref="A27:E27"/>
    <mergeCell ref="A28:D28"/>
    <mergeCell ref="A30:E30"/>
    <mergeCell ref="A31:E31"/>
    <mergeCell ref="A33:E33"/>
    <mergeCell ref="A35:E35"/>
    <mergeCell ref="A36:E36"/>
    <mergeCell ref="A37:E37"/>
    <mergeCell ref="A38:E38"/>
    <mergeCell ref="A39:E39"/>
    <mergeCell ref="B46:D46"/>
    <mergeCell ref="A40:E40"/>
    <mergeCell ref="A41:E41"/>
    <mergeCell ref="A42:E42"/>
    <mergeCell ref="A43:E43"/>
    <mergeCell ref="A44:E4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opLeftCell="A7" zoomScaleNormal="100" zoomScalePageLayoutView="50" workbookViewId="0">
      <selection activeCell="G32" sqref="G32"/>
    </sheetView>
  </sheetViews>
  <sheetFormatPr baseColWidth="10" defaultRowHeight="15" x14ac:dyDescent="0.25"/>
  <cols>
    <col min="1" max="1" width="5.85546875" style="19" customWidth="1"/>
    <col min="2" max="2" width="52.140625" customWidth="1"/>
    <col min="3" max="3" width="14.28515625" customWidth="1"/>
    <col min="4" max="4" width="11.42578125" customWidth="1"/>
    <col min="5" max="5" width="9.85546875" bestFit="1" customWidth="1"/>
    <col min="6" max="6" width="10.85546875" customWidth="1"/>
  </cols>
  <sheetData>
    <row r="4" spans="2:6" x14ac:dyDescent="0.25">
      <c r="B4" s="24"/>
      <c r="C4" s="24"/>
      <c r="D4" s="24"/>
      <c r="E4" s="24"/>
      <c r="F4" s="24"/>
    </row>
    <row r="5" spans="2:6" x14ac:dyDescent="0.25">
      <c r="B5" s="24"/>
      <c r="C5" s="24"/>
      <c r="D5" s="24"/>
      <c r="E5" s="24"/>
      <c r="F5" s="24"/>
    </row>
    <row r="6" spans="2:6" x14ac:dyDescent="0.25">
      <c r="B6" s="24"/>
      <c r="C6" s="24"/>
      <c r="D6" s="24"/>
      <c r="E6" s="24"/>
      <c r="F6" s="24"/>
    </row>
    <row r="7" spans="2:6" x14ac:dyDescent="0.25">
      <c r="B7" s="24"/>
      <c r="C7" s="24"/>
      <c r="D7" s="24"/>
      <c r="E7" s="24"/>
      <c r="F7" s="24"/>
    </row>
    <row r="8" spans="2:6" x14ac:dyDescent="0.25">
      <c r="B8" s="24"/>
      <c r="C8" s="24"/>
      <c r="D8" s="24"/>
      <c r="E8" s="24"/>
      <c r="F8" s="24"/>
    </row>
    <row r="9" spans="2:6" x14ac:dyDescent="0.25">
      <c r="B9" s="77" t="s">
        <v>36</v>
      </c>
      <c r="C9" s="77"/>
      <c r="D9" s="77"/>
      <c r="E9" s="77"/>
      <c r="F9" s="77"/>
    </row>
    <row r="10" spans="2:6" x14ac:dyDescent="0.25">
      <c r="B10" s="1"/>
      <c r="C10" s="1"/>
      <c r="D10" s="24"/>
      <c r="E10" s="24"/>
      <c r="F10" s="24"/>
    </row>
    <row r="11" spans="2:6" x14ac:dyDescent="0.25">
      <c r="B11" s="1" t="s">
        <v>0</v>
      </c>
      <c r="C11" s="1"/>
      <c r="D11" s="24"/>
      <c r="E11" s="24"/>
      <c r="F11" s="24"/>
    </row>
    <row r="12" spans="2:6" x14ac:dyDescent="0.25">
      <c r="B12" s="1"/>
      <c r="C12" s="1"/>
      <c r="D12" s="24"/>
      <c r="E12" s="24"/>
      <c r="F12" s="24"/>
    </row>
    <row r="13" spans="2:6" x14ac:dyDescent="0.25">
      <c r="B13" s="68" t="s">
        <v>37</v>
      </c>
      <c r="C13" s="68"/>
      <c r="D13" s="68"/>
      <c r="E13" s="68"/>
      <c r="F13" s="68"/>
    </row>
    <row r="14" spans="2:6" x14ac:dyDescent="0.25">
      <c r="B14" s="69"/>
      <c r="C14" s="69"/>
      <c r="D14" s="69"/>
      <c r="E14" s="69"/>
      <c r="F14" s="69"/>
    </row>
    <row r="15" spans="2:6" x14ac:dyDescent="0.25">
      <c r="B15" s="22"/>
      <c r="C15" s="22"/>
      <c r="D15" s="22"/>
      <c r="E15" s="22"/>
      <c r="F15" s="22"/>
    </row>
    <row r="16" spans="2:6" ht="12.75" customHeight="1" x14ac:dyDescent="0.25">
      <c r="B16" s="8" t="s">
        <v>38</v>
      </c>
      <c r="C16" s="8"/>
      <c r="D16" s="25"/>
      <c r="E16" s="25"/>
      <c r="F16" s="25"/>
    </row>
    <row r="17" spans="2:6" ht="12.75" customHeight="1" x14ac:dyDescent="0.25">
      <c r="B17" s="8"/>
      <c r="C17" s="8"/>
      <c r="D17" s="25"/>
      <c r="E17" s="25"/>
      <c r="F17" s="25"/>
    </row>
    <row r="18" spans="2:6" ht="13.5" customHeight="1" x14ac:dyDescent="0.25">
      <c r="B18" s="9" t="s">
        <v>1</v>
      </c>
      <c r="C18" s="9"/>
      <c r="D18" s="25"/>
      <c r="E18" s="25"/>
      <c r="F18" s="25"/>
    </row>
    <row r="19" spans="2:6" ht="21.75" customHeight="1" x14ac:dyDescent="0.25">
      <c r="B19" s="76" t="s">
        <v>21</v>
      </c>
      <c r="C19" s="76"/>
      <c r="D19" s="76"/>
      <c r="E19" s="76"/>
      <c r="F19" s="76"/>
    </row>
    <row r="20" spans="2:6" ht="21.75" customHeight="1" x14ac:dyDescent="0.25">
      <c r="B20" s="32"/>
      <c r="C20" s="32"/>
      <c r="D20" s="32"/>
      <c r="E20" s="32"/>
      <c r="F20" s="32"/>
    </row>
    <row r="21" spans="2:6" x14ac:dyDescent="0.25">
      <c r="B21" s="8" t="s">
        <v>18</v>
      </c>
      <c r="C21" s="8"/>
      <c r="D21" s="22" t="s">
        <v>16</v>
      </c>
      <c r="E21" s="22" t="s">
        <v>25</v>
      </c>
      <c r="F21" s="21" t="s">
        <v>17</v>
      </c>
    </row>
    <row r="22" spans="2:6" x14ac:dyDescent="0.25">
      <c r="B22" s="8"/>
      <c r="C22" s="8"/>
      <c r="D22" s="22"/>
      <c r="E22" s="22"/>
      <c r="F22" s="21"/>
    </row>
    <row r="23" spans="2:6" x14ac:dyDescent="0.25">
      <c r="B23" s="8"/>
      <c r="C23" s="8"/>
      <c r="D23" s="21"/>
      <c r="E23" s="21"/>
      <c r="F23" s="21"/>
    </row>
    <row r="24" spans="2:6" ht="30" customHeight="1" x14ac:dyDescent="0.25">
      <c r="B24" s="7" t="s">
        <v>39</v>
      </c>
      <c r="C24" s="27" t="s">
        <v>23</v>
      </c>
      <c r="D24" s="29">
        <v>20</v>
      </c>
      <c r="E24" s="26">
        <v>2300.3000000000002</v>
      </c>
      <c r="F24" s="14">
        <f>D24*E24</f>
        <v>46006</v>
      </c>
    </row>
    <row r="25" spans="2:6" ht="16.5" customHeight="1" x14ac:dyDescent="0.25">
      <c r="B25" s="7"/>
      <c r="C25" s="27"/>
      <c r="D25" s="29"/>
      <c r="E25" s="26" t="s">
        <v>44</v>
      </c>
      <c r="F25" s="14">
        <f>F24*16%</f>
        <v>7360.96</v>
      </c>
    </row>
    <row r="26" spans="2:6" ht="16.5" customHeight="1" x14ac:dyDescent="0.25">
      <c r="B26" s="7"/>
      <c r="C26" s="27"/>
      <c r="D26" s="29"/>
      <c r="E26" s="26" t="s">
        <v>45</v>
      </c>
      <c r="F26" s="14">
        <f>F24+F25</f>
        <v>53366.96</v>
      </c>
    </row>
    <row r="27" spans="2:6" ht="24" x14ac:dyDescent="0.25">
      <c r="B27" s="7" t="s">
        <v>40</v>
      </c>
      <c r="C27" s="27" t="s">
        <v>23</v>
      </c>
      <c r="D27" s="29">
        <v>20</v>
      </c>
      <c r="E27" s="26">
        <v>1418.25</v>
      </c>
      <c r="F27" s="14">
        <f>D27*E27</f>
        <v>28365</v>
      </c>
    </row>
    <row r="28" spans="2:6" x14ac:dyDescent="0.25">
      <c r="B28" s="7"/>
      <c r="C28" s="27"/>
      <c r="D28" s="29"/>
      <c r="E28" s="26" t="s">
        <v>44</v>
      </c>
      <c r="F28" s="14">
        <f>F27*16%</f>
        <v>4538.4000000000005</v>
      </c>
    </row>
    <row r="29" spans="2:6" x14ac:dyDescent="0.25">
      <c r="B29" s="7"/>
      <c r="C29" s="27"/>
      <c r="D29" s="29"/>
      <c r="E29" s="26" t="s">
        <v>45</v>
      </c>
      <c r="F29" s="14">
        <f>F27+F28</f>
        <v>32903.4</v>
      </c>
    </row>
    <row r="30" spans="2:6" x14ac:dyDescent="0.25">
      <c r="B30" s="7"/>
      <c r="C30" s="27"/>
      <c r="D30" s="29"/>
      <c r="E30" s="26"/>
      <c r="F30" s="14"/>
    </row>
    <row r="31" spans="2:6" ht="24" x14ac:dyDescent="0.25">
      <c r="B31" s="7" t="s">
        <v>43</v>
      </c>
      <c r="C31" s="27" t="s">
        <v>23</v>
      </c>
      <c r="D31" s="29">
        <v>20</v>
      </c>
      <c r="E31" s="26">
        <v>750.46</v>
      </c>
      <c r="F31" s="14">
        <f>D31*E31</f>
        <v>15009.2</v>
      </c>
    </row>
    <row r="32" spans="2:6" x14ac:dyDescent="0.25">
      <c r="B32" s="11" t="s">
        <v>35</v>
      </c>
      <c r="C32" s="11"/>
      <c r="D32" s="12"/>
      <c r="E32" s="26" t="s">
        <v>44</v>
      </c>
      <c r="F32" s="14">
        <f>F31*16%</f>
        <v>2401.4720000000002</v>
      </c>
    </row>
    <row r="33" spans="2:8" x14ac:dyDescent="0.25">
      <c r="B33" s="3"/>
      <c r="C33" s="3"/>
      <c r="D33" s="12"/>
      <c r="E33" s="13" t="s">
        <v>45</v>
      </c>
      <c r="F33" s="14">
        <f>F31+F32</f>
        <v>17410.672000000002</v>
      </c>
    </row>
    <row r="34" spans="2:8" x14ac:dyDescent="0.25">
      <c r="B34" s="3"/>
      <c r="C34" s="3"/>
      <c r="D34" s="25"/>
      <c r="E34" s="3"/>
      <c r="F34" s="15"/>
    </row>
    <row r="35" spans="2:8" x14ac:dyDescent="0.25">
      <c r="B35" s="3"/>
      <c r="C35" s="3"/>
      <c r="D35" s="3"/>
      <c r="E35" s="3"/>
      <c r="F35" s="15"/>
    </row>
    <row r="36" spans="2:8" x14ac:dyDescent="0.25">
      <c r="B36" s="3"/>
      <c r="C36" s="3"/>
      <c r="D36" s="20"/>
      <c r="E36" s="3"/>
      <c r="F36" s="15"/>
    </row>
    <row r="37" spans="2:8" x14ac:dyDescent="0.25">
      <c r="B37" s="3"/>
      <c r="C37" s="3"/>
      <c r="D37" s="20"/>
      <c r="E37" s="3"/>
      <c r="F37" s="15"/>
    </row>
    <row r="38" spans="2:8" x14ac:dyDescent="0.25">
      <c r="B38" s="1" t="s">
        <v>22</v>
      </c>
      <c r="C38" s="1"/>
      <c r="D38" s="24"/>
      <c r="E38" s="24"/>
      <c r="F38" s="24"/>
    </row>
    <row r="39" spans="2:8" ht="39" customHeight="1" x14ac:dyDescent="0.25">
      <c r="B39" s="76" t="s">
        <v>26</v>
      </c>
      <c r="C39" s="76"/>
      <c r="D39" s="76"/>
      <c r="E39" s="76"/>
      <c r="F39" s="76"/>
    </row>
    <row r="40" spans="2:8" ht="17.25" customHeight="1" x14ac:dyDescent="0.25">
      <c r="B40" s="76" t="s">
        <v>27</v>
      </c>
      <c r="C40" s="76"/>
      <c r="D40" s="76"/>
      <c r="E40" s="76"/>
      <c r="F40" s="76"/>
    </row>
    <row r="41" spans="2:8" ht="15" customHeight="1" x14ac:dyDescent="0.25">
      <c r="B41" s="76" t="s">
        <v>28</v>
      </c>
      <c r="C41" s="76"/>
      <c r="D41" s="76"/>
      <c r="E41" s="76"/>
      <c r="F41" s="76"/>
    </row>
    <row r="42" spans="2:8" ht="18" customHeight="1" x14ac:dyDescent="0.25">
      <c r="B42" s="76" t="s">
        <v>29</v>
      </c>
      <c r="C42" s="76"/>
      <c r="D42" s="76"/>
      <c r="E42" s="76"/>
      <c r="F42" s="76"/>
    </row>
    <row r="43" spans="2:8" ht="96.75" customHeight="1" x14ac:dyDescent="0.25">
      <c r="B43" s="76" t="s">
        <v>30</v>
      </c>
      <c r="C43" s="76"/>
      <c r="D43" s="76"/>
      <c r="E43" s="76"/>
      <c r="F43" s="76"/>
    </row>
    <row r="44" spans="2:8" ht="20.25" customHeight="1" x14ac:dyDescent="0.25">
      <c r="B44" s="32"/>
      <c r="C44" s="32"/>
      <c r="D44" s="32"/>
      <c r="E44" s="32"/>
      <c r="F44" s="32"/>
    </row>
    <row r="45" spans="2:8" ht="20.25" customHeight="1" x14ac:dyDescent="0.25">
      <c r="B45" s="32"/>
      <c r="C45" s="32"/>
      <c r="D45" s="32"/>
      <c r="E45" s="32"/>
      <c r="F45" s="32"/>
    </row>
    <row r="46" spans="2:8" ht="20.25" customHeight="1" x14ac:dyDescent="0.25">
      <c r="B46" s="32"/>
      <c r="C46" s="32"/>
      <c r="D46" s="32"/>
      <c r="E46" s="32"/>
      <c r="F46" s="32"/>
    </row>
    <row r="47" spans="2:8" ht="20.25" customHeight="1" x14ac:dyDescent="0.25">
      <c r="B47" s="32"/>
      <c r="C47" s="32"/>
      <c r="D47" s="32"/>
      <c r="E47" s="32"/>
      <c r="F47" s="32"/>
    </row>
    <row r="48" spans="2:8" x14ac:dyDescent="0.25">
      <c r="B48" s="24"/>
      <c r="C48" s="24"/>
      <c r="D48" s="24"/>
      <c r="E48" s="24"/>
      <c r="F48" s="24"/>
      <c r="H48" s="18"/>
    </row>
    <row r="49" spans="2:15" x14ac:dyDescent="0.25">
      <c r="B49" s="6" t="s">
        <v>31</v>
      </c>
      <c r="C49" s="6"/>
      <c r="D49" s="74" t="s">
        <v>32</v>
      </c>
      <c r="E49" s="74"/>
      <c r="F49" s="74"/>
    </row>
    <row r="50" spans="2:15" x14ac:dyDescent="0.25">
      <c r="B50" s="9"/>
      <c r="C50" s="9"/>
      <c r="D50" s="25"/>
      <c r="E50" s="25"/>
      <c r="F50" s="25"/>
    </row>
    <row r="51" spans="2:15" x14ac:dyDescent="0.25">
      <c r="B51" s="9"/>
      <c r="C51" s="9"/>
      <c r="D51" s="25"/>
      <c r="E51" s="25"/>
      <c r="F51" s="25"/>
    </row>
    <row r="52" spans="2:15" x14ac:dyDescent="0.25">
      <c r="B52" s="16" t="s">
        <v>33</v>
      </c>
      <c r="C52" s="16"/>
      <c r="D52" s="25"/>
      <c r="E52" s="25"/>
      <c r="F52" s="25"/>
    </row>
    <row r="53" spans="2:15" x14ac:dyDescent="0.25">
      <c r="B53" s="28" t="s">
        <v>41</v>
      </c>
      <c r="C53" s="28"/>
      <c r="D53" s="75" t="s">
        <v>42</v>
      </c>
      <c r="E53" s="75"/>
      <c r="F53" s="75"/>
    </row>
    <row r="54" spans="2:15" x14ac:dyDescent="0.25">
      <c r="B54" s="17"/>
      <c r="C54" s="17"/>
      <c r="D54" s="25"/>
      <c r="E54" s="25"/>
      <c r="F54" s="25"/>
    </row>
    <row r="55" spans="2:15" x14ac:dyDescent="0.25">
      <c r="B55" s="17"/>
      <c r="C55" s="17"/>
      <c r="D55" s="25"/>
      <c r="E55" s="25"/>
      <c r="F55" s="25"/>
    </row>
    <row r="56" spans="2:15" x14ac:dyDescent="0.25">
      <c r="B56" s="17"/>
      <c r="C56" s="17"/>
      <c r="D56" s="25"/>
      <c r="E56" s="25"/>
      <c r="F56" s="25"/>
    </row>
    <row r="57" spans="2:15" x14ac:dyDescent="0.25">
      <c r="B57" s="17"/>
      <c r="C57" s="17"/>
      <c r="D57" s="25"/>
      <c r="E57" s="25"/>
      <c r="F57" s="25"/>
    </row>
    <row r="58" spans="2:15" x14ac:dyDescent="0.25">
      <c r="B58" s="17"/>
      <c r="C58" s="17"/>
      <c r="D58" s="25"/>
      <c r="E58" s="25"/>
      <c r="F58" s="25"/>
    </row>
    <row r="59" spans="2:15" x14ac:dyDescent="0.25">
      <c r="B59" s="72" t="s">
        <v>24</v>
      </c>
      <c r="C59" s="72"/>
      <c r="D59" s="73"/>
      <c r="E59" s="73"/>
      <c r="F59" s="73"/>
      <c r="G59" s="23"/>
      <c r="H59" s="23"/>
      <c r="I59" s="23"/>
      <c r="J59" s="23"/>
      <c r="K59" s="23"/>
      <c r="L59" s="23"/>
      <c r="M59" s="23"/>
      <c r="N59" s="23"/>
      <c r="O59" s="23"/>
    </row>
    <row r="60" spans="2:15" x14ac:dyDescent="0.25">
      <c r="B60" s="73"/>
      <c r="C60" s="73"/>
      <c r="D60" s="73"/>
      <c r="E60" s="73"/>
      <c r="F60" s="73"/>
      <c r="G60" s="23"/>
      <c r="H60" s="23"/>
      <c r="I60" s="23"/>
      <c r="J60" s="23"/>
      <c r="K60" s="23"/>
      <c r="L60" s="23"/>
      <c r="M60" s="23"/>
      <c r="N60" s="23"/>
      <c r="O60" s="23"/>
    </row>
    <row r="61" spans="2:15" x14ac:dyDescent="0.25">
      <c r="B61" s="73"/>
      <c r="C61" s="73"/>
      <c r="D61" s="73"/>
      <c r="E61" s="73"/>
      <c r="F61" s="73"/>
      <c r="G61" s="23"/>
      <c r="H61" s="23"/>
      <c r="I61" s="23"/>
      <c r="J61" s="23"/>
      <c r="K61" s="23"/>
      <c r="L61" s="23"/>
      <c r="M61" s="23"/>
      <c r="N61" s="23"/>
      <c r="O61" s="23"/>
    </row>
    <row r="62" spans="2:15" x14ac:dyDescent="0.25">
      <c r="B62" s="73"/>
      <c r="C62" s="73"/>
      <c r="D62" s="73"/>
      <c r="E62" s="73"/>
      <c r="F62" s="73"/>
      <c r="G62" s="23"/>
      <c r="H62" s="23"/>
      <c r="I62" s="23"/>
      <c r="J62" s="23"/>
      <c r="K62" s="23"/>
      <c r="L62" s="23"/>
      <c r="M62" s="23"/>
      <c r="N62" s="23"/>
      <c r="O62" s="23"/>
    </row>
    <row r="63" spans="2:15" x14ac:dyDescent="0.25">
      <c r="B63" s="23"/>
      <c r="C63" s="23"/>
      <c r="D63" s="23"/>
      <c r="E63" s="23"/>
      <c r="F63" s="23"/>
      <c r="G63" s="23"/>
      <c r="H63" s="23"/>
      <c r="I63" s="23"/>
      <c r="J63" s="23"/>
      <c r="K63" s="23"/>
      <c r="L63" s="23"/>
      <c r="M63" s="23"/>
      <c r="N63" s="23"/>
      <c r="O63" s="23"/>
    </row>
    <row r="64" spans="2:15" x14ac:dyDescent="0.25">
      <c r="B64" s="23"/>
      <c r="C64" s="23"/>
      <c r="D64" s="23"/>
      <c r="E64" s="23"/>
      <c r="F64" s="23"/>
      <c r="G64" s="23"/>
      <c r="H64" s="23"/>
      <c r="I64" s="23"/>
      <c r="J64" s="23"/>
      <c r="K64" s="23"/>
      <c r="L64" s="23"/>
      <c r="M64" s="23"/>
      <c r="N64" s="23"/>
      <c r="O64" s="23"/>
    </row>
    <row r="65" spans="2:15" x14ac:dyDescent="0.25">
      <c r="B65" s="23"/>
      <c r="C65" s="23"/>
      <c r="D65" s="23"/>
      <c r="E65" s="23"/>
      <c r="F65" s="23"/>
      <c r="G65" s="23"/>
      <c r="H65" s="23"/>
      <c r="I65" s="23"/>
      <c r="J65" s="23"/>
      <c r="K65" s="23"/>
      <c r="L65" s="23"/>
      <c r="M65" s="23"/>
      <c r="N65" s="23"/>
      <c r="O65" s="23"/>
    </row>
    <row r="66" spans="2:15" x14ac:dyDescent="0.25">
      <c r="B66" s="23"/>
      <c r="C66" s="23"/>
      <c r="D66" s="23"/>
      <c r="E66" s="23"/>
      <c r="F66" s="23"/>
      <c r="G66" s="23"/>
      <c r="H66" s="23"/>
      <c r="I66" s="23"/>
      <c r="J66" s="23"/>
      <c r="K66" s="23"/>
      <c r="L66" s="23"/>
      <c r="M66" s="23"/>
      <c r="N66" s="23"/>
      <c r="O66" s="23"/>
    </row>
  </sheetData>
  <mergeCells count="12">
    <mergeCell ref="B9:F9"/>
    <mergeCell ref="B13:F13"/>
    <mergeCell ref="B14:F14"/>
    <mergeCell ref="B19:F19"/>
    <mergeCell ref="B43:F43"/>
    <mergeCell ref="B59:F62"/>
    <mergeCell ref="D49:F49"/>
    <mergeCell ref="D53:F53"/>
    <mergeCell ref="B39:F39"/>
    <mergeCell ref="B40:F40"/>
    <mergeCell ref="B41:F41"/>
    <mergeCell ref="B42:F42"/>
  </mergeCells>
  <pageMargins left="0.7" right="0.7" top="0.75" bottom="0.75" header="0.3" footer="0.3"/>
  <pageSetup paperSize="9" scale="6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2026-01-22T16:59:33Z</cp:lastPrinted>
  <dcterms:created xsi:type="dcterms:W3CDTF">2020-12-14T19:54:01Z</dcterms:created>
  <dcterms:modified xsi:type="dcterms:W3CDTF">2026-01-22T17:00:26Z</dcterms:modified>
</cp:coreProperties>
</file>