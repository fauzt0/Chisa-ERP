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B7C1BE27-54B2-442F-BDE5-889EB1C7B728}"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1" l="1"/>
  <c r="F26" i="1"/>
  <c r="F33" i="1" l="1"/>
  <c r="F34" i="1" s="1"/>
  <c r="F35" i="1" s="1"/>
  <c r="F36" i="1" l="1"/>
  <c r="F37" i="1" s="1"/>
  <c r="F20" i="3"/>
  <c r="F19" i="3" l="1"/>
  <c r="F18" i="3"/>
  <c r="F17" i="3" l="1"/>
  <c r="F16" i="3"/>
  <c r="F22" i="3" s="1"/>
  <c r="F23" i="3" l="1"/>
  <c r="F24" i="3" s="1"/>
</calcChain>
</file>

<file path=xl/sharedStrings.xml><?xml version="1.0" encoding="utf-8"?>
<sst xmlns="http://schemas.openxmlformats.org/spreadsheetml/2006/main" count="78" uniqueCount="67">
  <si>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</si>
  <si>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</si>
  <si>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</si>
  <si>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</si>
  <si>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</si>
  <si>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</si>
  <si>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</si>
  <si>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</si>
  <si>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</si>
  <si>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</si>
  <si>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</si>
  <si>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</si>
  <si>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</si>
  <si>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</si>
  <si>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</si>
  <si>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</si>
  <si>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</si>
  <si>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</si>
  <si>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</si>
  <si>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</si>
  <si>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</si>
  <si>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</si>
  <si>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</si>
  <si>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</si>
  <si>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</si>
  <si>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</si>
  <si>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</si>
  <si>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</si>
  <si>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</si>
  <si>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</si>
  <si>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</si>
  <si>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</si>
  <si>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</si>
  <si>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</si>
  <si>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</si>
  <si>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</si>
  <si>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</si>
  <si>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HOSPITAL GENERAL DE QUERETARO</t>
  </si>
  <si>
    <t>CUBETA</t>
  </si>
  <si>
    <t>AT´N: ARQ. ENRIQUE CHAVEZ</t>
  </si>
  <si>
    <t>3.-CHISA GLASS REF  S.M.A. (REND. 60M2)</t>
  </si>
  <si>
    <t>2.-PRAIMER GLASS REF S.M.A. (REND. 90M2)</t>
  </si>
  <si>
    <t>CUBETAS</t>
  </si>
  <si>
    <t>4.-VITROGLASS ECOLOGICO. (REND. 180M2)</t>
  </si>
  <si>
    <t>5.-MARMO GOT (REN 25M2)</t>
  </si>
  <si>
    <t>1.-SELLADOR INICIAL (REND. 20M2)</t>
  </si>
  <si>
    <t xml:space="preserve">                     ARQ. ENRIQUE CHAVEZ</t>
  </si>
  <si>
    <t>CIUDAD DE MEXICO A 10 DE ABRIL DEL 2023</t>
  </si>
  <si>
    <t>PRES. REF. 14877-S/2023</t>
  </si>
  <si>
    <t>CIUDAD DE MEXICO A 30 DE JULIO DEL 2026</t>
  </si>
  <si>
    <t>CONSTRUCTORA: GP. CONSTRUCCION</t>
  </si>
  <si>
    <t>AT´N: ING. FLOR PEREZ NIETO</t>
  </si>
  <si>
    <t>OBRA: HOSPITAL INFANTIL, GUADLUPE NVO LEON</t>
  </si>
  <si>
    <t xml:space="preserve">PRESENTAMOS  A  SU AMABLE  CONSIDERACIÓN EL PRESUPUESTO DE SUMINISTRO Y APLICACIÓN  DE  LOS SIGUIENTES CONCEPTOS.                                                   </t>
  </si>
  <si>
    <r>
      <t>1.-SUMINISTRO Y APLICACIÓN DE SISTEMA CONSTRUCTIVO PARA PANEL EPS , INCLUYE :</t>
    </r>
    <r>
      <rPr>
        <sz val="9"/>
        <color theme="1"/>
        <rFont val="Times New Roman"/>
        <family val="1"/>
      </rPr>
      <t xml:space="preserve">  APLICACIÓN DE MALLA DE REFUERZO APLICADA CON RESINA RP ACRONAL 2383 A  MANO CON RODILLO DE FELPA Y BROCHA,  APLICACIÓN DE MORTERO PLASTICO MALLA 350-400  A MANO CON LLANA METALICA ,   PROTECCIÓN DE SUPERFICIES ADYACENTES  CON PAPEL Y MASKING TAPE, LIMPIEZA Y  RETIRO DE SOBRANTES PROPIOS HASTA EL LUGAR INDICADO DENTRO DE  OBRA, FLETE, Y MANO DE OBRA ESPECIALIZADA, TODO LO ANTERIOR CONSIDERADO HASTA UNA ALTURA DE  20  MTS.   Y  DEMÁS DERIVADOS DEL USO DE HERRAMIENTA.  INCLUYE ANDAMIAJE.</t>
    </r>
  </si>
  <si>
    <r>
      <rPr>
        <b/>
        <u/>
        <sz val="9"/>
        <color theme="1"/>
        <rFont val="Times New Roman"/>
        <family val="1"/>
      </rPr>
      <t>2.-SUMINISTRO Y APLICACIÓN DE RECUBRIMIENTO CHISA PLAST TIPO CANTERA REF.- S.M.A. EN MUROS CON SUPERFICIE LISA Y/O APLANADO FINO, INCLUYE</t>
    </r>
    <r>
      <rPr>
        <sz val="9"/>
        <color theme="1"/>
        <rFont val="Times New Roman"/>
        <family val="1"/>
      </rPr>
      <t xml:space="preserve">: APLICACIÓN DE SELLADOR ACRÍLICO 4648 A MANO CON RODILLO DE FELPA Y BROCHA, APLICACIÓN DE REDIPLAST CON LLANA METÁLICA, APLICACIÓN DE CHISA PLAST  TIPO CANTERA REF.- S.M.A., CON LLANA METÁLICA  Y ESPONJA. PROTECCION DE SUPERFICIES ADYACENTES CON PAPEL Y MASKING TAPE, LIMPIEZA Y  RETIRO DE SOBRANTES PROPIOS HASTA EL LUGAR INDICADO DENTRO DE  OBRA, FLETE, Y MANO DE OBRA ESPECIALIZADA, TODO LO ANTERIOR CONSIDERADO HASTA UNA ALTURA DE  20  MTS.  Y  DEMÁS DERIVADOS DEL USO DE HERRAMIENTA, INCLUYE ANDAMIAJE. </t>
    </r>
  </si>
  <si>
    <t>SUBTOTAL</t>
  </si>
  <si>
    <t>DESC 8%</t>
  </si>
  <si>
    <t>SUB TOTAL</t>
  </si>
  <si>
    <t>IVA</t>
  </si>
  <si>
    <t>TOTAL</t>
  </si>
  <si>
    <t>PRES. REF. 16635-C/2026CG</t>
  </si>
  <si>
    <r>
      <t xml:space="preserve">FORMA DE PAGO Y CONSIDERACIONES GENERALES CORRESPONDIENTES AL PRESUPUESTO </t>
    </r>
    <r>
      <rPr>
        <b/>
        <sz val="9"/>
        <color theme="1"/>
        <rFont val="Times New Roman"/>
        <family val="1"/>
      </rPr>
      <t>REF. 16635-C/2026.</t>
    </r>
  </si>
  <si>
    <r>
      <t>EN CASO DE SER ACEPTADO EL PRESENTE PRESUPUESTO REQUERIMOS DEL 5</t>
    </r>
    <r>
      <rPr>
        <b/>
        <sz val="9"/>
        <color theme="1"/>
        <rFont val="Times New Roman"/>
        <family val="1"/>
      </rPr>
      <t>0% DEL PAGO</t>
    </r>
    <r>
      <rPr>
        <sz val="9"/>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</si>
  <si>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ATENTAMENTE</t>
  </si>
  <si>
    <t>_______________________________________</t>
  </si>
  <si>
    <t>CHISA RECUBRIMIENTOS,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</si>
</sst>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9"/>
      <color theme="1"/>
      <name val="Calibri"/>
      <family val="2"/>
      <scheme val="minor"/>
    </font>
    <font>
      <sz val="10"/>
      <name val="Arial"/>
      <family val="2"/>
    </font>
    <font>
      <sz val="9"/>
      <name val="Times New Roman"/>
      <family val="1"/>
    </font>
    <font>
      <sz val="8"/>
      <color theme="1"/>
      <name val="Times New Roman"/>
      <family val="1"/>
    </font>
    <font>
      <sz val="8"/>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44" fontId="5" fillId="0" borderId="0" applyFont="0" applyFill="0" applyBorder="0" applyAlignment="0" applyProtection="0"/>
    <xf numFmtId="0" fontId="10" fillId="0" borderId="0"/>
    <xf numFmtId="44" fontId="5" fillId="0" borderId="0" applyFont="0" applyFill="0" applyBorder="0" applyAlignment="0" applyProtection="0"/>
  </cellStyleXfs>
  <cellXfs count="60">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12" fontId="1" fillId="0" borderId="0" xfId="0" applyNumberFormat="1" applyFont="1" applyAlignment="1">
      <alignment horizontal="center" vertical="center" wrapText="1"/>
    </xf>
    <xf numFmtId="4" fontId="1" fillId="0" borderId="0" xfId="0" applyNumberFormat="1" applyFont="1" applyAlignment="1">
      <alignment horizontal="center" wrapText="1"/>
    </xf>
    <xf numFmtId="0" fontId="9" fillId="0" borderId="0" xfId="0" applyFont="1"/>
    <xf numFmtId="0" fontId="2" fillId="0" borderId="0" xfId="0" applyFont="1" applyAlignment="1">
      <alignment horizontal="center" vertical="center"/>
    </xf>
    <xf numFmtId="0" fontId="4" fillId="0" borderId="0" xfId="0" applyFont="1" applyAlignment="1">
      <alignment horizontal="justify" vertical="center"/>
    </xf>
    <xf numFmtId="0" fontId="1" fillId="0" borderId="0" xfId="0" applyFont="1" applyAlignment="1">
      <alignment horizontal="center"/>
    </xf>
    <xf numFmtId="0" fontId="1" fillId="0" borderId="0" xfId="0" applyFont="1" applyAlignment="1">
      <alignment horizontal="justify" vertical="justify" wrapText="1"/>
    </xf>
    <xf numFmtId="0" fontId="1" fillId="0" borderId="0" xfId="0" applyFont="1" applyAlignment="1">
      <alignment horizontal="justify" vertical="center" wrapText="1"/>
    </xf>
    <xf numFmtId="0" fontId="2" fillId="0" borderId="0" xfId="0" applyFont="1" applyAlignment="1">
      <alignment horizontal="center" vertical="center"/>
    </xf>
    <xf numFmtId="0" fontId="1" fillId="0" borderId="0" xfId="0" applyFont="1" applyAlignment="1">
      <alignment horizontal="justify" vertical="top" wrapText="1"/>
    </xf>
    <xf numFmtId="0" fontId="2"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wrapText="1"/>
    </xf>
    <xf numFmtId="0" fontId="0" fillId="0" borderId="0" xfId="0" applyAlignment="1">
      <alignment vertical="center" wrapText="1"/>
    </xf>
    <xf numFmtId="0" fontId="10" fillId="0" borderId="0" xfId="2" applyAlignment="1">
      <alignment vertical="center" wrapText="1"/>
    </xf>
    <xf numFmtId="0" fontId="11" fillId="0" borderId="0" xfId="2" applyFont="1" applyAlignment="1">
      <alignment vertical="center" wrapText="1"/>
    </xf>
    <xf numFmtId="0" fontId="12" fillId="0" borderId="0" xfId="0" applyFont="1" applyAlignment="1">
      <alignment horizontal="justify" vertical="center"/>
    </xf>
    <xf numFmtId="0" fontId="13" fillId="0" borderId="0" xfId="0" applyFont="1" applyAlignment="1">
      <alignment horizontal="justify"/>
    </xf>
    <xf numFmtId="0" fontId="13" fillId="0" borderId="0" xfId="0" applyFont="1"/>
    <xf numFmtId="0" fontId="12" fillId="0" borderId="0" xfId="0" applyFont="1" applyAlignment="1">
      <alignment horizontal="center" vertical="top" wrapText="1"/>
    </xf>
    <xf numFmtId="44" fontId="1" fillId="0" borderId="0" xfId="3" applyFont="1" applyAlignment="1">
      <alignment horizontal="center" wrapText="1"/>
    </xf>
    <xf numFmtId="0" fontId="1" fillId="0" borderId="0" xfId="0" applyFont="1" applyAlignment="1">
      <alignment horizontal="left" vertical="center" wrapText="1"/>
    </xf>
    <xf numFmtId="44" fontId="11" fillId="0" borderId="0" xfId="2" applyNumberFormat="1" applyFont="1" applyAlignment="1">
      <alignment horizontal="right" vertical="center" wrapText="1"/>
    </xf>
    <xf numFmtId="0" fontId="4" fillId="0" borderId="0" xfId="0" applyFont="1" applyAlignment="1">
      <alignment horizontal="justify" vertical="justify"/>
    </xf>
    <xf numFmtId="0" fontId="0" fillId="0" borderId="0" xfId="0" applyAlignment="1">
      <alignment horizontal="center"/>
    </xf>
    <xf numFmtId="0" fontId="0" fillId="0" borderId="0" xfId="0" applyAlignment="1"/>
    <xf numFmtId="0" fontId="1" fillId="0" borderId="0" xfId="0" applyFont="1" applyAlignment="1">
      <alignment horizontal="center" vertical="center"/>
    </xf>
    <xf numFmtId="0" fontId="1" fillId="0" borderId="0" xfId="0" applyFont="1" applyAlignment="1">
      <alignment horizontal="center" vertical="top"/>
    </xf>
  </cellXfs>
  <cellStyles count="4">
    <cellStyle name="Moneda" xfId="1" builtinId="4"/>
    <cellStyle name="Moneda 2 2 2 2" xfId="3" xr:uid="{B676011F-E116-4D5D-B813-3804449F6AC9}"/>
    <cellStyle name="Normal" xfId="0" builtinId="0"/>
    <cellStyle name="Normal 2" xfId="2" xr:uid="{B6116956-06E0-4808-BAF6-99D7B9549E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885826</xdr:colOff>
      <xdr:row>0</xdr:row>
      <xdr:rowOff>161925</xdr:rowOff>
    </xdr:from>
    <xdr:to>
      <xdr:col>6</xdr:col>
      <xdr:colOff>390525</xdr:colOff>
      <xdr:row>7</xdr:row>
      <xdr:rowOff>123825</xdr:rowOff>
    </xdr:to>
    <xdr:pic>
      <xdr:nvPicPr>
        <xdr:cNvPr id="3" name="Imagen 2">
          <a:extLst>
            <a:ext uri="{FF2B5EF4-FFF2-40B4-BE49-F238E27FC236}">
              <a16:creationId xmlns:a16="http://schemas.microsoft.com/office/drawing/2014/main" id="{419560FA-B23E-DD04-BB1B-B0C541BF58A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12" r="14075"/>
        <a:stretch>
          <a:fillRect/>
        </a:stretch>
      </xdr:blipFill>
      <xdr:spPr>
        <a:xfrm>
          <a:off x="5591176" y="161925"/>
          <a:ext cx="2381249" cy="1295400"/>
        </a:xfrm>
        <a:prstGeom prst="rect">
          <a:avLst/>
        </a:prstGeom>
      </xdr:spPr>
    </xdr:pic>
    <xdr:clientData/>
  </xdr:twoCellAnchor>
  <xdr:twoCellAnchor editAs="oneCell">
    <xdr:from>
      <xdr:col>4</xdr:col>
      <xdr:colOff>142876</xdr:colOff>
      <xdr:row>37</xdr:row>
      <xdr:rowOff>44751</xdr:rowOff>
    </xdr:from>
    <xdr:to>
      <xdr:col>6</xdr:col>
      <xdr:colOff>333376</xdr:colOff>
      <xdr:row>42</xdr:row>
      <xdr:rowOff>152400</xdr:rowOff>
    </xdr:to>
    <xdr:pic>
      <xdr:nvPicPr>
        <xdr:cNvPr id="5" name="Imagen 4">
          <a:extLst>
            <a:ext uri="{FF2B5EF4-FFF2-40B4-BE49-F238E27FC236}">
              <a16:creationId xmlns:a16="http://schemas.microsoft.com/office/drawing/2014/main" id="{71C04DDF-6366-41D0-8D66-FB41B78BD7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2" r="15790"/>
        <a:stretch>
          <a:fillRect/>
        </a:stretch>
      </xdr:blipFill>
      <xdr:spPr>
        <a:xfrm>
          <a:off x="5876926" y="11160426"/>
          <a:ext cx="2171700" cy="10601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75"/>
  <sheetViews>
    <sheetView tabSelected="1" topLeftCell="A37" zoomScaleNormal="100" workbookViewId="0">
      <selection activeCell="B49" sqref="B49:F49"/>
    </sheetView>
  </sheetViews>
  <sheetFormatPr baseColWidth="10" defaultRowHeight="15" x14ac:dyDescent="0.25"/>
  <cols>
    <col min="1" max="1" width="4.140625" customWidth="1"/>
    <col min="2" max="2" width="55" customWidth="1"/>
    <col min="3" max="4" width="13.42578125" customWidth="1"/>
    <col min="5" max="6" width="14.85546875" customWidth="1"/>
    <col min="7" max="7" width="7.28515625" customWidth="1"/>
    <col min="8" max="8" width="12.28515625" bestFit="1" customWidth="1"/>
  </cols>
  <sheetData>
    <row r="1" spans="2:9" x14ac:dyDescent="0.25">
      <c r="B1" s="27"/>
      <c r="C1" s="27"/>
      <c r="D1" s="27"/>
      <c r="E1" s="27"/>
      <c r="F1" s="27"/>
    </row>
    <row r="2" spans="2:9" x14ac:dyDescent="0.25">
      <c r="B2" s="37"/>
      <c r="C2" s="37"/>
      <c r="D2" s="37"/>
      <c r="E2" s="37"/>
      <c r="F2" s="37"/>
      <c r="G2" s="5"/>
    </row>
    <row r="3" spans="2:9" x14ac:dyDescent="0.25">
      <c r="B3" s="1"/>
      <c r="C3" s="1"/>
      <c r="D3" s="27"/>
      <c r="E3" s="27"/>
      <c r="F3" s="27"/>
    </row>
    <row r="4" spans="2:9" x14ac:dyDescent="0.25">
      <c r="B4" s="1"/>
      <c r="C4" s="1"/>
      <c r="D4" s="27"/>
      <c r="E4" s="27"/>
      <c r="F4" s="27"/>
    </row>
    <row r="5" spans="2:9" x14ac:dyDescent="0.25">
      <c r="B5" s="1"/>
      <c r="C5" s="1"/>
      <c r="D5" s="27"/>
      <c r="E5" s="27"/>
      <c r="F5" s="27"/>
    </row>
    <row r="6" spans="2:9" x14ac:dyDescent="0.25">
      <c r="B6" s="1"/>
      <c r="C6" s="1"/>
      <c r="D6" s="27"/>
      <c r="E6" s="27"/>
      <c r="F6" s="27"/>
    </row>
    <row r="7" spans="2:9" x14ac:dyDescent="0.25">
      <c r="B7" s="1"/>
      <c r="C7" s="1"/>
      <c r="D7" s="27"/>
      <c r="E7" s="27"/>
      <c r="F7" s="27"/>
    </row>
    <row r="8" spans="2:9" x14ac:dyDescent="0.25">
      <c r="B8" s="1"/>
      <c r="C8" s="1"/>
      <c r="D8" s="27"/>
      <c r="E8" s="27"/>
      <c r="F8" s="27"/>
    </row>
    <row r="9" spans="2:9" x14ac:dyDescent="0.25">
      <c r="B9" s="1"/>
      <c r="C9" s="1"/>
      <c r="D9" s="27"/>
      <c r="E9" s="27"/>
      <c r="F9" s="27"/>
    </row>
    <row r="10" spans="2:9" x14ac:dyDescent="0.25">
      <c r="B10" s="44" t="s">
        <v>49</v>
      </c>
      <c r="C10" s="44"/>
      <c r="D10" s="44"/>
      <c r="E10" s="44"/>
      <c r="F10" s="45"/>
    </row>
    <row r="11" spans="2:9" x14ac:dyDescent="0.25">
      <c r="B11" s="1"/>
      <c r="F11" s="46"/>
    </row>
    <row r="12" spans="2:9" x14ac:dyDescent="0.25">
      <c r="B12" s="1"/>
      <c r="F12" s="46"/>
    </row>
    <row r="13" spans="2:9" x14ac:dyDescent="0.25">
      <c r="B13" s="1" t="s">
        <v>50</v>
      </c>
      <c r="C13" s="20"/>
      <c r="D13" s="20"/>
      <c r="E13" s="20"/>
      <c r="F13" s="47"/>
    </row>
    <row r="14" spans="2:9" x14ac:dyDescent="0.25">
      <c r="B14" s="1" t="s">
        <v>0</v>
      </c>
      <c r="C14" s="20"/>
      <c r="D14" s="20"/>
      <c r="E14" s="20"/>
      <c r="F14" s="20"/>
    </row>
    <row r="15" spans="2:9" x14ac:dyDescent="0.25">
      <c r="B15" s="1"/>
      <c r="C15" s="20"/>
      <c r="D15" s="20"/>
      <c r="E15" s="20"/>
      <c r="F15" s="20"/>
    </row>
    <row r="16" spans="2:9" x14ac:dyDescent="0.25">
      <c r="B16" s="36" t="s">
        <v>51</v>
      </c>
      <c r="C16" s="36"/>
      <c r="D16" s="36"/>
      <c r="E16" s="36"/>
      <c r="F16" s="36"/>
      <c r="G16" s="1"/>
      <c r="H16" s="1"/>
      <c r="I16" s="1"/>
    </row>
    <row r="17" spans="2:9" x14ac:dyDescent="0.25">
      <c r="B17" s="17"/>
      <c r="C17" s="20"/>
      <c r="D17" s="20"/>
      <c r="E17" s="20"/>
      <c r="F17" s="20"/>
    </row>
    <row r="18" spans="2:9" x14ac:dyDescent="0.25">
      <c r="B18" s="35" t="s">
        <v>52</v>
      </c>
      <c r="C18" s="35"/>
      <c r="D18" s="35"/>
      <c r="E18" s="35"/>
      <c r="F18" s="35"/>
    </row>
    <row r="19" spans="2:9" x14ac:dyDescent="0.25">
      <c r="B19" s="7" t="s">
        <v>61</v>
      </c>
      <c r="C19" s="21"/>
      <c r="D19" s="21"/>
      <c r="E19" s="21"/>
      <c r="F19" s="20"/>
    </row>
    <row r="20" spans="2:9" x14ac:dyDescent="0.25">
      <c r="B20" s="48" t="s">
        <v>1</v>
      </c>
      <c r="C20" s="49"/>
      <c r="D20" s="49"/>
      <c r="E20" s="49"/>
      <c r="F20" s="50"/>
    </row>
    <row r="21" spans="2:9" x14ac:dyDescent="0.25">
      <c r="B21" s="48"/>
      <c r="C21" s="49"/>
      <c r="D21" s="49"/>
      <c r="E21" s="49"/>
      <c r="F21" s="50"/>
    </row>
    <row r="22" spans="2:9" ht="21" customHeight="1" x14ac:dyDescent="0.25">
      <c r="B22" s="34" t="s">
        <v>53</v>
      </c>
      <c r="C22" s="34"/>
      <c r="D22" s="34"/>
      <c r="E22" s="34"/>
      <c r="F22" s="34"/>
    </row>
    <row r="23" spans="2:9" ht="19.5" customHeight="1" x14ac:dyDescent="0.25">
      <c r="B23" s="51"/>
      <c r="C23" s="51"/>
      <c r="D23" s="51"/>
      <c r="E23" s="51"/>
      <c r="F23" s="51"/>
      <c r="G23" s="2"/>
      <c r="H23" s="2"/>
      <c r="I23" s="2"/>
    </row>
    <row r="24" spans="2:9" ht="24" customHeight="1" x14ac:dyDescent="0.25">
      <c r="B24" s="28" t="s">
        <v>21</v>
      </c>
      <c r="C24" s="28" t="s">
        <v>36</v>
      </c>
      <c r="D24" s="28" t="s">
        <v>19</v>
      </c>
      <c r="E24" s="28" t="s">
        <v>27</v>
      </c>
      <c r="F24" s="28" t="s">
        <v>20</v>
      </c>
    </row>
    <row r="25" spans="2:9" x14ac:dyDescent="0.25">
      <c r="B25" s="28"/>
      <c r="C25" s="28"/>
      <c r="D25" s="28"/>
      <c r="E25" s="28"/>
      <c r="F25" s="28"/>
      <c r="G25" s="9"/>
    </row>
    <row r="26" spans="2:9" ht="154.5" customHeight="1" x14ac:dyDescent="0.25">
      <c r="B26" s="55" t="s">
        <v>54</v>
      </c>
      <c r="C26" s="30" t="s">
        <v>22</v>
      </c>
      <c r="D26" s="26">
        <v>19000</v>
      </c>
      <c r="E26" s="52">
        <v>389.96</v>
      </c>
      <c r="F26" s="52">
        <f>D26*E26</f>
        <v>7409240</v>
      </c>
      <c r="G26" s="9"/>
    </row>
    <row r="27" spans="2:9" ht="13.5" customHeight="1" x14ac:dyDescent="0.25">
      <c r="B27" s="55"/>
      <c r="C27" s="30"/>
      <c r="D27" s="26"/>
      <c r="E27" s="52"/>
      <c r="F27" s="52"/>
      <c r="G27" s="9"/>
    </row>
    <row r="28" spans="2:9" ht="177.75" customHeight="1" x14ac:dyDescent="0.25">
      <c r="B28" s="31" t="s">
        <v>55</v>
      </c>
      <c r="C28" s="30" t="s">
        <v>22</v>
      </c>
      <c r="D28" s="26">
        <v>19000</v>
      </c>
      <c r="E28" s="52">
        <v>509.99</v>
      </c>
      <c r="F28" s="52">
        <f>D28*E28</f>
        <v>9689810</v>
      </c>
      <c r="G28" s="11"/>
      <c r="H28" s="11"/>
    </row>
    <row r="29" spans="2:9" ht="15.75" customHeight="1" x14ac:dyDescent="0.25">
      <c r="B29" s="31"/>
      <c r="C29" s="30"/>
      <c r="D29" s="26"/>
      <c r="E29" s="52"/>
      <c r="F29" s="52"/>
      <c r="G29" s="11"/>
      <c r="H29" s="11"/>
    </row>
    <row r="30" spans="2:9" ht="15.75" customHeight="1" x14ac:dyDescent="0.25">
      <c r="B30" s="31"/>
      <c r="C30" s="30"/>
      <c r="D30" s="26"/>
      <c r="E30" s="52"/>
      <c r="F30" s="52"/>
      <c r="G30" s="11"/>
      <c r="H30" s="11"/>
    </row>
    <row r="31" spans="2:9" ht="12" customHeight="1" x14ac:dyDescent="0.25">
      <c r="B31" s="29"/>
      <c r="C31" s="30"/>
      <c r="D31" s="26"/>
      <c r="E31" s="52"/>
      <c r="F31" s="52"/>
      <c r="G31" s="4"/>
      <c r="H31" s="11"/>
    </row>
    <row r="32" spans="2:9" ht="12" customHeight="1" x14ac:dyDescent="0.25">
      <c r="B32" s="29"/>
      <c r="C32" s="30"/>
      <c r="D32" s="26"/>
      <c r="E32" s="52"/>
      <c r="F32" s="52"/>
      <c r="G32" s="4"/>
      <c r="H32" s="11"/>
    </row>
    <row r="33" spans="2:8" ht="15.75" customHeight="1" x14ac:dyDescent="0.25">
      <c r="B33" s="3"/>
      <c r="C33" s="16"/>
      <c r="D33" s="3"/>
      <c r="E33" s="53" t="s">
        <v>56</v>
      </c>
      <c r="F33" s="54">
        <f>SUM(F26:F28)</f>
        <v>17099050</v>
      </c>
      <c r="G33" s="4"/>
      <c r="H33" s="11"/>
    </row>
    <row r="34" spans="2:8" ht="15.75" customHeight="1" x14ac:dyDescent="0.25">
      <c r="B34" s="3"/>
      <c r="C34" s="16"/>
      <c r="D34" s="3"/>
      <c r="E34" s="53" t="s">
        <v>57</v>
      </c>
      <c r="F34" s="54">
        <f>F33*8%</f>
        <v>1367924</v>
      </c>
      <c r="G34" s="4"/>
      <c r="H34" s="11"/>
    </row>
    <row r="35" spans="2:8" ht="15.75" customHeight="1" x14ac:dyDescent="0.25">
      <c r="B35" s="3"/>
      <c r="C35" s="16"/>
      <c r="D35" s="3"/>
      <c r="E35" s="53" t="s">
        <v>58</v>
      </c>
      <c r="F35" s="54">
        <f>F33-F34</f>
        <v>15731126</v>
      </c>
      <c r="G35" s="4"/>
      <c r="H35" s="11"/>
    </row>
    <row r="36" spans="2:8" ht="15.75" customHeight="1" x14ac:dyDescent="0.25">
      <c r="B36" s="3"/>
      <c r="C36" s="16"/>
      <c r="D36" s="3"/>
      <c r="E36" s="53" t="s">
        <v>59</v>
      </c>
      <c r="F36" s="54">
        <f>F35*16%</f>
        <v>2516980.16</v>
      </c>
      <c r="G36" s="4"/>
      <c r="H36" s="11"/>
    </row>
    <row r="37" spans="2:8" ht="16.5" customHeight="1" x14ac:dyDescent="0.25">
      <c r="B37" s="3"/>
      <c r="C37" s="16"/>
      <c r="D37" s="3"/>
      <c r="E37" s="53" t="s">
        <v>60</v>
      </c>
      <c r="F37" s="54">
        <f>F35+F36</f>
        <v>18248106.16</v>
      </c>
      <c r="G37" s="4"/>
      <c r="H37" s="11"/>
    </row>
    <row r="38" spans="2:8" x14ac:dyDescent="0.25">
      <c r="B38" s="3"/>
      <c r="C38" s="3"/>
      <c r="D38" s="16"/>
      <c r="E38" s="3"/>
      <c r="F38" s="11"/>
      <c r="G38" s="4"/>
    </row>
    <row r="39" spans="2:8" x14ac:dyDescent="0.25">
      <c r="B39" s="3"/>
      <c r="C39" s="3"/>
      <c r="D39" s="16"/>
      <c r="E39" s="3"/>
      <c r="F39" s="11"/>
      <c r="G39" s="4"/>
    </row>
    <row r="40" spans="2:8" x14ac:dyDescent="0.25">
      <c r="B40" s="3"/>
      <c r="C40" s="3"/>
      <c r="D40" s="16"/>
      <c r="E40" s="3"/>
      <c r="F40" s="11"/>
      <c r="G40" s="4"/>
    </row>
    <row r="41" spans="2:8" x14ac:dyDescent="0.25">
      <c r="B41" s="3"/>
      <c r="C41" s="3"/>
      <c r="D41" s="16"/>
      <c r="E41" s="3"/>
      <c r="F41" s="11"/>
      <c r="G41" s="4"/>
    </row>
    <row r="42" spans="2:8" x14ac:dyDescent="0.25">
      <c r="B42" s="3"/>
      <c r="C42" s="3"/>
      <c r="D42" s="16"/>
      <c r="E42" s="3"/>
      <c r="F42" s="11"/>
      <c r="G42" s="4"/>
    </row>
    <row r="43" spans="2:8" x14ac:dyDescent="0.25">
      <c r="B43" s="3"/>
      <c r="C43" s="3"/>
      <c r="D43" s="16"/>
      <c r="E43" s="3"/>
      <c r="F43" s="11"/>
      <c r="G43" s="4"/>
    </row>
    <row r="44" spans="2:8" x14ac:dyDescent="0.25">
      <c r="B44" s="3"/>
      <c r="C44" s="3"/>
      <c r="D44" s="16"/>
      <c r="E44" s="3"/>
      <c r="F44" s="3"/>
    </row>
    <row r="45" spans="2:8" x14ac:dyDescent="0.25">
      <c r="B45" s="3"/>
      <c r="C45" s="3"/>
      <c r="D45" s="16"/>
      <c r="E45" s="3"/>
      <c r="F45" s="3"/>
    </row>
    <row r="46" spans="2:8" x14ac:dyDescent="0.25">
      <c r="B46" s="3"/>
      <c r="C46" s="3"/>
      <c r="D46" s="16"/>
      <c r="E46" s="3"/>
      <c r="F46" s="3"/>
    </row>
    <row r="47" spans="2:8" x14ac:dyDescent="0.25">
      <c r="B47" s="3"/>
      <c r="C47" s="3"/>
      <c r="D47" s="16"/>
      <c r="E47" s="3"/>
      <c r="F47" s="3"/>
    </row>
    <row r="48" spans="2:8" x14ac:dyDescent="0.25">
      <c r="B48" s="38" t="s">
        <v>62</v>
      </c>
      <c r="C48" s="38"/>
      <c r="D48" s="38"/>
      <c r="E48" s="38"/>
      <c r="F48" s="38"/>
    </row>
    <row r="49" spans="2:7" x14ac:dyDescent="0.25">
      <c r="B49" s="35" t="s">
        <v>52</v>
      </c>
      <c r="C49" s="35"/>
      <c r="D49" s="35"/>
      <c r="E49" s="35"/>
      <c r="F49" s="35"/>
    </row>
    <row r="50" spans="2:7" ht="15" customHeight="1" x14ac:dyDescent="0.25">
      <c r="B50" s="18"/>
      <c r="C50" s="18"/>
      <c r="D50" s="18"/>
      <c r="E50" s="18"/>
      <c r="F50" s="18"/>
    </row>
    <row r="51" spans="2:7" ht="29.25" customHeight="1" x14ac:dyDescent="0.25">
      <c r="B51" s="33" t="s">
        <v>5</v>
      </c>
      <c r="C51" s="33"/>
      <c r="D51" s="33"/>
      <c r="E51" s="33"/>
      <c r="F51" s="33"/>
      <c r="G51" s="4"/>
    </row>
    <row r="52" spans="2:7" ht="14.25" customHeight="1" x14ac:dyDescent="0.25">
      <c r="B52" s="28"/>
      <c r="C52" s="28"/>
      <c r="D52" s="28"/>
      <c r="E52" s="28"/>
      <c r="F52" s="28"/>
      <c r="G52" s="4"/>
    </row>
    <row r="53" spans="2:7" ht="60.75" customHeight="1" x14ac:dyDescent="0.25">
      <c r="B53" s="32" t="s">
        <v>63</v>
      </c>
      <c r="C53" s="32"/>
      <c r="D53" s="32"/>
      <c r="E53" s="32"/>
      <c r="F53" s="32"/>
    </row>
    <row r="54" spans="2:7" ht="19.5" customHeight="1" x14ac:dyDescent="0.25">
      <c r="B54" s="33" t="s">
        <v>6</v>
      </c>
      <c r="C54" s="56"/>
      <c r="D54" s="56"/>
      <c r="E54" s="56"/>
      <c r="F54" s="56"/>
    </row>
    <row r="55" spans="2:7" ht="40.5" customHeight="1" x14ac:dyDescent="0.25">
      <c r="B55" s="32" t="s">
        <v>7</v>
      </c>
      <c r="C55" s="32"/>
      <c r="D55" s="32"/>
      <c r="E55" s="32"/>
      <c r="F55" s="32"/>
    </row>
    <row r="56" spans="2:7" ht="42.75" customHeight="1" x14ac:dyDescent="0.25">
      <c r="B56" s="34" t="s">
        <v>8</v>
      </c>
      <c r="C56" s="34"/>
      <c r="D56" s="34"/>
      <c r="E56" s="34"/>
      <c r="F56" s="34"/>
    </row>
    <row r="57" spans="2:7" ht="39.75" customHeight="1" x14ac:dyDescent="0.25">
      <c r="B57" s="34" t="s">
        <v>9</v>
      </c>
      <c r="C57" s="34"/>
      <c r="D57" s="34"/>
      <c r="E57" s="34"/>
      <c r="F57" s="34"/>
    </row>
    <row r="58" spans="2:7" ht="25.5" customHeight="1" x14ac:dyDescent="0.25">
      <c r="B58" s="34" t="s">
        <v>10</v>
      </c>
      <c r="C58" s="34"/>
      <c r="D58" s="34"/>
      <c r="E58" s="34"/>
      <c r="F58" s="34"/>
    </row>
    <row r="59" spans="2:7" ht="66" customHeight="1" x14ac:dyDescent="0.25">
      <c r="B59" s="32" t="s">
        <v>11</v>
      </c>
      <c r="C59" s="32"/>
      <c r="D59" s="32"/>
      <c r="E59" s="32"/>
      <c r="F59" s="32"/>
    </row>
    <row r="60" spans="2:7" ht="20.25" customHeight="1" x14ac:dyDescent="0.25">
      <c r="B60" s="32" t="s">
        <v>12</v>
      </c>
      <c r="C60" s="32"/>
      <c r="D60" s="32"/>
      <c r="E60" s="32"/>
      <c r="F60" s="32"/>
    </row>
    <row r="61" spans="2:7" ht="53.25" customHeight="1" x14ac:dyDescent="0.25">
      <c r="B61" s="32" t="s">
        <v>13</v>
      </c>
      <c r="C61" s="32"/>
      <c r="D61" s="32"/>
      <c r="E61" s="32"/>
      <c r="F61" s="32"/>
    </row>
    <row r="62" spans="2:7" ht="30" customHeight="1" x14ac:dyDescent="0.25">
      <c r="B62" s="32" t="s">
        <v>14</v>
      </c>
      <c r="C62" s="32"/>
      <c r="D62" s="32"/>
      <c r="E62" s="32"/>
      <c r="F62" s="32"/>
    </row>
    <row r="63" spans="2:7" ht="62.25" customHeight="1" x14ac:dyDescent="0.25">
      <c r="B63" s="34" t="s">
        <v>15</v>
      </c>
      <c r="C63" s="34"/>
      <c r="D63" s="34"/>
      <c r="E63" s="34"/>
      <c r="F63" s="34"/>
    </row>
    <row r="64" spans="2:7" ht="18.75" customHeight="1" x14ac:dyDescent="0.25">
      <c r="B64" s="32" t="s">
        <v>16</v>
      </c>
      <c r="C64" s="32"/>
      <c r="D64" s="32"/>
      <c r="E64" s="32"/>
      <c r="F64" s="32"/>
    </row>
    <row r="65" spans="2:6" ht="18.75" customHeight="1" x14ac:dyDescent="0.25">
      <c r="B65" s="3"/>
      <c r="C65" s="3"/>
      <c r="D65" s="3"/>
      <c r="E65" s="3"/>
      <c r="F65" s="3"/>
    </row>
    <row r="66" spans="2:6" ht="18.75" customHeight="1" x14ac:dyDescent="0.25">
      <c r="B66" s="3"/>
      <c r="C66" s="3"/>
      <c r="D66" s="3"/>
      <c r="E66" s="3"/>
      <c r="F66" s="3"/>
    </row>
    <row r="67" spans="2:6" x14ac:dyDescent="0.25">
      <c r="B67" s="8" t="s">
        <v>17</v>
      </c>
      <c r="C67" s="8"/>
      <c r="D67" s="21"/>
      <c r="E67" s="21"/>
      <c r="F67" s="21"/>
    </row>
    <row r="68" spans="2:6" x14ac:dyDescent="0.25">
      <c r="B68" s="8" t="s">
        <v>18</v>
      </c>
      <c r="C68" s="8"/>
      <c r="D68" s="21"/>
      <c r="E68" s="21"/>
      <c r="F68" s="21"/>
    </row>
    <row r="69" spans="2:6" x14ac:dyDescent="0.25">
      <c r="B69" s="58" t="s">
        <v>64</v>
      </c>
      <c r="C69" s="57"/>
      <c r="D69" s="57"/>
      <c r="E69" s="57"/>
      <c r="F69" s="57"/>
    </row>
    <row r="70" spans="2:6" x14ac:dyDescent="0.25">
      <c r="B70" s="8"/>
      <c r="C70" s="8"/>
      <c r="D70" s="21"/>
      <c r="E70" s="21"/>
      <c r="F70" s="21"/>
    </row>
    <row r="71" spans="2:6" x14ac:dyDescent="0.25">
      <c r="B71" s="8"/>
      <c r="C71" s="8"/>
      <c r="D71" s="21"/>
      <c r="E71" s="21"/>
      <c r="F71" s="21"/>
    </row>
    <row r="72" spans="2:6" x14ac:dyDescent="0.25">
      <c r="B72" s="58" t="s">
        <v>65</v>
      </c>
      <c r="C72" s="56"/>
      <c r="D72" s="56"/>
      <c r="E72" s="56"/>
      <c r="F72" s="56"/>
    </row>
    <row r="73" spans="2:6" x14ac:dyDescent="0.25">
      <c r="B73" s="59" t="s">
        <v>66</v>
      </c>
      <c r="C73" s="56"/>
      <c r="D73" s="56"/>
      <c r="E73" s="56"/>
      <c r="F73" s="56"/>
    </row>
    <row r="74" spans="2:6" x14ac:dyDescent="0.25">
      <c r="B74" s="13"/>
      <c r="C74" s="13"/>
      <c r="D74" s="21"/>
      <c r="E74" s="21"/>
      <c r="F74" s="21"/>
    </row>
    <row r="75" spans="2:6" x14ac:dyDescent="0.25">
      <c r="B75" s="27"/>
      <c r="C75" s="27"/>
      <c r="D75" s="27"/>
      <c r="E75" s="27"/>
      <c r="F75" s="27"/>
    </row>
  </sheetData>
  <mergeCells count="23">
    <mergeCell ref="B72:F72"/>
    <mergeCell ref="B73:F73"/>
    <mergeCell ref="B69:F69"/>
    <mergeCell ref="B49:F49"/>
    <mergeCell ref="B16:F16"/>
    <mergeCell ref="B2:F2"/>
    <mergeCell ref="B48:F48"/>
    <mergeCell ref="B10:F10"/>
    <mergeCell ref="B18:F18"/>
    <mergeCell ref="B22:F22"/>
    <mergeCell ref="B64:F64"/>
    <mergeCell ref="B51:F51"/>
    <mergeCell ref="B53:F53"/>
    <mergeCell ref="B55:F55"/>
    <mergeCell ref="B56:F56"/>
    <mergeCell ref="B59:F59"/>
    <mergeCell ref="B60:F60"/>
    <mergeCell ref="B61:F61"/>
    <mergeCell ref="B63:F63"/>
    <mergeCell ref="B57:F57"/>
    <mergeCell ref="B58:F58"/>
    <mergeCell ref="B62:F62"/>
    <mergeCell ref="B54:F54"/>
  </mergeCells>
  <pageMargins left="0.23622047244094491" right="0.23622047244094491" top="0.74803149606299213" bottom="0.74803149606299213" header="0.31496062992125984" footer="0.31496062992125984"/>
  <pageSetup paperSize="9" scale="77" orientation="portrait" r:id="rId1"/>
  <headerFooter>
    <oddFooter>&amp;C&amp;G</oddFooter>
  </headerFooter>
  <rowBreaks count="1" manualBreakCount="1">
    <brk id="37"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46"/>
  <sheetViews>
    <sheetView topLeftCell="A7" zoomScaleNormal="100" zoomScalePageLayoutView="50" workbookViewId="0">
      <selection activeCell="H19" sqref="H19"/>
    </sheetView>
  </sheetViews>
  <sheetFormatPr baseColWidth="10" defaultRowHeight="15" x14ac:dyDescent="0.25"/>
  <cols>
    <col min="1" max="1" width="5.85546875" style="15" customWidth="1"/>
    <col min="2" max="2" width="52.140625" customWidth="1"/>
    <col min="3" max="3" width="14.28515625" customWidth="1"/>
    <col min="4" max="4" width="11.42578125" customWidth="1"/>
    <col min="5" max="5" width="9.85546875" bestFit="1" customWidth="1"/>
    <col min="6" max="6" width="10.42578125" customWidth="1"/>
  </cols>
  <sheetData>
    <row r="4" spans="2:6" x14ac:dyDescent="0.25">
      <c r="B4" s="20"/>
      <c r="C4" s="20"/>
      <c r="D4" s="20"/>
      <c r="E4" s="20"/>
      <c r="F4" s="20"/>
    </row>
    <row r="5" spans="2:6" x14ac:dyDescent="0.25">
      <c r="B5" s="20"/>
      <c r="C5" s="20"/>
      <c r="D5" s="20"/>
      <c r="E5" s="20"/>
      <c r="F5" s="20"/>
    </row>
    <row r="6" spans="2:6" x14ac:dyDescent="0.25">
      <c r="B6" s="37" t="s">
        <v>47</v>
      </c>
      <c r="C6" s="37"/>
      <c r="D6" s="37"/>
      <c r="E6" s="37"/>
      <c r="F6" s="37"/>
    </row>
    <row r="7" spans="2:6" x14ac:dyDescent="0.25">
      <c r="B7" s="1" t="s">
        <v>37</v>
      </c>
      <c r="C7" s="1"/>
      <c r="D7" s="20"/>
      <c r="E7" s="20"/>
      <c r="F7" s="20"/>
    </row>
    <row r="8" spans="2:6" x14ac:dyDescent="0.25">
      <c r="B8" s="1" t="s">
        <v>0</v>
      </c>
      <c r="C8" s="1"/>
      <c r="D8" s="20"/>
      <c r="E8" s="20"/>
      <c r="F8" s="20"/>
    </row>
    <row r="9" spans="2:6" x14ac:dyDescent="0.25">
      <c r="B9" s="36" t="s">
        <v>39</v>
      </c>
      <c r="C9" s="36"/>
      <c r="D9" s="36"/>
      <c r="E9" s="36"/>
      <c r="F9" s="36"/>
    </row>
    <row r="10" spans="2:6" x14ac:dyDescent="0.25">
      <c r="B10" s="35"/>
      <c r="C10" s="35"/>
      <c r="D10" s="35"/>
      <c r="E10" s="35"/>
      <c r="F10" s="35"/>
    </row>
    <row r="11" spans="2:6" ht="12.75" customHeight="1" x14ac:dyDescent="0.25">
      <c r="B11" s="7" t="s">
        <v>48</v>
      </c>
      <c r="C11" s="7"/>
      <c r="D11" s="21"/>
      <c r="E11" s="21"/>
      <c r="F11" s="21"/>
    </row>
    <row r="12" spans="2:6" ht="13.5" customHeight="1" x14ac:dyDescent="0.25">
      <c r="B12" s="8" t="s">
        <v>1</v>
      </c>
      <c r="C12" s="8"/>
      <c r="D12" s="21"/>
      <c r="E12" s="21"/>
      <c r="F12" s="21"/>
    </row>
    <row r="13" spans="2:6" ht="21.75" customHeight="1" x14ac:dyDescent="0.25">
      <c r="B13" s="43" t="s">
        <v>23</v>
      </c>
      <c r="C13" s="43"/>
      <c r="D13" s="43"/>
      <c r="E13" s="43"/>
      <c r="F13" s="43"/>
    </row>
    <row r="14" spans="2:6" x14ac:dyDescent="0.25">
      <c r="B14" s="7" t="s">
        <v>21</v>
      </c>
      <c r="C14" s="7"/>
      <c r="D14" s="18" t="s">
        <v>19</v>
      </c>
      <c r="E14" s="18" t="s">
        <v>27</v>
      </c>
      <c r="F14" s="17" t="s">
        <v>20</v>
      </c>
    </row>
    <row r="15" spans="2:6" x14ac:dyDescent="0.25">
      <c r="B15" s="7"/>
      <c r="C15" s="7"/>
      <c r="D15" s="17"/>
      <c r="E15" s="17"/>
      <c r="F15" s="17"/>
    </row>
    <row r="16" spans="2:6" x14ac:dyDescent="0.25">
      <c r="B16" s="6" t="s">
        <v>45</v>
      </c>
      <c r="C16" s="23" t="s">
        <v>38</v>
      </c>
      <c r="D16" s="4">
        <v>13</v>
      </c>
      <c r="E16" s="22">
        <v>750.46</v>
      </c>
      <c r="F16" s="10">
        <f t="shared" ref="F16" si="0">D16*E16</f>
        <v>9755.98</v>
      </c>
    </row>
    <row r="17" spans="2:8" x14ac:dyDescent="0.25">
      <c r="B17" s="6" t="s">
        <v>41</v>
      </c>
      <c r="C17" s="23" t="s">
        <v>38</v>
      </c>
      <c r="D17" s="4">
        <v>3</v>
      </c>
      <c r="E17" s="22">
        <v>850.38</v>
      </c>
      <c r="F17" s="10">
        <f t="shared" ref="F17" si="1">D17*E17</f>
        <v>2551.14</v>
      </c>
    </row>
    <row r="18" spans="2:8" x14ac:dyDescent="0.25">
      <c r="B18" s="6" t="s">
        <v>40</v>
      </c>
      <c r="C18" s="23" t="s">
        <v>38</v>
      </c>
      <c r="D18" s="4">
        <v>4</v>
      </c>
      <c r="E18" s="22">
        <v>4190</v>
      </c>
      <c r="F18" s="10">
        <f t="shared" ref="F18:F20" si="2">D18*E18</f>
        <v>16760</v>
      </c>
    </row>
    <row r="19" spans="2:8" x14ac:dyDescent="0.25">
      <c r="B19" s="6" t="s">
        <v>43</v>
      </c>
      <c r="C19" s="23" t="s">
        <v>38</v>
      </c>
      <c r="D19" s="25">
        <v>1.5</v>
      </c>
      <c r="E19" s="22">
        <v>4154.8100000000004</v>
      </c>
      <c r="F19" s="10">
        <f t="shared" si="2"/>
        <v>6232.2150000000001</v>
      </c>
    </row>
    <row r="20" spans="2:8" x14ac:dyDescent="0.25">
      <c r="B20" s="6" t="s">
        <v>44</v>
      </c>
      <c r="C20" s="23" t="s">
        <v>42</v>
      </c>
      <c r="D20" s="4">
        <v>3</v>
      </c>
      <c r="E20" s="22">
        <v>4786.5</v>
      </c>
      <c r="F20" s="10">
        <f t="shared" si="2"/>
        <v>14359.5</v>
      </c>
    </row>
    <row r="21" spans="2:8" x14ac:dyDescent="0.25">
      <c r="B21" s="6"/>
      <c r="C21" s="23"/>
      <c r="D21" s="4"/>
      <c r="E21" s="22"/>
      <c r="F21" s="10"/>
    </row>
    <row r="22" spans="2:8" x14ac:dyDescent="0.25">
      <c r="B22" s="3"/>
      <c r="C22" s="3"/>
      <c r="D22" s="21"/>
      <c r="E22" s="3" t="s">
        <v>2</v>
      </c>
      <c r="F22" s="11">
        <f>SUM(F16:F21)</f>
        <v>49658.834999999999</v>
      </c>
    </row>
    <row r="23" spans="2:8" x14ac:dyDescent="0.25">
      <c r="B23" s="3"/>
      <c r="C23" s="3"/>
      <c r="D23" s="3"/>
      <c r="E23" s="3" t="s">
        <v>3</v>
      </c>
      <c r="F23" s="11">
        <f>F22*16%</f>
        <v>7945.4135999999999</v>
      </c>
    </row>
    <row r="24" spans="2:8" x14ac:dyDescent="0.25">
      <c r="B24" s="3"/>
      <c r="C24" s="3"/>
      <c r="D24" s="16"/>
      <c r="E24" s="3" t="s">
        <v>4</v>
      </c>
      <c r="F24" s="11">
        <f>SUM(F22:F23)</f>
        <v>57604.248599999999</v>
      </c>
    </row>
    <row r="25" spans="2:8" x14ac:dyDescent="0.25">
      <c r="B25" s="3"/>
      <c r="C25" s="3"/>
      <c r="D25" s="16"/>
      <c r="E25" s="3"/>
      <c r="F25" s="11"/>
    </row>
    <row r="26" spans="2:8" x14ac:dyDescent="0.25">
      <c r="B26" s="1" t="s">
        <v>24</v>
      </c>
      <c r="C26" s="1"/>
      <c r="D26" s="20"/>
      <c r="E26" s="20"/>
      <c r="F26" s="20"/>
    </row>
    <row r="27" spans="2:8" ht="39" customHeight="1" x14ac:dyDescent="0.25">
      <c r="B27" s="43" t="s">
        <v>28</v>
      </c>
      <c r="C27" s="43"/>
      <c r="D27" s="43"/>
      <c r="E27" s="43"/>
      <c r="F27" s="43"/>
    </row>
    <row r="28" spans="2:8" ht="17.25" customHeight="1" x14ac:dyDescent="0.25">
      <c r="B28" s="43" t="s">
        <v>29</v>
      </c>
      <c r="C28" s="43"/>
      <c r="D28" s="43"/>
      <c r="E28" s="43"/>
      <c r="F28" s="43"/>
    </row>
    <row r="29" spans="2:8" ht="15" customHeight="1" x14ac:dyDescent="0.25">
      <c r="B29" s="43" t="s">
        <v>30</v>
      </c>
      <c r="C29" s="43"/>
      <c r="D29" s="43"/>
      <c r="E29" s="43"/>
      <c r="F29" s="43"/>
    </row>
    <row r="30" spans="2:8" ht="18" customHeight="1" x14ac:dyDescent="0.25">
      <c r="B30" s="43" t="s">
        <v>31</v>
      </c>
      <c r="C30" s="43"/>
      <c r="D30" s="43"/>
      <c r="E30" s="43"/>
      <c r="F30" s="43"/>
    </row>
    <row r="31" spans="2:8" ht="96.75" customHeight="1" x14ac:dyDescent="0.25">
      <c r="B31" s="43" t="s">
        <v>32</v>
      </c>
      <c r="C31" s="43"/>
      <c r="D31" s="43"/>
      <c r="E31" s="43"/>
      <c r="F31" s="43"/>
    </row>
    <row r="32" spans="2:8" x14ac:dyDescent="0.25">
      <c r="B32" s="20"/>
      <c r="C32" s="20"/>
      <c r="D32" s="20"/>
      <c r="E32" s="20"/>
      <c r="F32" s="20"/>
      <c r="H32" s="14"/>
    </row>
    <row r="33" spans="2:15" x14ac:dyDescent="0.25">
      <c r="B33" s="5" t="s">
        <v>33</v>
      </c>
      <c r="C33" s="5"/>
      <c r="D33" s="41" t="s">
        <v>34</v>
      </c>
      <c r="E33" s="41"/>
      <c r="F33" s="41"/>
    </row>
    <row r="34" spans="2:15" x14ac:dyDescent="0.25">
      <c r="B34" s="8"/>
      <c r="C34" s="8"/>
      <c r="D34" s="21"/>
      <c r="E34" s="21"/>
      <c r="F34" s="21"/>
    </row>
    <row r="35" spans="2:15" x14ac:dyDescent="0.25">
      <c r="B35" s="8"/>
      <c r="C35" s="8"/>
      <c r="D35" s="21"/>
      <c r="E35" s="21"/>
      <c r="F35" s="21"/>
    </row>
    <row r="36" spans="2:15" x14ac:dyDescent="0.25">
      <c r="B36" s="12" t="s">
        <v>35</v>
      </c>
      <c r="C36" s="12"/>
      <c r="D36" s="21"/>
      <c r="E36" s="21"/>
      <c r="F36" s="21"/>
    </row>
    <row r="37" spans="2:15" x14ac:dyDescent="0.25">
      <c r="B37" s="24" t="s">
        <v>46</v>
      </c>
      <c r="C37" s="24"/>
      <c r="D37" s="42" t="s">
        <v>25</v>
      </c>
      <c r="E37" s="42"/>
      <c r="F37" s="42"/>
    </row>
    <row r="38" spans="2:15" x14ac:dyDescent="0.25">
      <c r="B38" s="13"/>
      <c r="C38" s="13"/>
      <c r="D38" s="21"/>
      <c r="E38" s="21"/>
      <c r="F38" s="21"/>
    </row>
    <row r="39" spans="2:15" x14ac:dyDescent="0.25">
      <c r="B39" s="39" t="s">
        <v>26</v>
      </c>
      <c r="C39" s="39"/>
      <c r="D39" s="40"/>
      <c r="E39" s="40"/>
      <c r="F39" s="40"/>
      <c r="G39" s="19"/>
      <c r="H39" s="19"/>
      <c r="I39" s="19"/>
      <c r="J39" s="19"/>
      <c r="K39" s="19"/>
      <c r="L39" s="19"/>
      <c r="M39" s="19"/>
      <c r="N39" s="19"/>
      <c r="O39" s="19"/>
    </row>
    <row r="40" spans="2:15" x14ac:dyDescent="0.25">
      <c r="B40" s="40"/>
      <c r="C40" s="40"/>
      <c r="D40" s="40"/>
      <c r="E40" s="40"/>
      <c r="F40" s="40"/>
      <c r="G40" s="19"/>
      <c r="H40" s="19"/>
      <c r="I40" s="19"/>
      <c r="J40" s="19"/>
      <c r="K40" s="19"/>
      <c r="L40" s="19"/>
      <c r="M40" s="19"/>
      <c r="N40" s="19"/>
      <c r="O40" s="19"/>
    </row>
    <row r="41" spans="2:15" x14ac:dyDescent="0.25">
      <c r="B41" s="40"/>
      <c r="C41" s="40"/>
      <c r="D41" s="40"/>
      <c r="E41" s="40"/>
      <c r="F41" s="40"/>
      <c r="G41" s="19"/>
      <c r="H41" s="19"/>
      <c r="I41" s="19"/>
      <c r="J41" s="19"/>
      <c r="K41" s="19"/>
      <c r="L41" s="19"/>
      <c r="M41" s="19"/>
      <c r="N41" s="19"/>
      <c r="O41" s="19"/>
    </row>
    <row r="42" spans="2:15" x14ac:dyDescent="0.25">
      <c r="B42" s="40"/>
      <c r="C42" s="40"/>
      <c r="D42" s="40"/>
      <c r="E42" s="40"/>
      <c r="F42" s="40"/>
      <c r="G42" s="19"/>
      <c r="H42" s="19"/>
      <c r="I42" s="19"/>
      <c r="J42" s="19"/>
      <c r="K42" s="19"/>
      <c r="L42" s="19"/>
      <c r="M42" s="19"/>
      <c r="N42" s="19"/>
      <c r="O42" s="19"/>
    </row>
    <row r="43" spans="2:15" x14ac:dyDescent="0.25">
      <c r="B43" s="19"/>
      <c r="C43" s="19"/>
      <c r="D43" s="19"/>
      <c r="E43" s="19"/>
      <c r="F43" s="19"/>
      <c r="G43" s="19"/>
      <c r="H43" s="19"/>
      <c r="I43" s="19"/>
      <c r="J43" s="19"/>
      <c r="K43" s="19"/>
      <c r="L43" s="19"/>
      <c r="M43" s="19"/>
      <c r="N43" s="19"/>
      <c r="O43" s="19"/>
    </row>
    <row r="44" spans="2:15" x14ac:dyDescent="0.25">
      <c r="B44" s="19"/>
      <c r="C44" s="19"/>
      <c r="D44" s="19"/>
      <c r="E44" s="19"/>
      <c r="F44" s="19"/>
      <c r="G44" s="19"/>
      <c r="H44" s="19"/>
      <c r="I44" s="19"/>
      <c r="J44" s="19"/>
      <c r="K44" s="19"/>
      <c r="L44" s="19"/>
      <c r="M44" s="19"/>
      <c r="N44" s="19"/>
      <c r="O44" s="19"/>
    </row>
    <row r="45" spans="2:15" x14ac:dyDescent="0.25">
      <c r="B45" s="19"/>
      <c r="C45" s="19"/>
      <c r="D45" s="19"/>
      <c r="E45" s="19"/>
      <c r="F45" s="19"/>
      <c r="G45" s="19"/>
      <c r="H45" s="19"/>
      <c r="I45" s="19"/>
      <c r="J45" s="19"/>
      <c r="K45" s="19"/>
      <c r="L45" s="19"/>
      <c r="M45" s="19"/>
      <c r="N45" s="19"/>
      <c r="O45" s="19"/>
    </row>
    <row r="46" spans="2:15" x14ac:dyDescent="0.25">
      <c r="B46" s="19"/>
      <c r="C46" s="19"/>
      <c r="D46" s="19"/>
      <c r="E46" s="19"/>
      <c r="F46" s="19"/>
      <c r="G46" s="19"/>
      <c r="H46" s="19"/>
      <c r="I46" s="19"/>
      <c r="J46" s="19"/>
      <c r="K46" s="19"/>
      <c r="L46" s="19"/>
      <c r="M46" s="19"/>
      <c r="N46" s="19"/>
      <c r="O46" s="19"/>
    </row>
  </sheetData>
  <mergeCells count="12">
    <mergeCell ref="B6:F6"/>
    <mergeCell ref="B9:F9"/>
    <mergeCell ref="B10:F10"/>
    <mergeCell ref="B13:F13"/>
    <mergeCell ref="B31:F31"/>
    <mergeCell ref="B39:F42"/>
    <mergeCell ref="D33:F33"/>
    <mergeCell ref="D37:F37"/>
    <mergeCell ref="B27:F27"/>
    <mergeCell ref="B28:F28"/>
    <mergeCell ref="B29:F29"/>
    <mergeCell ref="B30:F30"/>
  </mergeCells>
  <pageMargins left="0.7" right="0.7" top="0.75" bottom="0.75" header="0.3" footer="0.3"/>
  <pageSetup paperSize="9"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2026-08-21T18:04:18Z</cp:lastPrinted>
  <dcterms:created xsi:type="dcterms:W3CDTF">2020-12-14T19:54:01Z</dcterms:created>
  <dcterms:modified xsi:type="dcterms:W3CDTF">2026-08-21T18:04:29Z</dcterms:modified>
</cp:coreProperties>
</file>