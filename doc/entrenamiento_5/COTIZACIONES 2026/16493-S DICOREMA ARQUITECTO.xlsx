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F6BCC8AC-0B34-4A0E-9DEA-3D67DB0B1F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32" i="3" s="1"/>
  <c r="F28" i="3"/>
  <c r="F27" i="3"/>
  <c r="F33" i="3" l="1"/>
  <c r="F34" i="3" s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<sst xmlns="http://schemas.openxmlformats.org/spreadsheetml/2006/main" count="70" uniqueCount="62">
  <si>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</si>
  <si>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</si>
  <si>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</si>
  <si>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</si>
  <si>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</si>
  <si>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</si>
  <si>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</si>
  <si>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</si>
  <si>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</si>
  <si>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</si>
  <si>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</si>
  <si>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</si>
  <si>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</si>
  <si>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</si>
  <si>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</si>
  <si>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</si>
  <si>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</si>
  <si>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</si>
  <si>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</si>
  <si>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</si>
  <si>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</si>
  <si>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</si>
  <si>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</si>
  <si>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</si>
  <si>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</si>
  <si>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</si>
  <si>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</si>
  <si>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</si>
  <si>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</si>
  <si>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</si>
  <si>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</si>
  <si>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</si>
  <si>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</si>
  <si>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</si>
  <si>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</si>
  <si>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</si>
  <si>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</si>
  <si>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</si>
  <si>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</si>
  <si>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</si>
  <si>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</si>
  <si>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</si>
  <si>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</si>
  <si>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</si>
  <si>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</si>
  <si>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</si>
  <si>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</si>
  <si>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</si>
  <si>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</si>
  <si>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</si>
  <si>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</si>
  <si>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</si>
  <si>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</si>
  <si>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</si>
  <si>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</si>
  <si>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</si>
  <si>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3.- VITROGLASS REF. S.M.A (REND. 180-190M2)</t>
  </si>
  <si>
    <t>CIUDAD DE MEXICO A 15 DE ABRIL DEL 2026</t>
  </si>
  <si>
    <t>AT´N: ARQ. JUAN CARLOS RODRIGUEZ</t>
  </si>
  <si>
    <t>OBRA: MANTENIMIENTO CAISES SAN JOSE ITURBIDE</t>
  </si>
  <si>
    <t>PRES. REF. 16493-S/2026CG</t>
  </si>
  <si>
    <t xml:space="preserve">                        ARQ. JUAN CARLOS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</si>
</sst>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46" zoomScaleNormal="100" zoomScalePageLayoutView="50" workbookViewId="0">
      <selection activeCell="C48" sqref="C48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57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58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59</v>
      </c>
      <c r="C19" s="51"/>
      <c r="D19" s="51"/>
      <c r="E19" s="51"/>
      <c r="F19" s="51"/>
    </row>
    <row r="20" spans="2:6" ht="12.75" customHeight="1" x14ac:dyDescent="0.25">
      <c r="B20" s="8" t="s">
        <v>60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54</v>
      </c>
      <c r="C27" s="40" t="s">
        <v>46</v>
      </c>
      <c r="D27" s="39">
        <v>1</v>
      </c>
      <c r="E27" s="42">
        <v>1028.18</v>
      </c>
      <c r="F27" s="42">
        <f t="shared" ref="F27:F29" si="0">D27*E27</f>
        <v>1028.18</v>
      </c>
    </row>
    <row r="28" spans="2:6" x14ac:dyDescent="0.25">
      <c r="B28" s="41" t="s">
        <v>55</v>
      </c>
      <c r="C28" s="40" t="s">
        <v>46</v>
      </c>
      <c r="D28" s="39">
        <v>1</v>
      </c>
      <c r="E28" s="42">
        <v>4797.13</v>
      </c>
      <c r="F28" s="42">
        <f t="shared" si="0"/>
        <v>4797.13</v>
      </c>
    </row>
    <row r="29" spans="2:6" x14ac:dyDescent="0.25">
      <c r="B29" s="41" t="s">
        <v>56</v>
      </c>
      <c r="C29" s="40" t="s">
        <v>46</v>
      </c>
      <c r="D29" s="39">
        <v>1</v>
      </c>
      <c r="E29" s="42">
        <v>5023.57</v>
      </c>
      <c r="F29" s="42">
        <f t="shared" si="0"/>
        <v>5023.57</v>
      </c>
    </row>
    <row r="30" spans="2:6" x14ac:dyDescent="0.25">
      <c r="B30" s="41"/>
      <c r="C30" s="40"/>
      <c r="D30" s="39"/>
      <c r="E30" s="42"/>
      <c r="F30" s="42"/>
    </row>
    <row r="31" spans="2:6" x14ac:dyDescent="0.25">
      <c r="B31" s="41"/>
      <c r="C31" s="40"/>
      <c r="D31" s="39"/>
      <c r="E31" s="42"/>
      <c r="F31" s="42"/>
    </row>
    <row r="32" spans="2:6" x14ac:dyDescent="0.25">
      <c r="B32" s="4"/>
      <c r="C32" s="4"/>
      <c r="D32" s="16"/>
      <c r="E32" s="4" t="s">
        <v>3</v>
      </c>
      <c r="F32" s="11">
        <f>SUM(F27:F31)</f>
        <v>10848.880000000001</v>
      </c>
    </row>
    <row r="33" spans="2:8" x14ac:dyDescent="0.25">
      <c r="B33" s="4"/>
      <c r="C33" s="4"/>
      <c r="D33" s="16"/>
      <c r="E33" s="4" t="s">
        <v>44</v>
      </c>
      <c r="F33" s="11">
        <f>F32*16%</f>
        <v>1735.8208000000002</v>
      </c>
    </row>
    <row r="34" spans="2:8" x14ac:dyDescent="0.25">
      <c r="B34" s="4"/>
      <c r="C34" s="4"/>
      <c r="D34" s="16"/>
      <c r="E34" s="4" t="s">
        <v>45</v>
      </c>
      <c r="F34" s="11">
        <f>F32+F33</f>
        <v>12584.700800000001</v>
      </c>
    </row>
    <row r="35" spans="2:8" x14ac:dyDescent="0.25">
      <c r="B35" s="4"/>
      <c r="C35" s="4"/>
      <c r="D35" s="16"/>
      <c r="E35" s="4"/>
      <c r="F35" s="11"/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1" t="s">
        <v>23</v>
      </c>
      <c r="C38" s="1"/>
      <c r="D38" s="20"/>
      <c r="E38" s="20"/>
      <c r="F38" s="20"/>
    </row>
    <row r="39" spans="2:8" ht="27.75" customHeight="1" x14ac:dyDescent="0.25">
      <c r="B39" s="46" t="s">
        <v>26</v>
      </c>
      <c r="C39" s="46"/>
      <c r="D39" s="46"/>
      <c r="E39" s="46"/>
      <c r="F39" s="46"/>
    </row>
    <row r="40" spans="2:8" ht="17.25" customHeight="1" x14ac:dyDescent="0.25">
      <c r="B40" s="46" t="s">
        <v>27</v>
      </c>
      <c r="C40" s="46"/>
      <c r="D40" s="46"/>
      <c r="E40" s="46"/>
      <c r="F40" s="46"/>
    </row>
    <row r="41" spans="2:8" ht="15" customHeight="1" x14ac:dyDescent="0.25">
      <c r="B41" s="46" t="s">
        <v>28</v>
      </c>
      <c r="C41" s="46"/>
      <c r="D41" s="46"/>
      <c r="E41" s="46"/>
      <c r="F41" s="46"/>
    </row>
    <row r="42" spans="2:8" ht="18" customHeight="1" x14ac:dyDescent="0.25">
      <c r="B42" s="46" t="s">
        <v>29</v>
      </c>
      <c r="C42" s="46"/>
      <c r="D42" s="46"/>
      <c r="E42" s="46"/>
      <c r="F42" s="46"/>
    </row>
    <row r="43" spans="2:8" ht="96.75" customHeight="1" x14ac:dyDescent="0.25">
      <c r="B43" s="46" t="s">
        <v>30</v>
      </c>
      <c r="C43" s="46"/>
      <c r="D43" s="46"/>
      <c r="E43" s="46"/>
      <c r="F43" s="46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48</v>
      </c>
      <c r="C47" s="37"/>
      <c r="D47" s="45" t="s">
        <v>47</v>
      </c>
      <c r="E47" s="45"/>
      <c r="F47" s="45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50</v>
      </c>
      <c r="C50" s="12"/>
      <c r="D50" s="12"/>
      <c r="E50" s="12"/>
      <c r="F50" s="12"/>
    </row>
    <row r="51" spans="2:15" ht="15" customHeight="1" x14ac:dyDescent="0.25">
      <c r="B51" s="36" t="s">
        <v>61</v>
      </c>
      <c r="C51" s="47" t="s">
        <v>53</v>
      </c>
      <c r="D51" s="48"/>
      <c r="E51" s="48"/>
      <c r="F51" s="48"/>
      <c r="G51" s="48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43" t="s">
        <v>24</v>
      </c>
      <c r="C55" s="43"/>
      <c r="D55" s="44"/>
      <c r="E55" s="44"/>
      <c r="F55" s="44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4"/>
      <c r="C56" s="44"/>
      <c r="D56" s="44"/>
      <c r="E56" s="44"/>
      <c r="F56" s="44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4"/>
      <c r="C57" s="44"/>
      <c r="D57" s="44"/>
      <c r="E57" s="44"/>
      <c r="F57" s="44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4"/>
      <c r="C58" s="44"/>
      <c r="D58" s="44"/>
      <c r="E58" s="44"/>
      <c r="F58" s="44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2">
    <mergeCell ref="B9:F9"/>
    <mergeCell ref="B16:F16"/>
    <mergeCell ref="B19:F19"/>
    <mergeCell ref="B23:F23"/>
    <mergeCell ref="B43:F43"/>
    <mergeCell ref="B55:F58"/>
    <mergeCell ref="D47:F47"/>
    <mergeCell ref="B39:F39"/>
    <mergeCell ref="B40:F40"/>
    <mergeCell ref="B41:F41"/>
    <mergeCell ref="B42:F42"/>
    <mergeCell ref="C51:G51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2026-04-15T18:30:03Z</cp:lastPrinted>
  <dcterms:created xsi:type="dcterms:W3CDTF">2020-12-14T19:54:01Z</dcterms:created>
  <dcterms:modified xsi:type="dcterms:W3CDTF">2026-04-15T18:33:51Z</dcterms:modified>
</cp:coreProperties>
</file>