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heckCompatibility="1"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0EB0767C-0805-48A6-9981-FBBA633880EC}"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5" i="3" l="1"/>
  <c r="F34" i="3"/>
  <c r="F33" i="3"/>
  <c r="F31" i="3"/>
  <c r="F30" i="3"/>
  <c r="F29" i="3"/>
  <c r="E17" i="1" l="1"/>
  <c r="E16" i="1"/>
  <c r="E19" i="1" l="1"/>
  <c r="E20" i="1" l="1"/>
  <c r="E21" i="1" s="1"/>
</calcChain>
</file>

<file path=xl/sharedStrings.xml><?xml version="1.0" encoding="utf-8"?>
<sst xmlns="http://schemas.openxmlformats.org/spreadsheetml/2006/main" count="74" uniqueCount="64">
  <si>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</si>
  <si>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</si>
  <si>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</si>
  <si>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</si>
  <si>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</si>
  <si>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</si>
  <si>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</si>
  <si>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</si>
  <si>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</si>
  <si>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</si>
  <si>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</si>
  <si>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</si>
  <si>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</si>
  <si>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</si>
  <si>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</si>
  <si>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</si>
  <si>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</si>
  <si>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</si>
  <si>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</si>
  <si>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</si>
  <si>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</si>
  <si>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</si>
  <si>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</si>
  <si>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</si>
  <si>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</si>
  <si>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</si>
  <si>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</si>
  <si>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</si>
  <si>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</si>
  <si>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</si>
  <si>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</si>
  <si>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</si>
  <si>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</si>
  <si>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</si>
  <si>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</si>
  <si>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</si>
  <si>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</si>
  <si>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</si>
  <si>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</si>
  <si>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</si>
  <si>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</si>
  <si>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</si>
  <si>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</si>
  <si>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</si>
  <si>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</si>
  <si>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</si>
  <si>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</si>
  <si>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</si>
  <si>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</si>
  <si>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</si>
  <si>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</si>
  <si>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</si>
  <si>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r>
      <t>PRESENTAMOS A SU AMABLE CONSIDERACIÓN EL PRESUPUESTO DE SUMINISTRO PARA</t>
    </r>
    <r>
      <rPr>
        <sz val="9"/>
        <color theme="1"/>
        <rFont val="Times New Roman"/>
        <family val="1"/>
      </rPr>
      <t xml:space="preserve"> LOS SIGUIENTES MATERIALES: </t>
    </r>
  </si>
  <si>
    <t xml:space="preserve">                            CHISA RECUBRIMIENTOS, S.A DE C.V </t>
  </si>
  <si>
    <t>RFC: CRE-880613-DY4</t>
  </si>
  <si>
    <t xml:space="preserve">CONSTRUCTORA: CONSTRUCTORA LA IMAGEN DE HOY S.A. DE C.V.  </t>
  </si>
  <si>
    <t>AT¨N: CARLA DE LA FUENTE</t>
  </si>
  <si>
    <t xml:space="preserve">                              CARLA DE LA FUENTE</t>
  </si>
  <si>
    <t>CIUDAD DE MEXICO A 20 DE MAYO DEL 2026</t>
  </si>
  <si>
    <t>PRES. REF. 16535-S/2026CG</t>
  </si>
  <si>
    <t>CUBETA</t>
  </si>
  <si>
    <t>3.- IMPERGLASS 7 AÑOS   (REND. 45 - 50 M2)</t>
  </si>
  <si>
    <t>1.- IMPERGLASS 3 AÑOS   (REND. 45 - 50 M2)</t>
  </si>
  <si>
    <t>2.- IMPERGLASS 5 AÑOS   (REND. 45 - 50 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</si>
</sst>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7" formatCode="_-&quot;$&quot;* #,##0.00_-;\-&quot;$&quot;* #,##0.00_-;_-&quot;$&quot;* &quot;-&quot;??_-;_-@_-"/>
  </numFmts>
  <fonts count="12"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10"/>
      <color theme="1"/>
      <name val="Times New Roman"/>
      <family val="1"/>
    </font>
  </fonts>
  <fills count="2">
    <fill>
      <patternFill patternType="none"/>
    </fill>
    <fill>
      <patternFill patternType="gray125"/>
    </fill>
  </fills>
  <borders count="1">
    <border>
      <left/>
      <right/>
      <top/>
      <bottom/>
      <diagonal/>
    </border>
  </borders>
  <cellStyleXfs count="9">
    <xf numFmtId="0" fontId="0" fillId="0" borderId="0"/>
    <xf numFmtId="44" fontId="7" fillId="0" borderId="0" applyFont="0" applyFill="0" applyBorder="0" applyAlignment="0" applyProtection="0"/>
    <xf numFmtId="44"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cellStyleXfs>
  <cellXfs count="64">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8" fillId="0" borderId="0" xfId="0" applyFont="1"/>
    <xf numFmtId="0" fontId="1" fillId="0" borderId="0" xfId="0" applyFont="1"/>
    <xf numFmtId="0" fontId="1" fillId="0" borderId="0" xfId="0" applyFont="1" applyAlignment="1">
      <alignment horizontal="justify"/>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right" vertical="center"/>
    </xf>
    <xf numFmtId="0" fontId="1" fillId="0" borderId="0" xfId="0" applyFont="1" applyAlignment="1">
      <alignment horizontal="justify" vertical="justify" wrapText="1"/>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applyAlignment="1">
      <alignment horizontal="justify" vertical="justify" wrapText="1"/>
    </xf>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justify" vertical="top" wrapText="1"/>
    </xf>
    <xf numFmtId="0" fontId="4" fillId="0" borderId="0" xfId="0" applyFont="1" applyAlignment="1">
      <alignment horizontal="left" vertical="center"/>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xf numFmtId="0" fontId="1" fillId="0" borderId="0" xfId="0" applyFont="1" applyAlignment="1">
      <alignment horizontal="center" vertical="center"/>
    </xf>
    <xf numFmtId="0" fontId="5" fillId="0" borderId="0" xfId="0" applyFont="1" applyAlignment="1">
      <alignment horizontal="justify" vertical="center"/>
    </xf>
    <xf numFmtId="0" fontId="11" fillId="0" borderId="0" xfId="0" applyFont="1" applyAlignment="1">
      <alignment vertical="center"/>
    </xf>
    <xf numFmtId="167" fontId="11" fillId="0" borderId="0" xfId="4" applyFont="1" applyAlignment="1">
      <alignment vertical="center" wrapText="1"/>
    </xf>
    <xf numFmtId="167" fontId="1" fillId="0" borderId="0" xfId="4" applyFont="1" applyAlignment="1">
      <alignment vertical="center"/>
    </xf>
    <xf numFmtId="0" fontId="0" fillId="0" borderId="0" xfId="0"/>
    <xf numFmtId="0" fontId="0" fillId="0" borderId="0" xfId="0" applyAlignment="1">
      <alignment horizontal="right" vertical="top"/>
    </xf>
    <xf numFmtId="0" fontId="1" fillId="0" borderId="0" xfId="0" applyFont="1" applyAlignment="1">
      <alignment horizontal="center" vertical="center"/>
    </xf>
    <xf numFmtId="0" fontId="5" fillId="0" borderId="0" xfId="0" applyFont="1" applyAlignment="1">
      <alignment horizontal="justify" vertical="center"/>
    </xf>
    <xf numFmtId="0" fontId="11" fillId="0" borderId="0" xfId="0" applyFont="1" applyAlignment="1">
      <alignment vertical="center"/>
    </xf>
    <xf numFmtId="167" fontId="11" fillId="0" borderId="0" xfId="8" applyFont="1" applyAlignment="1">
      <alignment vertical="center" wrapText="1"/>
    </xf>
    <xf numFmtId="167" fontId="1" fillId="0" borderId="0" xfId="8" applyFont="1" applyAlignment="1">
      <alignment vertical="center"/>
    </xf>
  </cellXfs>
  <cellStyles count="9">
    <cellStyle name="Moneda" xfId="1" builtinId="4"/>
    <cellStyle name="Moneda 2" xfId="2" xr:uid="{F9BF1E17-30DC-4FC5-A0E7-D545E34C2A8D}"/>
    <cellStyle name="Moneda 2 2" xfId="8" xr:uid="{92066B40-DE4B-4420-BB21-0F5AE6D2F328}"/>
    <cellStyle name="Moneda 2 3" xfId="6" xr:uid="{881DB4EA-BAD8-4D11-B4E4-2A9CBC55336D}"/>
    <cellStyle name="Moneda 2 4" xfId="4" xr:uid="{694AD43C-75CA-43C4-9F7A-3A44D020BFC0}"/>
    <cellStyle name="Moneda 3" xfId="7" xr:uid="{CBFD3203-3B56-4623-AF3F-423E60D1018D}"/>
    <cellStyle name="Moneda 4" xfId="5" xr:uid="{FA908D9B-4A76-4C05-B1B8-B2C6DC555881}"/>
    <cellStyle name="Moneda 5" xfId="3" xr:uid="{2740CF8A-BE1C-4AFC-AA8E-DC787FFAB6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561975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37" t="s">
        <v>43</v>
      </c>
      <c r="B2" s="37"/>
      <c r="C2" s="37"/>
      <c r="D2" s="37"/>
      <c r="E2" s="37"/>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38" t="s">
        <v>44</v>
      </c>
      <c r="B8" s="38"/>
      <c r="C8" s="38"/>
      <c r="D8" s="38"/>
      <c r="E8" s="38"/>
      <c r="F8" s="1"/>
      <c r="G8" s="1"/>
      <c r="H8" s="1"/>
    </row>
    <row r="9" spans="1:8" x14ac:dyDescent="0.25">
      <c r="A9" s="2"/>
      <c r="B9" s="2"/>
    </row>
    <row r="10" spans="1:8" x14ac:dyDescent="0.25">
      <c r="A10" s="2"/>
      <c r="B10" s="2"/>
    </row>
    <row r="11" spans="1:8" x14ac:dyDescent="0.25">
      <c r="A11" s="39" t="s">
        <v>45</v>
      </c>
      <c r="B11" s="39"/>
      <c r="C11" s="39"/>
      <c r="D11" s="39"/>
      <c r="E11" s="39"/>
    </row>
    <row r="12" spans="1:8" x14ac:dyDescent="0.25">
      <c r="A12" s="12" t="s">
        <v>51</v>
      </c>
      <c r="B12" s="12"/>
      <c r="C12" s="11"/>
      <c r="D12" s="11"/>
      <c r="E12" s="11"/>
    </row>
    <row r="13" spans="1:8" x14ac:dyDescent="0.25">
      <c r="A13" s="13" t="s">
        <v>2</v>
      </c>
      <c r="B13" s="13"/>
      <c r="C13" s="11"/>
      <c r="D13" s="11"/>
      <c r="E13" s="11"/>
    </row>
    <row r="14" spans="1:8" ht="30" customHeight="1" x14ac:dyDescent="0.25">
      <c r="A14" s="46" t="s">
        <v>3</v>
      </c>
      <c r="B14" s="46"/>
      <c r="C14" s="46"/>
      <c r="D14" s="46"/>
      <c r="E14" s="46"/>
      <c r="F14" s="4"/>
      <c r="G14" s="4"/>
      <c r="H14" s="4"/>
    </row>
    <row r="15" spans="1:8" x14ac:dyDescent="0.25">
      <c r="A15" s="3" t="s">
        <v>24</v>
      </c>
      <c r="B15" s="3" t="s">
        <v>40</v>
      </c>
      <c r="C15" s="3" t="s">
        <v>22</v>
      </c>
      <c r="D15" s="3" t="s">
        <v>25</v>
      </c>
      <c r="E15" s="3" t="s">
        <v>23</v>
      </c>
      <c r="F15" s="3"/>
      <c r="G15" s="3"/>
      <c r="H15" s="3"/>
    </row>
    <row r="16" spans="1:8" ht="220.5" customHeight="1" x14ac:dyDescent="0.25">
      <c r="A16" s="10" t="s">
        <v>46</v>
      </c>
      <c r="B16" s="17" t="s">
        <v>26</v>
      </c>
      <c r="C16" s="20">
        <v>320</v>
      </c>
      <c r="D16" s="21">
        <v>189.9</v>
      </c>
      <c r="E16" s="21">
        <f>C16*D16</f>
        <v>60768</v>
      </c>
      <c r="F16" s="3"/>
      <c r="G16" s="3"/>
      <c r="H16" s="3"/>
    </row>
    <row r="17" spans="1:7" ht="175.5" customHeight="1" x14ac:dyDescent="0.25">
      <c r="A17" s="34" t="s">
        <v>47</v>
      </c>
      <c r="B17" s="17" t="s">
        <v>26</v>
      </c>
      <c r="C17" s="20">
        <v>320</v>
      </c>
      <c r="D17" s="21">
        <v>95.69</v>
      </c>
      <c r="E17" s="21">
        <f>C17*D17</f>
        <v>30620.799999999999</v>
      </c>
    </row>
    <row r="18" spans="1:7" x14ac:dyDescent="0.25">
      <c r="A18" s="5"/>
      <c r="B18" s="5"/>
      <c r="C18" s="18"/>
      <c r="D18" s="19"/>
      <c r="E18" s="21"/>
      <c r="F18" s="14"/>
    </row>
    <row r="19" spans="1:7" x14ac:dyDescent="0.25">
      <c r="A19" s="5"/>
      <c r="B19" s="5"/>
      <c r="C19" s="11"/>
      <c r="D19" s="5" t="s">
        <v>5</v>
      </c>
      <c r="E19" s="22">
        <f>SUM(E17:E17)</f>
        <v>30620.799999999999</v>
      </c>
      <c r="F19" s="6"/>
      <c r="G19" s="22"/>
    </row>
    <row r="20" spans="1:7" x14ac:dyDescent="0.25">
      <c r="A20" s="5"/>
      <c r="B20" s="5"/>
      <c r="C20" s="5"/>
      <c r="D20" s="5" t="s">
        <v>6</v>
      </c>
      <c r="E20" s="22">
        <f>E19*16%</f>
        <v>4899.3280000000004</v>
      </c>
      <c r="F20" s="22"/>
      <c r="G20" s="22"/>
    </row>
    <row r="21" spans="1:7" x14ac:dyDescent="0.25">
      <c r="A21" s="5"/>
      <c r="B21" s="5"/>
      <c r="C21" s="15"/>
      <c r="D21" s="5" t="s">
        <v>7</v>
      </c>
      <c r="E21" s="22">
        <f>SUM(E19:E20)</f>
        <v>35520.127999999997</v>
      </c>
      <c r="F21" s="6"/>
      <c r="G21" s="22"/>
    </row>
    <row r="22" spans="1:7" x14ac:dyDescent="0.25">
      <c r="A22" s="5"/>
      <c r="B22" s="5"/>
      <c r="C22" s="15"/>
      <c r="D22" s="5"/>
      <c r="E22" s="5"/>
      <c r="F22" s="6"/>
    </row>
    <row r="23" spans="1:7" x14ac:dyDescent="0.25">
      <c r="A23" s="47" t="s">
        <v>50</v>
      </c>
      <c r="B23" s="47"/>
      <c r="C23" s="47"/>
      <c r="D23" s="47"/>
      <c r="E23" s="47"/>
    </row>
    <row r="24" spans="1:7" x14ac:dyDescent="0.25">
      <c r="A24" s="39" t="s">
        <v>49</v>
      </c>
      <c r="B24" s="39"/>
      <c r="C24" s="39"/>
      <c r="D24" s="39"/>
      <c r="E24" s="39"/>
    </row>
    <row r="25" spans="1:7" x14ac:dyDescent="0.25">
      <c r="A25" s="49" t="s">
        <v>8</v>
      </c>
      <c r="B25" s="49"/>
      <c r="C25" s="49"/>
      <c r="D25" s="49"/>
      <c r="E25" s="49"/>
    </row>
    <row r="26" spans="1:7" ht="69" customHeight="1" x14ac:dyDescent="0.25">
      <c r="A26" s="48" t="s">
        <v>48</v>
      </c>
      <c r="B26" s="48"/>
      <c r="C26" s="48"/>
      <c r="D26" s="48"/>
      <c r="E26" s="48"/>
      <c r="F26" s="6"/>
    </row>
    <row r="27" spans="1:7" x14ac:dyDescent="0.25">
      <c r="A27" s="3" t="s">
        <v>9</v>
      </c>
      <c r="B27" s="3"/>
      <c r="C27" s="11"/>
      <c r="D27" s="11"/>
      <c r="E27" s="11"/>
    </row>
    <row r="28" spans="1:7" ht="40.5" customHeight="1" x14ac:dyDescent="0.25">
      <c r="A28" s="48" t="s">
        <v>10</v>
      </c>
      <c r="B28" s="48"/>
      <c r="C28" s="48"/>
      <c r="D28" s="48"/>
      <c r="E28" s="48"/>
    </row>
    <row r="29" spans="1:7" ht="50.25" customHeight="1" x14ac:dyDescent="0.25">
      <c r="A29" s="50" t="s">
        <v>11</v>
      </c>
      <c r="B29" s="50"/>
      <c r="C29" s="50"/>
      <c r="D29" s="50"/>
      <c r="E29" s="50"/>
    </row>
    <row r="30" spans="1:7" ht="49.5" customHeight="1" x14ac:dyDescent="0.25">
      <c r="A30" s="50" t="s">
        <v>12</v>
      </c>
      <c r="B30" s="50"/>
      <c r="C30" s="50"/>
      <c r="D30" s="50"/>
      <c r="E30" s="50"/>
    </row>
    <row r="31" spans="1:7" ht="27.75" customHeight="1" x14ac:dyDescent="0.25">
      <c r="A31" s="50" t="s">
        <v>13</v>
      </c>
      <c r="B31" s="50"/>
      <c r="C31" s="50"/>
      <c r="D31" s="50"/>
      <c r="E31" s="50"/>
    </row>
    <row r="32" spans="1:7" ht="77.25" customHeight="1" x14ac:dyDescent="0.25">
      <c r="A32" s="48" t="s">
        <v>14</v>
      </c>
      <c r="B32" s="48"/>
      <c r="C32" s="48"/>
      <c r="D32" s="48"/>
      <c r="E32" s="48"/>
    </row>
    <row r="33" spans="1:5" ht="30.75" customHeight="1" x14ac:dyDescent="0.25">
      <c r="A33" s="48" t="s">
        <v>15</v>
      </c>
      <c r="B33" s="48"/>
      <c r="C33" s="48"/>
      <c r="D33" s="48"/>
      <c r="E33" s="48"/>
    </row>
    <row r="34" spans="1:5" ht="57" customHeight="1" x14ac:dyDescent="0.25">
      <c r="A34" s="48" t="s">
        <v>16</v>
      </c>
      <c r="B34" s="48"/>
      <c r="C34" s="48"/>
      <c r="D34" s="48"/>
      <c r="E34" s="48"/>
    </row>
    <row r="35" spans="1:5" ht="24" customHeight="1" x14ac:dyDescent="0.25">
      <c r="A35" s="48" t="s">
        <v>17</v>
      </c>
      <c r="B35" s="48"/>
      <c r="C35" s="48"/>
      <c r="D35" s="48"/>
      <c r="E35" s="11"/>
    </row>
    <row r="36" spans="1:5" ht="94.5" customHeight="1" x14ac:dyDescent="0.25">
      <c r="A36" s="51" t="s">
        <v>18</v>
      </c>
      <c r="B36" s="51"/>
      <c r="C36" s="51"/>
      <c r="D36" s="51"/>
      <c r="E36" s="51"/>
    </row>
    <row r="37" spans="1:5" ht="24.75" customHeight="1" x14ac:dyDescent="0.25">
      <c r="A37" s="48" t="s">
        <v>19</v>
      </c>
      <c r="B37" s="48"/>
      <c r="C37" s="48"/>
      <c r="D37" s="48"/>
      <c r="E37" s="48"/>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45" t="s">
        <v>27</v>
      </c>
      <c r="D40" s="45"/>
      <c r="E40" s="45"/>
    </row>
    <row r="41" spans="1:5" x14ac:dyDescent="0.25">
      <c r="A41" s="16"/>
      <c r="B41" s="16"/>
      <c r="C41" s="11"/>
      <c r="D41" s="11"/>
      <c r="E41" s="11"/>
    </row>
    <row r="42" spans="1:5" x14ac:dyDescent="0.25">
      <c r="A42" s="13"/>
      <c r="B42" s="13"/>
      <c r="C42" s="11"/>
      <c r="D42" s="11"/>
      <c r="E42" s="11"/>
    </row>
    <row r="43" spans="1:5" x14ac:dyDescent="0.25">
      <c r="A43" s="24" t="s">
        <v>42</v>
      </c>
      <c r="B43" s="24"/>
      <c r="C43" s="11"/>
      <c r="D43" s="11"/>
      <c r="E43" s="11"/>
    </row>
    <row r="44" spans="1:5" x14ac:dyDescent="0.25">
      <c r="A44" s="25" t="s">
        <v>41</v>
      </c>
      <c r="B44" s="25"/>
      <c r="C44" s="11"/>
      <c r="D44" s="11"/>
      <c r="E44" s="11"/>
    </row>
    <row r="45" spans="1:5" x14ac:dyDescent="0.25">
      <c r="A45" s="25"/>
      <c r="B45" s="25"/>
      <c r="C45" s="11"/>
      <c r="D45" s="11"/>
      <c r="E45" s="11"/>
    </row>
    <row r="46" spans="1:5" x14ac:dyDescent="0.25">
      <c r="A46" s="23"/>
      <c r="B46" s="23"/>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C40:E40"/>
    <mergeCell ref="A37:E37"/>
    <mergeCell ref="A25:E25"/>
    <mergeCell ref="A26:E26"/>
    <mergeCell ref="A28:E28"/>
    <mergeCell ref="A29:E29"/>
    <mergeCell ref="A32:E32"/>
    <mergeCell ref="A33:E33"/>
    <mergeCell ref="A34:E34"/>
    <mergeCell ref="A36:E36"/>
    <mergeCell ref="A35:D35"/>
    <mergeCell ref="A30:E30"/>
    <mergeCell ref="A31:E31"/>
    <mergeCell ref="A24:E24"/>
    <mergeCell ref="A14:E14"/>
    <mergeCell ref="A8:E8"/>
    <mergeCell ref="A2:E2"/>
    <mergeCell ref="A11:E11"/>
    <mergeCell ref="A23:E23"/>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2"/>
  <sheetViews>
    <sheetView tabSelected="1" topLeftCell="B13" zoomScaleNormal="100" zoomScalePageLayoutView="50" workbookViewId="0">
      <selection activeCell="L34" sqref="L34"/>
    </sheetView>
  </sheetViews>
  <sheetFormatPr baseColWidth="10" defaultRowHeight="15" x14ac:dyDescent="0.25"/>
  <cols>
    <col min="1" max="1" width="5.85546875" style="27" customWidth="1"/>
    <col min="2" max="2" width="52.140625" customWidth="1"/>
    <col min="3" max="3" width="14.28515625" customWidth="1"/>
    <col min="4" max="4" width="11.42578125" customWidth="1"/>
    <col min="5" max="5" width="10.85546875" customWidth="1"/>
    <col min="6" max="6" width="15.85546875" customWidth="1"/>
  </cols>
  <sheetData>
    <row r="4" spans="2:6" x14ac:dyDescent="0.25">
      <c r="B4" s="31"/>
      <c r="C4" s="31"/>
      <c r="D4" s="31"/>
      <c r="E4" s="31"/>
      <c r="F4" s="31"/>
    </row>
    <row r="5" spans="2:6" x14ac:dyDescent="0.25">
      <c r="B5" s="31"/>
      <c r="C5" s="31"/>
      <c r="D5" s="31"/>
      <c r="E5" s="31"/>
      <c r="F5" s="31"/>
    </row>
    <row r="6" spans="2:6" x14ac:dyDescent="0.25">
      <c r="B6" s="31"/>
      <c r="C6" s="31"/>
      <c r="D6" s="31"/>
      <c r="E6" s="31"/>
      <c r="F6" s="31"/>
    </row>
    <row r="7" spans="2:6" x14ac:dyDescent="0.25">
      <c r="B7" s="31"/>
      <c r="C7" s="31"/>
      <c r="D7" s="31"/>
      <c r="E7" s="31"/>
      <c r="F7" s="31"/>
    </row>
    <row r="8" spans="2:6" x14ac:dyDescent="0.25">
      <c r="B8" s="31"/>
      <c r="C8" s="31"/>
      <c r="D8" s="31"/>
      <c r="E8" s="31"/>
      <c r="F8" s="31"/>
    </row>
    <row r="9" spans="2:6" x14ac:dyDescent="0.25">
      <c r="B9" s="31"/>
      <c r="C9" s="31"/>
      <c r="D9" s="31"/>
      <c r="E9" s="31"/>
      <c r="F9" s="31"/>
    </row>
    <row r="10" spans="2:6" x14ac:dyDescent="0.25">
      <c r="B10" s="31"/>
      <c r="C10" s="31"/>
      <c r="D10" s="31"/>
      <c r="E10" s="31"/>
      <c r="F10" s="31"/>
    </row>
    <row r="11" spans="2:6" x14ac:dyDescent="0.25">
      <c r="B11" s="37" t="s">
        <v>58</v>
      </c>
      <c r="C11" s="37"/>
      <c r="D11" s="37"/>
      <c r="E11" s="37"/>
      <c r="F11" s="37"/>
    </row>
    <row r="12" spans="2:6" x14ac:dyDescent="0.25">
      <c r="B12" s="35"/>
      <c r="C12" s="35"/>
      <c r="D12" s="35"/>
      <c r="E12" s="35"/>
      <c r="F12" s="35"/>
    </row>
    <row r="13" spans="2:6" x14ac:dyDescent="0.25">
      <c r="B13" s="35"/>
      <c r="C13" s="35"/>
      <c r="D13" s="35"/>
      <c r="E13" s="35"/>
      <c r="F13" s="35"/>
    </row>
    <row r="14" spans="2:6" x14ac:dyDescent="0.25">
      <c r="B14" s="1" t="s">
        <v>55</v>
      </c>
      <c r="C14" s="1"/>
      <c r="D14" s="31"/>
      <c r="E14" s="31"/>
      <c r="F14" s="31"/>
    </row>
    <row r="15" spans="2:6" x14ac:dyDescent="0.25">
      <c r="B15" s="1" t="s">
        <v>0</v>
      </c>
      <c r="C15" s="1"/>
      <c r="D15" s="31"/>
      <c r="E15" s="31"/>
      <c r="F15" s="31"/>
    </row>
    <row r="16" spans="2:6" x14ac:dyDescent="0.25">
      <c r="B16" s="1"/>
      <c r="C16" s="1"/>
      <c r="D16" s="31"/>
      <c r="E16" s="31"/>
      <c r="F16" s="31"/>
    </row>
    <row r="17" spans="1:6" x14ac:dyDescent="0.25">
      <c r="B17" s="38" t="s">
        <v>56</v>
      </c>
      <c r="C17" s="38"/>
      <c r="D17" s="38"/>
      <c r="E17" s="38"/>
      <c r="F17" s="38"/>
    </row>
    <row r="18" spans="1:6" x14ac:dyDescent="0.25">
      <c r="B18" s="2"/>
      <c r="C18" s="2"/>
      <c r="D18" s="2"/>
      <c r="E18" s="2"/>
      <c r="F18" s="2"/>
    </row>
    <row r="19" spans="1:6" x14ac:dyDescent="0.25">
      <c r="B19" s="2"/>
      <c r="C19" s="2"/>
      <c r="D19" s="2"/>
      <c r="E19" s="2"/>
      <c r="F19" s="2"/>
    </row>
    <row r="20" spans="1:6" x14ac:dyDescent="0.25">
      <c r="B20" s="39"/>
      <c r="C20" s="39"/>
      <c r="D20" s="39"/>
      <c r="E20" s="39"/>
      <c r="F20" s="39"/>
    </row>
    <row r="21" spans="1:6" ht="12.75" customHeight="1" x14ac:dyDescent="0.25">
      <c r="B21" s="12" t="s">
        <v>59</v>
      </c>
      <c r="C21" s="12"/>
      <c r="D21" s="32"/>
      <c r="E21" s="32"/>
      <c r="F21" s="32"/>
    </row>
    <row r="22" spans="1:6" ht="13.5" customHeight="1" x14ac:dyDescent="0.25">
      <c r="B22" s="12" t="s">
        <v>54</v>
      </c>
      <c r="C22" s="13"/>
      <c r="D22" s="32"/>
      <c r="E22" s="32"/>
      <c r="F22" s="32"/>
    </row>
    <row r="23" spans="1:6" ht="13.5" customHeight="1" x14ac:dyDescent="0.25">
      <c r="B23" s="13"/>
      <c r="C23" s="13"/>
      <c r="D23" s="32"/>
      <c r="E23" s="32"/>
      <c r="F23" s="32"/>
    </row>
    <row r="24" spans="1:6" ht="15.75" customHeight="1" x14ac:dyDescent="0.25">
      <c r="B24" s="40" t="s">
        <v>52</v>
      </c>
      <c r="C24" s="40"/>
      <c r="D24" s="40"/>
      <c r="E24" s="40"/>
      <c r="F24" s="40"/>
    </row>
    <row r="25" spans="1:6" ht="15.75" customHeight="1" x14ac:dyDescent="0.25">
      <c r="B25" s="36"/>
      <c r="C25" s="36"/>
      <c r="D25" s="36"/>
      <c r="E25" s="36"/>
      <c r="F25" s="36"/>
    </row>
    <row r="26" spans="1:6" x14ac:dyDescent="0.25">
      <c r="B26" s="12" t="s">
        <v>24</v>
      </c>
      <c r="C26" s="12"/>
      <c r="D26" s="29" t="s">
        <v>22</v>
      </c>
      <c r="E26" s="29" t="s">
        <v>31</v>
      </c>
      <c r="F26" s="2" t="s">
        <v>23</v>
      </c>
    </row>
    <row r="27" spans="1:6" x14ac:dyDescent="0.25">
      <c r="B27" s="12"/>
      <c r="C27" s="12"/>
      <c r="D27" s="2"/>
      <c r="E27" s="2"/>
      <c r="F27" s="2"/>
    </row>
    <row r="28" spans="1:6" x14ac:dyDescent="0.25">
      <c r="B28" s="12"/>
      <c r="C28" s="12"/>
      <c r="D28" s="2"/>
      <c r="E28" s="2"/>
      <c r="F28" s="2"/>
    </row>
    <row r="29" spans="1:6" x14ac:dyDescent="0.25">
      <c r="B29" s="53" t="s">
        <v>62</v>
      </c>
      <c r="C29" s="54" t="s">
        <v>60</v>
      </c>
      <c r="D29" s="52">
        <v>1</v>
      </c>
      <c r="E29" s="56">
        <v>1406.68</v>
      </c>
      <c r="F29" s="55">
        <f>D29*E29</f>
        <v>1406.68</v>
      </c>
    </row>
    <row r="30" spans="1:6" x14ac:dyDescent="0.25">
      <c r="B30" s="60" t="s">
        <v>63</v>
      </c>
      <c r="C30" s="61" t="s">
        <v>60</v>
      </c>
      <c r="D30" s="59">
        <v>1</v>
      </c>
      <c r="E30" s="63">
        <v>1550.79</v>
      </c>
      <c r="F30" s="55">
        <f>D30*E30</f>
        <v>1550.79</v>
      </c>
    </row>
    <row r="31" spans="1:6" s="57" customFormat="1" x14ac:dyDescent="0.25">
      <c r="A31" s="58"/>
      <c r="B31" s="60" t="s">
        <v>61</v>
      </c>
      <c r="C31" s="61" t="s">
        <v>60</v>
      </c>
      <c r="D31" s="59">
        <v>1</v>
      </c>
      <c r="E31" s="63">
        <v>3324.39</v>
      </c>
      <c r="F31" s="55">
        <f>D31*E31</f>
        <v>3324.39</v>
      </c>
    </row>
    <row r="32" spans="1:6" s="57" customFormat="1" x14ac:dyDescent="0.25">
      <c r="A32" s="58"/>
      <c r="B32" s="60"/>
      <c r="C32" s="61"/>
      <c r="D32" s="59"/>
      <c r="E32" s="63"/>
      <c r="F32" s="62"/>
    </row>
    <row r="33" spans="2:11" x14ac:dyDescent="0.25">
      <c r="B33" s="5"/>
      <c r="C33" s="5"/>
      <c r="D33" s="5"/>
      <c r="E33" s="5" t="s">
        <v>5</v>
      </c>
      <c r="F33" s="22">
        <f>F29+F30+F31</f>
        <v>6281.8600000000006</v>
      </c>
      <c r="H33" s="5"/>
      <c r="I33" s="22"/>
    </row>
    <row r="34" spans="2:11" x14ac:dyDescent="0.25">
      <c r="B34" s="5"/>
      <c r="C34" s="5"/>
      <c r="D34" s="28"/>
      <c r="E34" s="5" t="s">
        <v>6</v>
      </c>
      <c r="F34" s="22">
        <f>F33*16%</f>
        <v>1005.0976000000002</v>
      </c>
      <c r="H34" s="5"/>
      <c r="I34" s="22"/>
    </row>
    <row r="35" spans="2:11" x14ac:dyDescent="0.25">
      <c r="B35" s="5"/>
      <c r="C35" s="5"/>
      <c r="D35" s="28"/>
      <c r="E35" s="5" t="s">
        <v>7</v>
      </c>
      <c r="F35" s="22">
        <f>F33+F34</f>
        <v>7286.9576000000006</v>
      </c>
      <c r="H35" s="5"/>
      <c r="I35" s="22"/>
    </row>
    <row r="36" spans="2:11" x14ac:dyDescent="0.25">
      <c r="B36" s="5"/>
      <c r="C36" s="5"/>
      <c r="D36" s="28"/>
      <c r="E36" s="5"/>
      <c r="F36" s="22"/>
      <c r="H36" s="5"/>
      <c r="I36" s="22"/>
    </row>
    <row r="37" spans="2:11" x14ac:dyDescent="0.25">
      <c r="B37" s="5"/>
      <c r="C37" s="5"/>
      <c r="D37" s="28"/>
      <c r="E37" s="5"/>
      <c r="F37" s="22"/>
    </row>
    <row r="38" spans="2:11" x14ac:dyDescent="0.25">
      <c r="B38" s="1" t="s">
        <v>29</v>
      </c>
      <c r="C38" s="1"/>
      <c r="D38" s="31"/>
      <c r="E38" s="31"/>
      <c r="F38" s="31"/>
    </row>
    <row r="39" spans="2:11" ht="28.5" customHeight="1" x14ac:dyDescent="0.25">
      <c r="B39" s="40" t="s">
        <v>32</v>
      </c>
      <c r="C39" s="40"/>
      <c r="D39" s="40"/>
      <c r="E39" s="40"/>
      <c r="F39" s="40"/>
      <c r="J39" s="5"/>
      <c r="K39" s="22"/>
    </row>
    <row r="40" spans="2:11" ht="17.25" customHeight="1" x14ac:dyDescent="0.25">
      <c r="B40" s="40" t="s">
        <v>33</v>
      </c>
      <c r="C40" s="40"/>
      <c r="D40" s="40"/>
      <c r="E40" s="40"/>
      <c r="F40" s="40"/>
      <c r="J40" s="5"/>
      <c r="K40" s="22"/>
    </row>
    <row r="41" spans="2:11" ht="15" customHeight="1" x14ac:dyDescent="0.25">
      <c r="B41" s="40" t="s">
        <v>34</v>
      </c>
      <c r="C41" s="40"/>
      <c r="D41" s="40"/>
      <c r="E41" s="40"/>
      <c r="F41" s="40"/>
      <c r="J41" s="5"/>
      <c r="K41" s="22"/>
    </row>
    <row r="42" spans="2:11" ht="18" customHeight="1" x14ac:dyDescent="0.25">
      <c r="B42" s="40" t="s">
        <v>35</v>
      </c>
      <c r="C42" s="40"/>
      <c r="D42" s="40"/>
      <c r="E42" s="40"/>
      <c r="F42" s="40"/>
    </row>
    <row r="43" spans="2:11" ht="96.75" customHeight="1" x14ac:dyDescent="0.25">
      <c r="B43" s="40" t="s">
        <v>36</v>
      </c>
      <c r="C43" s="40"/>
      <c r="D43" s="40"/>
      <c r="E43" s="40"/>
      <c r="F43" s="40"/>
    </row>
    <row r="44" spans="2:11" x14ac:dyDescent="0.25">
      <c r="B44" s="31"/>
      <c r="C44" s="31"/>
      <c r="D44" s="31"/>
      <c r="E44" s="31"/>
      <c r="F44" s="31"/>
      <c r="H44" s="26"/>
    </row>
    <row r="45" spans="2:11" x14ac:dyDescent="0.25">
      <c r="B45" s="31"/>
      <c r="C45" s="31"/>
      <c r="D45" s="31"/>
      <c r="E45" s="31"/>
      <c r="F45" s="31"/>
      <c r="H45" s="26"/>
    </row>
    <row r="46" spans="2:11" x14ac:dyDescent="0.25">
      <c r="B46" s="31"/>
      <c r="C46" s="31"/>
      <c r="D46" s="31"/>
      <c r="E46" s="31"/>
      <c r="F46" s="31"/>
      <c r="H46" s="26"/>
    </row>
    <row r="47" spans="2:11" x14ac:dyDescent="0.25">
      <c r="B47" s="31"/>
      <c r="C47" s="31"/>
      <c r="D47" s="31"/>
      <c r="E47" s="31"/>
      <c r="F47" s="31"/>
      <c r="H47" s="26"/>
    </row>
    <row r="48" spans="2:11" x14ac:dyDescent="0.25">
      <c r="B48" s="31"/>
      <c r="C48" s="31"/>
      <c r="D48" s="31"/>
      <c r="E48" s="31"/>
      <c r="F48" s="31"/>
      <c r="H48" s="26"/>
    </row>
    <row r="49" spans="2:15" x14ac:dyDescent="0.25">
      <c r="B49" s="8" t="s">
        <v>37</v>
      </c>
      <c r="C49" s="8"/>
      <c r="D49" s="43" t="s">
        <v>38</v>
      </c>
      <c r="E49" s="43"/>
      <c r="F49" s="43"/>
    </row>
    <row r="50" spans="2:15" x14ac:dyDescent="0.25">
      <c r="B50" s="13"/>
      <c r="C50" s="13"/>
      <c r="D50" s="32"/>
      <c r="E50" s="32"/>
      <c r="F50" s="32"/>
    </row>
    <row r="51" spans="2:15" x14ac:dyDescent="0.25">
      <c r="B51" s="13"/>
      <c r="C51" s="13"/>
      <c r="D51" s="32"/>
      <c r="E51" s="32"/>
      <c r="F51" s="32"/>
    </row>
    <row r="52" spans="2:15" x14ac:dyDescent="0.25">
      <c r="B52" s="24" t="s">
        <v>39</v>
      </c>
      <c r="C52" s="24"/>
      <c r="D52" s="32"/>
      <c r="E52" s="32"/>
      <c r="F52" s="32"/>
    </row>
    <row r="53" spans="2:15" x14ac:dyDescent="0.25">
      <c r="B53" s="33" t="s">
        <v>57</v>
      </c>
      <c r="C53" s="44" t="s">
        <v>53</v>
      </c>
      <c r="D53" s="45"/>
      <c r="E53" s="45"/>
      <c r="F53" s="45"/>
    </row>
    <row r="54" spans="2:15" x14ac:dyDescent="0.25">
      <c r="B54" s="25"/>
      <c r="C54" s="25"/>
      <c r="D54" s="32"/>
      <c r="E54" s="32"/>
      <c r="F54" s="32"/>
    </row>
    <row r="55" spans="2:15" x14ac:dyDescent="0.25">
      <c r="B55" s="41" t="s">
        <v>30</v>
      </c>
      <c r="C55" s="41"/>
      <c r="D55" s="42"/>
      <c r="E55" s="42"/>
      <c r="F55" s="42"/>
      <c r="G55" s="30"/>
      <c r="H55" s="30"/>
      <c r="I55" s="30"/>
      <c r="J55" s="30"/>
      <c r="K55" s="30"/>
      <c r="L55" s="30"/>
      <c r="M55" s="30"/>
      <c r="N55" s="30"/>
      <c r="O55" s="30"/>
    </row>
    <row r="56" spans="2:15" x14ac:dyDescent="0.25">
      <c r="B56" s="42"/>
      <c r="C56" s="42"/>
      <c r="D56" s="42"/>
      <c r="E56" s="42"/>
      <c r="F56" s="42"/>
      <c r="G56" s="30"/>
      <c r="H56" s="30"/>
      <c r="I56" s="30"/>
      <c r="J56" s="30"/>
      <c r="K56" s="30"/>
      <c r="L56" s="30"/>
      <c r="M56" s="30"/>
      <c r="N56" s="30"/>
      <c r="O56" s="30"/>
    </row>
    <row r="57" spans="2:15" x14ac:dyDescent="0.25">
      <c r="B57" s="42"/>
      <c r="C57" s="42"/>
      <c r="D57" s="42"/>
      <c r="E57" s="42"/>
      <c r="F57" s="42"/>
      <c r="G57" s="30"/>
      <c r="H57" s="30"/>
      <c r="I57" s="30"/>
      <c r="J57" s="30"/>
      <c r="K57" s="30"/>
      <c r="L57" s="30"/>
      <c r="M57" s="30"/>
      <c r="N57" s="30"/>
      <c r="O57" s="30"/>
    </row>
    <row r="58" spans="2:15" x14ac:dyDescent="0.25">
      <c r="B58" s="42"/>
      <c r="C58" s="42"/>
      <c r="D58" s="42"/>
      <c r="E58" s="42"/>
      <c r="F58" s="42"/>
      <c r="G58" s="30"/>
      <c r="H58" s="30"/>
      <c r="I58" s="30"/>
      <c r="J58" s="30"/>
      <c r="K58" s="30"/>
      <c r="L58" s="30"/>
      <c r="M58" s="30"/>
      <c r="N58" s="30"/>
      <c r="O58" s="30"/>
    </row>
    <row r="59" spans="2:15" x14ac:dyDescent="0.25">
      <c r="B59" s="30"/>
      <c r="C59" s="30"/>
      <c r="D59" s="30"/>
      <c r="E59" s="30"/>
      <c r="F59" s="30"/>
      <c r="G59" s="30"/>
      <c r="H59" s="30"/>
      <c r="I59" s="30"/>
      <c r="J59" s="30"/>
      <c r="K59" s="30"/>
      <c r="L59" s="30"/>
      <c r="M59" s="30"/>
      <c r="N59" s="30"/>
      <c r="O59" s="30"/>
    </row>
    <row r="60" spans="2:15" x14ac:dyDescent="0.25">
      <c r="B60" s="30"/>
      <c r="C60" s="30"/>
      <c r="D60" s="30"/>
      <c r="E60" s="30"/>
      <c r="F60" s="30"/>
      <c r="G60" s="30"/>
      <c r="H60" s="30"/>
      <c r="I60" s="30"/>
      <c r="J60" s="30"/>
      <c r="K60" s="30"/>
      <c r="L60" s="30"/>
      <c r="M60" s="30"/>
      <c r="N60" s="30"/>
      <c r="O60" s="30"/>
    </row>
    <row r="61" spans="2:15" x14ac:dyDescent="0.25">
      <c r="B61" s="30"/>
      <c r="C61" s="30"/>
      <c r="D61" s="30"/>
      <c r="E61" s="30"/>
      <c r="F61" s="30"/>
      <c r="G61" s="30"/>
      <c r="H61" s="30"/>
      <c r="I61" s="30"/>
      <c r="J61" s="30"/>
      <c r="K61" s="30"/>
      <c r="L61" s="30"/>
      <c r="M61" s="30"/>
      <c r="N61" s="30"/>
      <c r="O61" s="30"/>
    </row>
    <row r="62" spans="2:15" x14ac:dyDescent="0.25">
      <c r="B62" s="30"/>
      <c r="C62" s="30"/>
      <c r="D62" s="30"/>
      <c r="E62" s="30"/>
      <c r="F62" s="30"/>
      <c r="G62" s="30"/>
      <c r="H62" s="30"/>
      <c r="I62" s="30"/>
      <c r="J62" s="30"/>
      <c r="K62" s="30"/>
      <c r="L62" s="30"/>
      <c r="M62" s="30"/>
      <c r="N62" s="30"/>
      <c r="O62" s="30"/>
    </row>
  </sheetData>
  <mergeCells count="12">
    <mergeCell ref="B55:F58"/>
    <mergeCell ref="D49:F49"/>
    <mergeCell ref="B39:F39"/>
    <mergeCell ref="B40:F40"/>
    <mergeCell ref="B41:F41"/>
    <mergeCell ref="B42:F42"/>
    <mergeCell ref="C53:F53"/>
    <mergeCell ref="B11:F11"/>
    <mergeCell ref="B17:F17"/>
    <mergeCell ref="B20:F20"/>
    <mergeCell ref="B24:F24"/>
    <mergeCell ref="B43:F43"/>
  </mergeCells>
  <pageMargins left="0.7" right="0.7" top="0.75" bottom="0.75" header="0.3" footer="0.3"/>
  <pageSetup paperSize="9" scale="7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2026-05-20T22:37:01Z</cp:lastPrinted>
  <dcterms:created xsi:type="dcterms:W3CDTF">2020-12-14T19:54:01Z</dcterms:created>
  <dcterms:modified xsi:type="dcterms:W3CDTF">2026-05-20T22:38:48Z</dcterms:modified>
</cp:coreProperties>
</file>