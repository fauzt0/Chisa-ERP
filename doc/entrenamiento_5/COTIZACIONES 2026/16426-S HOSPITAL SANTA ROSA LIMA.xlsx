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6641B029-9A43-4EF5-A8FE-B7D315B17DF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3" l="1"/>
  <c r="F27" i="3"/>
  <c r="F30" i="3" l="1"/>
  <c r="F29" i="3"/>
  <c r="F28" i="3"/>
  <c r="D21" i="1" l="1"/>
  <c r="D22" i="1" s="1"/>
  <c r="F35" i="3" l="1"/>
  <c r="F36" i="3" s="1"/>
</calcChain>
</file>

<file path=xl/sharedStrings.xml><?xml version="1.0" encoding="utf-8"?>
<sst xmlns="http://schemas.openxmlformats.org/spreadsheetml/2006/main" count="71" uniqueCount="62">
  <si>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</si>
  <si>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</si>
  <si>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</si>
  <si>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</si>
  <si>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</si>
  <si>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</si>
  <si>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</si>
  <si>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</si>
  <si>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</si>
  <si>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</si>
  <si>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</si>
  <si>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</si>
  <si>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</si>
  <si>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</si>
  <si>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</si>
  <si>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</si>
  <si>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</si>
  <si>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</si>
  <si>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</si>
  <si>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</si>
  <si>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</si>
  <si>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</si>
  <si>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</si>
  <si>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</si>
  <si>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</si>
  <si>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</si>
  <si>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</si>
  <si>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</si>
  <si>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</si>
  <si>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</si>
  <si>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</si>
  <si>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</si>
  <si>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</si>
  <si>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</si>
  <si>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</si>
  <si>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</si>
  <si>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</si>
  <si>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</si>
  <si>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</si>
  <si>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</si>
  <si>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</si>
  <si>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</si>
  <si>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</si>
  <si>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</si>
  <si>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</si>
  <si>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</si>
  <si>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</si>
  <si>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</si>
  <si>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</si>
  <si>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</si>
  <si>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>RFC: CRE-880613-DY4</t>
  </si>
  <si>
    <t xml:space="preserve">                                         CHISA RECUBRIMIENTOS, S.A DE C.V</t>
  </si>
  <si>
    <t>CIUDAD DE MEXICO A 23 DE FEBRERO DEL 2026</t>
  </si>
  <si>
    <t>3.- CHISA GLASS REF. S.M.A (REND. 55-60M2)</t>
  </si>
  <si>
    <t>OBRA: HOSPITAL SANTA ROSA LIMA</t>
  </si>
  <si>
    <t xml:space="preserve">1.- SELLADOR INICIAL  (REND. 90M2) </t>
  </si>
  <si>
    <t xml:space="preserve">2.- PRAIMER GLASS REF. S.M.A (REND. 85M2) </t>
  </si>
  <si>
    <t>4.- VITROGLASS REF. S.M.A (REND. 180M2)</t>
  </si>
  <si>
    <t>PRES. REF. 16426-S/2026CG</t>
  </si>
  <si>
    <t>AT´N: ALDO FLORES</t>
  </si>
  <si>
    <r>
      <t xml:space="preserve">                               ALDO FLORES</t>
    </r>
    <r>
      <rPr>
        <b/>
        <sz val="9"/>
        <color theme="1"/>
        <rFont val="Times New Roman"/>
        <family val="1"/>
      </rPr>
      <t xml:space="preserve">                                                                                                                </t>
    </r>
    <r>
      <rPr>
        <b/>
        <sz val="8"/>
        <color theme="1"/>
        <rFont val="Times New Roman"/>
        <family val="1"/>
      </rPr>
      <t>CHISA RECUBRIMIENTOS</t>
    </r>
    <r>
      <rPr>
        <b/>
        <sz val="9"/>
        <color theme="1"/>
        <rFont val="Times New Roman"/>
        <family val="1"/>
      </rPr>
      <t xml:space="preserve"> SA DE CV</t>
    </r>
  </si>
  <si>
    <t>CONSTRUCTORA: SDUOP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</si>
</sst>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b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164" fontId="1" fillId="0" borderId="0" xfId="1" applyNumberFormat="1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justify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</cellXfs>
  <cellStyles count="36">
    <cellStyle name="Moneda" xfId="1" builtinId="4"/>
    <cellStyle name="Moneda 10" xfId="7" xr:uid="{F5ABECD8-240E-418C-879B-9CE9BA8C9383}"/>
    <cellStyle name="Moneda 2" xfId="3" xr:uid="{D3D43636-F670-4A3B-86BA-3AD6C377F933}"/>
    <cellStyle name="Moneda 2 2" xfId="6" xr:uid="{B9BF51E9-79A0-4D6C-98B8-BEF01062A514}"/>
    <cellStyle name="Moneda 2 2 2" xfId="19" xr:uid="{9695A49F-B014-4898-9580-24D14C5055C1}"/>
    <cellStyle name="Moneda 2 2 3" xfId="28" xr:uid="{B227B2C6-4301-4267-A89B-E9E28093BF9C}"/>
    <cellStyle name="Moneda 2 2 4" xfId="35" xr:uid="{02FC5558-29BA-400A-97F5-293897AE709F}"/>
    <cellStyle name="Moneda 2 2 5" xfId="12" xr:uid="{DFB197DE-4AA5-49D1-AE1B-ECA848D8E44D}"/>
    <cellStyle name="Moneda 2 3" xfId="16" xr:uid="{9A364B5B-9B9B-4CD2-B45A-40A61E2DD04C}"/>
    <cellStyle name="Moneda 2 4" xfId="22" xr:uid="{23D5859E-08F2-4F48-876A-02C6B4EEE369}"/>
    <cellStyle name="Moneda 2 5" xfId="25" xr:uid="{F2A4EEC3-D5A9-4B3E-B1B6-4792632CA67B}"/>
    <cellStyle name="Moneda 2 6" xfId="31" xr:uid="{17A243AD-53D1-4B61-880A-197077365004}"/>
    <cellStyle name="Moneda 2 7" xfId="9" xr:uid="{5B7AB902-FD3B-4BF0-8575-A3E6B0A75A6C}"/>
    <cellStyle name="Moneda 3" xfId="2" xr:uid="{7EC489B4-E676-4390-AA02-61E720AF151B}"/>
    <cellStyle name="Moneda 3 2" xfId="5" xr:uid="{54D45928-7C5D-432D-94C9-47D8EA846E78}"/>
    <cellStyle name="Moneda 3 2 2" xfId="18" xr:uid="{C9448814-F992-4B6F-AB91-26B3A821C7E1}"/>
    <cellStyle name="Moneda 3 2 3" xfId="27" xr:uid="{A4045161-75B8-462D-B996-89D4533FCAA9}"/>
    <cellStyle name="Moneda 3 2 4" xfId="34" xr:uid="{4C64C513-B2AC-4095-8F0A-48E4F9D8243B}"/>
    <cellStyle name="Moneda 3 2 5" xfId="11" xr:uid="{38BD9157-E124-402A-BB3D-65E04B2D6088}"/>
    <cellStyle name="Moneda 3 3" xfId="15" xr:uid="{48348779-9D53-4FCA-886D-9E4CBA2CB035}"/>
    <cellStyle name="Moneda 3 4" xfId="24" xr:uid="{FFE8188C-AF7F-4634-B267-00A4DF5C7C3F}"/>
    <cellStyle name="Moneda 3 5" xfId="30" xr:uid="{3E184596-6C03-48AE-8E75-554C8C21FB0D}"/>
    <cellStyle name="Moneda 3 6" xfId="8" xr:uid="{F89FDC13-4328-4579-9735-4BF517954F6A}"/>
    <cellStyle name="Moneda 4" xfId="4" xr:uid="{B22E587E-BDF3-423E-A826-5C51B4AD70C8}"/>
    <cellStyle name="Moneda 4 2" xfId="17" xr:uid="{3BFDE527-639E-44EE-9B2E-8FD93786993E}"/>
    <cellStyle name="Moneda 4 3" xfId="26" xr:uid="{12554CB0-4A0B-4E35-97A0-1D12FB002EF2}"/>
    <cellStyle name="Moneda 4 4" xfId="32" xr:uid="{58C6629D-2213-42DA-8075-13CE152D6D04}"/>
    <cellStyle name="Moneda 4 5" xfId="10" xr:uid="{7C0BF729-0A29-43C0-AE2E-850E13315F5F}"/>
    <cellStyle name="Moneda 5" xfId="13" xr:uid="{EC27D3C7-C2B6-40A4-9503-62B9DC637053}"/>
    <cellStyle name="Moneda 5 2" xfId="20" xr:uid="{516B8A17-A715-4FA8-8E70-8783894AE7E9}"/>
    <cellStyle name="Moneda 5 3" xfId="33" xr:uid="{D25AF099-E650-4B69-B276-838066D6C66A}"/>
    <cellStyle name="Moneda 6" xfId="14" xr:uid="{436E39FD-C383-42F0-BF3F-0FFF6C0A22EF}"/>
    <cellStyle name="Moneda 7" xfId="21" xr:uid="{9A223F98-4537-4EA8-98F6-972216251FA7}"/>
    <cellStyle name="Moneda 8" xfId="23" xr:uid="{83104C9E-0395-4AC0-A845-2DA60A7B0481}"/>
    <cellStyle name="Moneda 9" xfId="29" xr:uid="{80BA758D-E77F-4679-9189-DCBD8CE4F59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400050</xdr:colOff>
      <xdr:row>0</xdr:row>
      <xdr:rowOff>152400</xdr:rowOff>
    </xdr:from>
    <xdr:to>
      <xdr:col>5</xdr:col>
      <xdr:colOff>571500</xdr:colOff>
      <xdr:row>5</xdr:row>
      <xdr:rowOff>85725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0" y="152400"/>
          <a:ext cx="1647825" cy="885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3"/>
      <c r="B1" s="54"/>
      <c r="C1" s="54"/>
      <c r="D1" s="54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60" t="s">
        <v>37</v>
      </c>
      <c r="B4" s="60"/>
      <c r="C4" s="60"/>
      <c r="D4" s="60"/>
      <c r="E4" s="6"/>
    </row>
    <row r="5" spans="1:7" ht="12" customHeight="1" x14ac:dyDescent="0.25">
      <c r="A5" s="25"/>
      <c r="B5" s="25"/>
      <c r="C5" s="25"/>
      <c r="D5" s="25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61" t="s">
        <v>38</v>
      </c>
      <c r="B10" s="61"/>
      <c r="C10" s="61"/>
      <c r="D10" s="61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5" t="s">
        <v>40</v>
      </c>
      <c r="B13" s="56"/>
      <c r="C13" s="56"/>
      <c r="D13" s="56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8" t="s">
        <v>32</v>
      </c>
      <c r="B16" s="58"/>
      <c r="C16" s="58"/>
      <c r="D16" s="58"/>
      <c r="E16" s="3"/>
      <c r="F16" s="3"/>
      <c r="G16" s="3"/>
    </row>
    <row r="17" spans="1:7" ht="21.75" customHeight="1" x14ac:dyDescent="0.25">
      <c r="A17" s="27" t="s">
        <v>33</v>
      </c>
      <c r="B17" s="23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6" t="s">
        <v>34</v>
      </c>
      <c r="B18" s="32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6"/>
      <c r="B19" s="28"/>
      <c r="C19" s="22"/>
      <c r="D19" s="22"/>
    </row>
    <row r="20" spans="1:7" ht="18.75" customHeight="1" x14ac:dyDescent="0.25">
      <c r="A20" s="4"/>
      <c r="B20" s="29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0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2" t="s">
        <v>41</v>
      </c>
      <c r="B25" s="62"/>
      <c r="C25" s="62"/>
      <c r="D25" s="62"/>
      <c r="E25" s="11"/>
      <c r="F25" s="11"/>
    </row>
    <row r="26" spans="1:7" ht="12" customHeight="1" x14ac:dyDescent="0.25">
      <c r="A26" s="63" t="s">
        <v>6</v>
      </c>
      <c r="B26" s="63"/>
      <c r="C26" s="63"/>
      <c r="D26" s="63"/>
      <c r="E26" s="5"/>
      <c r="F26" s="11"/>
    </row>
    <row r="27" spans="1:7" ht="57" customHeight="1" x14ac:dyDescent="0.25">
      <c r="A27" s="57" t="s">
        <v>35</v>
      </c>
      <c r="B27" s="57"/>
      <c r="C27" s="57"/>
      <c r="D27" s="57"/>
      <c r="E27" s="5"/>
      <c r="F27" s="11"/>
    </row>
    <row r="28" spans="1:7" ht="15" customHeight="1" x14ac:dyDescent="0.25">
      <c r="A28" s="63" t="s">
        <v>7</v>
      </c>
      <c r="B28" s="63"/>
      <c r="C28" s="63"/>
      <c r="D28" s="63"/>
      <c r="E28" s="5"/>
    </row>
    <row r="29" spans="1:7" ht="33.75" customHeight="1" x14ac:dyDescent="0.25">
      <c r="A29" s="57" t="s">
        <v>8</v>
      </c>
      <c r="B29" s="57"/>
      <c r="C29" s="57"/>
      <c r="D29" s="57"/>
    </row>
    <row r="30" spans="1:7" ht="51" customHeight="1" x14ac:dyDescent="0.25">
      <c r="A30" s="58" t="s">
        <v>9</v>
      </c>
      <c r="B30" s="58"/>
      <c r="C30" s="58"/>
      <c r="D30" s="58"/>
    </row>
    <row r="31" spans="1:7" ht="57" customHeight="1" x14ac:dyDescent="0.25">
      <c r="A31" s="58" t="s">
        <v>10</v>
      </c>
      <c r="B31" s="58"/>
      <c r="C31" s="58"/>
      <c r="D31" s="58"/>
    </row>
    <row r="32" spans="1:7" ht="25.5" customHeight="1" x14ac:dyDescent="0.25">
      <c r="A32" s="58" t="s">
        <v>11</v>
      </c>
      <c r="B32" s="58"/>
      <c r="C32" s="58"/>
      <c r="D32" s="58"/>
      <c r="E32" s="5"/>
    </row>
    <row r="33" spans="1:4" ht="72" customHeight="1" x14ac:dyDescent="0.25">
      <c r="A33" s="57" t="s">
        <v>12</v>
      </c>
      <c r="B33" s="57"/>
      <c r="C33" s="57"/>
      <c r="D33" s="57"/>
    </row>
    <row r="34" spans="1:4" ht="27.75" customHeight="1" x14ac:dyDescent="0.25">
      <c r="A34" s="57" t="s">
        <v>13</v>
      </c>
      <c r="B34" s="57"/>
      <c r="C34" s="57"/>
      <c r="D34" s="57"/>
    </row>
    <row r="35" spans="1:4" ht="61.5" customHeight="1" x14ac:dyDescent="0.25">
      <c r="A35" s="57" t="s">
        <v>14</v>
      </c>
      <c r="B35" s="57"/>
      <c r="C35" s="57"/>
      <c r="D35" s="57"/>
    </row>
    <row r="36" spans="1:4" ht="25.5" customHeight="1" x14ac:dyDescent="0.25">
      <c r="A36" s="57" t="s">
        <v>15</v>
      </c>
      <c r="B36" s="57"/>
      <c r="C36" s="57"/>
      <c r="D36" s="57"/>
    </row>
    <row r="37" spans="1:4" ht="68.25" customHeight="1" x14ac:dyDescent="0.25">
      <c r="A37" s="58" t="s">
        <v>16</v>
      </c>
      <c r="B37" s="58"/>
      <c r="C37" s="58"/>
      <c r="D37" s="58"/>
    </row>
    <row r="38" spans="1:4" ht="29.25" customHeight="1" x14ac:dyDescent="0.25">
      <c r="A38" s="57" t="s">
        <v>17</v>
      </c>
      <c r="B38" s="57"/>
      <c r="C38" s="57"/>
      <c r="D38" s="57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4" t="s">
        <v>22</v>
      </c>
      <c r="B40" s="59" t="s">
        <v>31</v>
      </c>
      <c r="C40" s="59"/>
      <c r="D40" s="59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1"/>
      <c r="B45" s="31"/>
      <c r="C45" s="31"/>
      <c r="D45" s="31"/>
    </row>
    <row r="46" spans="1:4" x14ac:dyDescent="0.25">
      <c r="A46" s="31"/>
      <c r="B46" s="31"/>
      <c r="C46" s="31"/>
      <c r="D46" s="31"/>
    </row>
    <row r="47" spans="1:4" x14ac:dyDescent="0.25">
      <c r="A47" s="31"/>
      <c r="B47" s="31"/>
      <c r="C47" s="31"/>
      <c r="D47" s="31"/>
    </row>
    <row r="48" spans="1:4" x14ac:dyDescent="0.25">
      <c r="A48" s="31"/>
      <c r="B48" s="31"/>
      <c r="C48" s="31"/>
      <c r="D48" s="31"/>
    </row>
    <row r="49" spans="1:4" x14ac:dyDescent="0.25">
      <c r="A49" s="31"/>
      <c r="B49" s="31"/>
      <c r="C49" s="31"/>
      <c r="D49" s="31"/>
    </row>
    <row r="50" spans="1:4" x14ac:dyDescent="0.25">
      <c r="A50" s="31"/>
      <c r="B50" s="31"/>
      <c r="C50" s="31"/>
      <c r="D50" s="31"/>
    </row>
    <row r="51" spans="1:4" x14ac:dyDescent="0.25">
      <c r="A51" s="31"/>
      <c r="B51" s="31"/>
      <c r="C51" s="31"/>
      <c r="D51" s="31"/>
    </row>
    <row r="52" spans="1:4" x14ac:dyDescent="0.25">
      <c r="A52" s="31"/>
      <c r="B52" s="31"/>
      <c r="C52" s="31"/>
      <c r="D52" s="31"/>
    </row>
    <row r="53" spans="1:4" x14ac:dyDescent="0.25">
      <c r="A53" s="31"/>
      <c r="B53" s="31"/>
      <c r="C53" s="31"/>
      <c r="D53" s="31"/>
    </row>
    <row r="54" spans="1:4" x14ac:dyDescent="0.25">
      <c r="A54" s="31"/>
      <c r="B54" s="31"/>
      <c r="C54" s="31"/>
      <c r="D54" s="31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2"/>
  <sheetViews>
    <sheetView tabSelected="1" zoomScaleNormal="100" zoomScalePageLayoutView="50" workbookViewId="0">
      <selection activeCell="B11" sqref="B11"/>
    </sheetView>
  </sheetViews>
  <sheetFormatPr baseColWidth="10" defaultRowHeight="15" x14ac:dyDescent="0.25"/>
  <cols>
    <col min="1" max="1" width="1.7109375" style="15" customWidth="1"/>
    <col min="2" max="2" width="52.140625" customWidth="1"/>
    <col min="3" max="3" width="11.5703125" customWidth="1"/>
    <col min="4" max="4" width="11.42578125" customWidth="1"/>
    <col min="5" max="5" width="10.7109375" customWidth="1"/>
    <col min="6" max="6" width="12.1406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60" t="s">
        <v>52</v>
      </c>
      <c r="C8" s="60"/>
      <c r="D8" s="60"/>
      <c r="E8" s="60"/>
      <c r="F8" s="60"/>
    </row>
    <row r="9" spans="2:6" x14ac:dyDescent="0.25">
      <c r="B9" s="25"/>
      <c r="C9" s="25"/>
      <c r="D9" s="25"/>
      <c r="E9" s="25"/>
      <c r="F9" s="25"/>
    </row>
    <row r="10" spans="2:6" ht="14.25" customHeight="1" x14ac:dyDescent="0.25">
      <c r="B10" s="42" t="s">
        <v>61</v>
      </c>
      <c r="C10" s="1"/>
      <c r="D10" s="20"/>
      <c r="E10" s="20"/>
      <c r="F10" s="20"/>
    </row>
    <row r="11" spans="2:6" x14ac:dyDescent="0.25">
      <c r="B11" s="1" t="s">
        <v>0</v>
      </c>
      <c r="C11" s="1"/>
      <c r="D11" s="20"/>
      <c r="E11" s="20"/>
      <c r="F11" s="20"/>
    </row>
    <row r="12" spans="2:6" x14ac:dyDescent="0.25">
      <c r="B12" s="8" t="s">
        <v>50</v>
      </c>
      <c r="C12" s="1"/>
      <c r="D12" s="20"/>
      <c r="E12" s="20"/>
      <c r="F12" s="20"/>
    </row>
    <row r="13" spans="2:6" x14ac:dyDescent="0.25">
      <c r="B13" s="8"/>
      <c r="C13" s="1"/>
      <c r="D13" s="20"/>
      <c r="E13" s="20"/>
      <c r="F13" s="20"/>
    </row>
    <row r="14" spans="2:6" x14ac:dyDescent="0.25">
      <c r="B14" s="8"/>
      <c r="C14" s="1"/>
      <c r="D14" s="20"/>
      <c r="E14" s="20"/>
      <c r="F14" s="20"/>
    </row>
    <row r="15" spans="2:6" x14ac:dyDescent="0.25">
      <c r="B15" s="61" t="s">
        <v>59</v>
      </c>
      <c r="C15" s="61"/>
      <c r="D15" s="61"/>
      <c r="E15" s="61"/>
      <c r="F15" s="61"/>
    </row>
    <row r="16" spans="2:6" x14ac:dyDescent="0.25">
      <c r="B16" s="37"/>
      <c r="C16" s="37"/>
      <c r="D16" s="37"/>
      <c r="E16" s="37"/>
      <c r="F16" s="37"/>
    </row>
    <row r="17" spans="2:6" x14ac:dyDescent="0.25">
      <c r="B17" s="54" t="s">
        <v>54</v>
      </c>
      <c r="C17" s="54"/>
      <c r="D17" s="54"/>
      <c r="E17" s="54"/>
      <c r="F17" s="54"/>
    </row>
    <row r="18" spans="2:6" ht="12.75" customHeight="1" x14ac:dyDescent="0.25">
      <c r="B18" s="8" t="s">
        <v>58</v>
      </c>
      <c r="C18" s="8"/>
      <c r="D18" s="21"/>
      <c r="E18" s="21"/>
      <c r="F18" s="21"/>
    </row>
    <row r="19" spans="2:6" ht="13.5" customHeight="1" x14ac:dyDescent="0.25">
      <c r="B19" s="9" t="s">
        <v>2</v>
      </c>
      <c r="C19" s="9"/>
      <c r="D19" s="21"/>
      <c r="E19" s="21"/>
      <c r="F19" s="21"/>
    </row>
    <row r="20" spans="2:6" ht="18" customHeight="1" x14ac:dyDescent="0.25">
      <c r="B20" s="64" t="s">
        <v>49</v>
      </c>
      <c r="C20" s="64"/>
      <c r="D20" s="64"/>
      <c r="E20" s="64"/>
      <c r="F20" s="64"/>
    </row>
    <row r="21" spans="2:6" ht="18" customHeight="1" x14ac:dyDescent="0.25">
      <c r="B21" s="33"/>
      <c r="C21" s="33"/>
      <c r="D21" s="33"/>
      <c r="E21" s="33"/>
      <c r="F21" s="33"/>
    </row>
    <row r="22" spans="2:6" ht="10.5" customHeight="1" x14ac:dyDescent="0.25">
      <c r="B22" s="33"/>
      <c r="C22" s="33"/>
      <c r="D22" s="33"/>
      <c r="E22" s="33"/>
      <c r="F22" s="33"/>
    </row>
    <row r="23" spans="2:6" x14ac:dyDescent="0.25">
      <c r="B23" s="50" t="s">
        <v>21</v>
      </c>
      <c r="C23" s="8"/>
      <c r="D23" s="18" t="s">
        <v>19</v>
      </c>
      <c r="E23" s="18" t="s">
        <v>25</v>
      </c>
      <c r="F23" s="17" t="s">
        <v>20</v>
      </c>
    </row>
    <row r="24" spans="2:6" x14ac:dyDescent="0.25">
      <c r="B24" s="50"/>
      <c r="C24" s="8"/>
      <c r="D24" s="18"/>
      <c r="E24" s="18"/>
      <c r="F24" s="17"/>
    </row>
    <row r="25" spans="2:6" x14ac:dyDescent="0.25">
      <c r="B25" s="50"/>
      <c r="C25" s="8"/>
      <c r="D25" s="18"/>
      <c r="E25" s="18"/>
      <c r="F25" s="17"/>
    </row>
    <row r="26" spans="2:6" x14ac:dyDescent="0.25">
      <c r="B26" s="7"/>
      <c r="C26" s="8"/>
      <c r="D26" s="17"/>
      <c r="E26" s="17"/>
      <c r="F26" s="17"/>
    </row>
    <row r="27" spans="2:6" x14ac:dyDescent="0.25">
      <c r="B27" s="40" t="s">
        <v>55</v>
      </c>
      <c r="C27" s="39" t="s">
        <v>46</v>
      </c>
      <c r="D27" s="38">
        <v>6</v>
      </c>
      <c r="E27" s="41">
        <v>907.37</v>
      </c>
      <c r="F27" s="45">
        <f t="shared" ref="F27" si="0">D27*E27</f>
        <v>5444.22</v>
      </c>
    </row>
    <row r="28" spans="2:6" x14ac:dyDescent="0.25">
      <c r="B28" s="40" t="s">
        <v>56</v>
      </c>
      <c r="C28" s="39" t="s">
        <v>46</v>
      </c>
      <c r="D28" s="38">
        <v>6</v>
      </c>
      <c r="E28" s="41">
        <v>1028.18</v>
      </c>
      <c r="F28" s="41">
        <f>D28*E28</f>
        <v>6169.08</v>
      </c>
    </row>
    <row r="29" spans="2:6" x14ac:dyDescent="0.25">
      <c r="B29" s="40" t="s">
        <v>53</v>
      </c>
      <c r="C29" s="39" t="s">
        <v>46</v>
      </c>
      <c r="D29" s="38">
        <v>9</v>
      </c>
      <c r="E29" s="41">
        <v>4797.13</v>
      </c>
      <c r="F29" s="41">
        <f t="shared" ref="F29:F30" si="1">D29*E29</f>
        <v>43174.17</v>
      </c>
    </row>
    <row r="30" spans="2:6" x14ac:dyDescent="0.25">
      <c r="B30" s="40" t="s">
        <v>57</v>
      </c>
      <c r="C30" s="39" t="s">
        <v>46</v>
      </c>
      <c r="D30" s="38">
        <v>3</v>
      </c>
      <c r="E30" s="41">
        <v>5023.57</v>
      </c>
      <c r="F30" s="41">
        <f t="shared" si="1"/>
        <v>15070.71</v>
      </c>
    </row>
    <row r="31" spans="2:6" x14ac:dyDescent="0.25">
      <c r="B31" s="40"/>
      <c r="C31" s="39"/>
      <c r="D31" s="38"/>
      <c r="E31" s="41"/>
      <c r="F31" s="41"/>
    </row>
    <row r="32" spans="2:6" x14ac:dyDescent="0.25">
      <c r="B32" s="49"/>
      <c r="C32" s="39"/>
      <c r="D32" s="38"/>
      <c r="E32" s="41"/>
      <c r="F32" s="41"/>
    </row>
    <row r="33" spans="2:8" x14ac:dyDescent="0.25">
      <c r="B33" s="40"/>
      <c r="C33" s="39"/>
      <c r="D33" s="38"/>
      <c r="E33" s="41"/>
      <c r="F33" s="41"/>
    </row>
    <row r="34" spans="2:8" ht="19.5" customHeight="1" x14ac:dyDescent="0.25">
      <c r="B34" s="4"/>
      <c r="C34" s="4"/>
      <c r="D34" s="16"/>
      <c r="E34" s="4" t="s">
        <v>3</v>
      </c>
      <c r="F34" s="48">
        <f>SUM(F27:F33)</f>
        <v>69858.179999999993</v>
      </c>
    </row>
    <row r="35" spans="2:8" ht="17.25" customHeight="1" x14ac:dyDescent="0.25">
      <c r="B35" s="4"/>
      <c r="C35" s="4"/>
      <c r="D35" s="16"/>
      <c r="E35" s="4" t="s">
        <v>44</v>
      </c>
      <c r="F35" s="48">
        <f>F34*16%</f>
        <v>11177.308799999999</v>
      </c>
    </row>
    <row r="36" spans="2:8" ht="15" customHeight="1" x14ac:dyDescent="0.25">
      <c r="B36" s="4"/>
      <c r="C36" s="4"/>
      <c r="D36" s="16"/>
      <c r="E36" s="52" t="s">
        <v>45</v>
      </c>
      <c r="F36" s="48">
        <f>F34+F35</f>
        <v>81035.488799999992</v>
      </c>
    </row>
    <row r="37" spans="2:8" ht="15" customHeight="1" x14ac:dyDescent="0.25">
      <c r="B37" s="4"/>
      <c r="C37" s="4"/>
      <c r="D37" s="16"/>
      <c r="E37" s="52"/>
      <c r="F37" s="48"/>
    </row>
    <row r="38" spans="2:8" ht="14.25" customHeight="1" x14ac:dyDescent="0.25">
      <c r="B38" s="4"/>
      <c r="C38" s="4"/>
      <c r="D38" s="16"/>
      <c r="E38" s="4"/>
      <c r="F38" s="11"/>
    </row>
    <row r="39" spans="2:8" ht="14.25" customHeight="1" x14ac:dyDescent="0.25">
      <c r="B39" s="63" t="s">
        <v>23</v>
      </c>
      <c r="C39" s="65"/>
      <c r="D39" s="65"/>
      <c r="E39" s="65"/>
      <c r="F39" s="65"/>
    </row>
    <row r="40" spans="2:8" ht="14.25" customHeight="1" x14ac:dyDescent="0.25">
      <c r="B40" s="23"/>
      <c r="C40" s="43"/>
      <c r="D40" s="43"/>
      <c r="E40" s="43"/>
      <c r="F40" s="43"/>
    </row>
    <row r="41" spans="2:8" ht="13.5" customHeight="1" x14ac:dyDescent="0.25">
      <c r="B41" s="64" t="s">
        <v>26</v>
      </c>
      <c r="C41" s="64"/>
      <c r="D41" s="64"/>
      <c r="E41" s="64"/>
      <c r="F41" s="64"/>
      <c r="H41" s="14"/>
    </row>
    <row r="42" spans="2:8" ht="13.5" customHeight="1" x14ac:dyDescent="0.25">
      <c r="B42" s="64" t="s">
        <v>27</v>
      </c>
      <c r="C42" s="64"/>
      <c r="D42" s="64"/>
      <c r="E42" s="64"/>
      <c r="F42" s="64"/>
    </row>
    <row r="43" spans="2:8" ht="13.5" customHeight="1" x14ac:dyDescent="0.25">
      <c r="B43" s="64" t="s">
        <v>28</v>
      </c>
      <c r="C43" s="64"/>
      <c r="D43" s="64"/>
      <c r="E43" s="64"/>
      <c r="F43" s="64"/>
    </row>
    <row r="44" spans="2:8" ht="13.5" customHeight="1" x14ac:dyDescent="0.25">
      <c r="B44" s="64" t="s">
        <v>29</v>
      </c>
      <c r="C44" s="64"/>
      <c r="D44" s="64"/>
      <c r="E44" s="64"/>
      <c r="F44" s="64"/>
    </row>
    <row r="45" spans="2:8" ht="13.5" customHeight="1" x14ac:dyDescent="0.25">
      <c r="B45" s="64" t="s">
        <v>30</v>
      </c>
      <c r="C45" s="64"/>
      <c r="D45" s="64"/>
      <c r="E45" s="64"/>
      <c r="F45" s="64"/>
    </row>
    <row r="46" spans="2:8" ht="13.5" customHeight="1" x14ac:dyDescent="0.25">
      <c r="B46" s="33"/>
      <c r="C46" s="33"/>
      <c r="D46" s="33"/>
      <c r="E46" s="33"/>
      <c r="F46" s="33"/>
    </row>
    <row r="47" spans="2:8" x14ac:dyDescent="0.25">
      <c r="B47" s="20"/>
      <c r="C47" s="20"/>
      <c r="D47" s="20"/>
      <c r="E47" s="20"/>
      <c r="F47" s="20"/>
    </row>
    <row r="48" spans="2:8" ht="12" customHeight="1" x14ac:dyDescent="0.25">
      <c r="B48" s="18" t="s">
        <v>48</v>
      </c>
      <c r="C48" s="36"/>
      <c r="D48" s="68" t="s">
        <v>47</v>
      </c>
      <c r="E48" s="68"/>
      <c r="F48" s="68"/>
    </row>
    <row r="49" spans="2:15" ht="12" customHeight="1" x14ac:dyDescent="0.25">
      <c r="B49" s="18"/>
      <c r="C49" s="36"/>
      <c r="D49" s="44"/>
      <c r="E49" s="44"/>
      <c r="F49" s="44"/>
    </row>
    <row r="50" spans="2:15" ht="15" customHeight="1" x14ac:dyDescent="0.25">
      <c r="B50" s="9"/>
      <c r="C50" s="9"/>
      <c r="D50" s="21"/>
      <c r="E50" s="21"/>
      <c r="F50" s="21"/>
      <c r="G50" s="19"/>
      <c r="H50" s="19"/>
      <c r="I50" s="19"/>
      <c r="J50" s="19"/>
      <c r="K50" s="19"/>
      <c r="L50" s="19"/>
      <c r="M50" s="19"/>
      <c r="N50" s="19"/>
      <c r="O50" s="19"/>
    </row>
    <row r="51" spans="2:15" ht="15" customHeight="1" x14ac:dyDescent="0.25">
      <c r="B51" s="35"/>
      <c r="C51" s="46" t="s">
        <v>51</v>
      </c>
      <c r="D51" s="47"/>
      <c r="E51" s="47"/>
      <c r="F51" s="47"/>
      <c r="G51" s="19"/>
      <c r="H51" s="19"/>
      <c r="I51" s="19"/>
      <c r="J51" s="19"/>
      <c r="K51" s="19"/>
      <c r="L51" s="19"/>
      <c r="M51" s="19"/>
      <c r="N51" s="19"/>
      <c r="O51" s="19"/>
    </row>
    <row r="52" spans="2:15" ht="15" customHeight="1" x14ac:dyDescent="0.25">
      <c r="B52" s="51" t="s">
        <v>60</v>
      </c>
      <c r="C52" s="34"/>
      <c r="D52" s="34"/>
      <c r="E52" s="34"/>
      <c r="F52" s="34"/>
      <c r="G52" s="19"/>
      <c r="H52" s="19"/>
      <c r="I52" s="19"/>
      <c r="J52" s="19"/>
      <c r="K52" s="19"/>
      <c r="L52" s="19"/>
      <c r="M52" s="19"/>
      <c r="N52" s="19"/>
      <c r="O52" s="19"/>
    </row>
    <row r="53" spans="2:15" x14ac:dyDescent="0.25">
      <c r="B53" s="66" t="s">
        <v>24</v>
      </c>
      <c r="C53" s="66"/>
      <c r="D53" s="67"/>
      <c r="E53" s="67"/>
      <c r="F53" s="67"/>
      <c r="G53" s="19"/>
      <c r="H53" s="19"/>
      <c r="I53" s="19"/>
      <c r="J53" s="19"/>
      <c r="K53" s="19"/>
      <c r="L53" s="19"/>
      <c r="M53" s="19"/>
      <c r="N53" s="19"/>
      <c r="O53" s="19"/>
    </row>
    <row r="54" spans="2:15" x14ac:dyDescent="0.25">
      <c r="B54" s="66"/>
      <c r="C54" s="66"/>
      <c r="D54" s="67"/>
      <c r="E54" s="67"/>
      <c r="F54" s="67"/>
      <c r="G54" s="19"/>
      <c r="H54" s="19"/>
      <c r="I54" s="19"/>
      <c r="J54" s="19"/>
      <c r="K54" s="19"/>
      <c r="L54" s="19"/>
      <c r="M54" s="19"/>
      <c r="N54" s="19"/>
      <c r="O54" s="19"/>
    </row>
    <row r="55" spans="2:15" x14ac:dyDescent="0.25">
      <c r="B55" s="66"/>
      <c r="C55" s="66"/>
      <c r="D55" s="67"/>
      <c r="E55" s="67"/>
      <c r="F55" s="67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67"/>
      <c r="C56" s="67"/>
      <c r="D56" s="67"/>
      <c r="E56" s="67"/>
      <c r="F56" s="67"/>
    </row>
    <row r="57" spans="2:15" x14ac:dyDescent="0.25">
      <c r="B57" s="67"/>
      <c r="C57" s="67"/>
      <c r="D57" s="67"/>
      <c r="E57" s="67"/>
      <c r="F57" s="67"/>
    </row>
    <row r="58" spans="2:15" x14ac:dyDescent="0.25">
      <c r="B58" s="67"/>
      <c r="C58" s="67"/>
      <c r="D58" s="67"/>
      <c r="E58" s="67"/>
      <c r="F58" s="67"/>
    </row>
    <row r="59" spans="2:15" x14ac:dyDescent="0.25">
      <c r="B59" s="19"/>
      <c r="C59" s="19"/>
      <c r="D59" s="19"/>
      <c r="E59" s="19"/>
      <c r="F59" s="19"/>
    </row>
    <row r="60" spans="2:15" x14ac:dyDescent="0.25">
      <c r="B60" s="19"/>
      <c r="C60" s="19"/>
      <c r="D60" s="19"/>
      <c r="E60" s="19"/>
      <c r="F60" s="19"/>
    </row>
    <row r="61" spans="2:15" x14ac:dyDescent="0.25">
      <c r="B61" s="19"/>
      <c r="C61" s="19"/>
      <c r="D61" s="19"/>
      <c r="E61" s="19"/>
      <c r="F61" s="19"/>
    </row>
    <row r="62" spans="2:15" x14ac:dyDescent="0.25">
      <c r="B62" s="19"/>
      <c r="C62" s="19"/>
      <c r="D62" s="19"/>
      <c r="E62" s="19"/>
      <c r="F62" s="19"/>
    </row>
  </sheetData>
  <mergeCells count="12">
    <mergeCell ref="B53:F58"/>
    <mergeCell ref="D48:F48"/>
    <mergeCell ref="B41:F41"/>
    <mergeCell ref="B42:F42"/>
    <mergeCell ref="B43:F43"/>
    <mergeCell ref="B44:F44"/>
    <mergeCell ref="B8:F8"/>
    <mergeCell ref="B15:F15"/>
    <mergeCell ref="B17:F17"/>
    <mergeCell ref="B20:F20"/>
    <mergeCell ref="B45:F45"/>
    <mergeCell ref="B39:F39"/>
  </mergeCells>
  <pageMargins left="0.70866141732283472" right="0.70866141732283472" top="0.74803149606299213" bottom="0.19685039370078741" header="0.31496062992125984" footer="0.11811023622047245"/>
  <pageSetup paperSize="9" scale="87"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2026-02-23T22:29:48Z</cp:lastPrinted>
  <dcterms:created xsi:type="dcterms:W3CDTF">2020-12-14T19:54:01Z</dcterms:created>
  <dcterms:modified xsi:type="dcterms:W3CDTF">2026-02-23T22:30:01Z</dcterms:modified>
</cp:coreProperties>
</file>