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1F2CB66D-A6FC-42CC-A059-DC297F8443A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3" l="1"/>
  <c r="F42" i="3"/>
  <c r="F41" i="3"/>
  <c r="F34" i="3"/>
  <c r="F35" i="3"/>
  <c r="F31" i="3"/>
  <c r="F33" i="3" l="1"/>
  <c r="F32" i="3"/>
  <c r="F39" i="3" l="1"/>
  <c r="D21" i="1"/>
  <c r="D22" i="1" s="1"/>
</calcChain>
</file>

<file path=xl/sharedStrings.xml><?xml version="1.0" encoding="utf-8"?>
<sst xmlns="http://schemas.openxmlformats.org/spreadsheetml/2006/main" count="76" uniqueCount="66">
  <si>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</si>
  <si>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</si>
  <si>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</si>
  <si>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</si>
  <si>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</si>
  <si>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</si>
  <si>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</si>
  <si>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</si>
  <si>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</si>
  <si>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</si>
  <si>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</si>
  <si>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</si>
  <si>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</si>
  <si>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</si>
  <si>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</si>
  <si>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</si>
  <si>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</si>
  <si>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</si>
  <si>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</si>
  <si>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</si>
  <si>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</si>
  <si>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</si>
  <si>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</si>
  <si>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</si>
  <si>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</si>
  <si>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</si>
  <si>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</si>
  <si>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</si>
  <si>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</si>
  <si>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</si>
  <si>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</si>
  <si>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</si>
  <si>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</si>
  <si>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</si>
  <si>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</si>
  <si>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</si>
  <si>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</si>
  <si>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</si>
  <si>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</si>
  <si>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</si>
  <si>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</si>
  <si>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</si>
  <si>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</si>
  <si>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</si>
  <si>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</si>
  <si>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</si>
  <si>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</si>
  <si>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</si>
  <si>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</si>
  <si>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</si>
  <si>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</si>
  <si>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</si>
  <si>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</si>
  <si>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SELLADOR INICIAL  (REND. 90M2) </t>
  </si>
  <si>
    <t xml:space="preserve">2.- PRAIMER GLASS REF. S.M.A (REND. 85M2) </t>
  </si>
  <si>
    <t>3.- CHISA GLASS REF. S.M.A (REND. 55-60M2)</t>
  </si>
  <si>
    <t xml:space="preserve">PRESENTAMOS A SU AMABLE CONSIDERACIÓN EL PRESUPUESTO DE SUMINISTRO PARA 320M2DE LOS SIGUIENTES MATERIALES: </t>
  </si>
  <si>
    <t>CIUDAD DE MEXICO A 26 DE MAYO DEL 2026</t>
  </si>
  <si>
    <t>AT´N: ERICK OVANDO</t>
  </si>
  <si>
    <t>PRES. REF. 16540-S/2026CG</t>
  </si>
  <si>
    <t>OBRA: RESIDENCIA PUERTO CANCUN</t>
  </si>
  <si>
    <t>5.- VITROGLASS REF. S.M.A (REND. 180-190M2)</t>
  </si>
  <si>
    <r>
      <t xml:space="preserve">4.- CHISA GLASS REF. S.M.A (REND. 55-60M2)     </t>
    </r>
    <r>
      <rPr>
        <b/>
        <u/>
        <sz val="10"/>
        <color rgb="FFFF0000"/>
        <rFont val="Times New Roman"/>
        <family val="1"/>
      </rPr>
      <t>50%DESC</t>
    </r>
  </si>
  <si>
    <t xml:space="preserve">                              ERICK OVANDO</t>
  </si>
  <si>
    <t>ENVIO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</si>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</sst>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6"/>
      <c r="B1" s="67"/>
      <c r="C1" s="67"/>
      <c r="D1" s="67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5" t="s">
        <v>37</v>
      </c>
      <c r="B4" s="55"/>
      <c r="C4" s="55"/>
      <c r="D4" s="5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3" t="s">
        <v>38</v>
      </c>
      <c r="B10" s="63"/>
      <c r="C10" s="63"/>
      <c r="D10" s="63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8" t="s">
        <v>40</v>
      </c>
      <c r="B13" s="69"/>
      <c r="C13" s="69"/>
      <c r="D13" s="69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5" t="s">
        <v>32</v>
      </c>
      <c r="B16" s="65"/>
      <c r="C16" s="65"/>
      <c r="D16" s="65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4" t="s">
        <v>41</v>
      </c>
      <c r="B25" s="64"/>
      <c r="C25" s="64"/>
      <c r="D25" s="64"/>
      <c r="E25" s="11"/>
      <c r="F25" s="11"/>
    </row>
    <row r="26" spans="1:7" ht="12" customHeight="1" x14ac:dyDescent="0.25">
      <c r="A26" s="58" t="s">
        <v>6</v>
      </c>
      <c r="B26" s="58"/>
      <c r="C26" s="58"/>
      <c r="D26" s="58"/>
      <c r="E26" s="5"/>
      <c r="F26" s="11"/>
    </row>
    <row r="27" spans="1:7" ht="57" customHeight="1" x14ac:dyDescent="0.25">
      <c r="A27" s="62" t="s">
        <v>35</v>
      </c>
      <c r="B27" s="62"/>
      <c r="C27" s="62"/>
      <c r="D27" s="62"/>
      <c r="E27" s="5"/>
      <c r="F27" s="11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62" t="s">
        <v>8</v>
      </c>
      <c r="B29" s="62"/>
      <c r="C29" s="62"/>
      <c r="D29" s="62"/>
    </row>
    <row r="30" spans="1:7" ht="51" customHeight="1" x14ac:dyDescent="0.25">
      <c r="A30" s="65" t="s">
        <v>9</v>
      </c>
      <c r="B30" s="65"/>
      <c r="C30" s="65"/>
      <c r="D30" s="65"/>
    </row>
    <row r="31" spans="1:7" ht="57" customHeight="1" x14ac:dyDescent="0.25">
      <c r="A31" s="65" t="s">
        <v>10</v>
      </c>
      <c r="B31" s="65"/>
      <c r="C31" s="65"/>
      <c r="D31" s="65"/>
    </row>
    <row r="32" spans="1:7" ht="25.5" customHeight="1" x14ac:dyDescent="0.25">
      <c r="A32" s="65" t="s">
        <v>11</v>
      </c>
      <c r="B32" s="65"/>
      <c r="C32" s="65"/>
      <c r="D32" s="65"/>
      <c r="E32" s="5"/>
    </row>
    <row r="33" spans="1:4" ht="72" customHeight="1" x14ac:dyDescent="0.25">
      <c r="A33" s="62" t="s">
        <v>12</v>
      </c>
      <c r="B33" s="62"/>
      <c r="C33" s="62"/>
      <c r="D33" s="62"/>
    </row>
    <row r="34" spans="1:4" ht="27.75" customHeight="1" x14ac:dyDescent="0.25">
      <c r="A34" s="62" t="s">
        <v>13</v>
      </c>
      <c r="B34" s="62"/>
      <c r="C34" s="62"/>
      <c r="D34" s="62"/>
    </row>
    <row r="35" spans="1:4" ht="61.5" customHeight="1" x14ac:dyDescent="0.25">
      <c r="A35" s="62" t="s">
        <v>14</v>
      </c>
      <c r="B35" s="62"/>
      <c r="C35" s="62"/>
      <c r="D35" s="62"/>
    </row>
    <row r="36" spans="1:4" ht="25.5" customHeight="1" x14ac:dyDescent="0.25">
      <c r="A36" s="62" t="s">
        <v>15</v>
      </c>
      <c r="B36" s="62"/>
      <c r="C36" s="62"/>
      <c r="D36" s="62"/>
    </row>
    <row r="37" spans="1:4" ht="68.25" customHeight="1" x14ac:dyDescent="0.25">
      <c r="A37" s="65" t="s">
        <v>16</v>
      </c>
      <c r="B37" s="65"/>
      <c r="C37" s="65"/>
      <c r="D37" s="65"/>
    </row>
    <row r="38" spans="1:4" ht="29.25" customHeight="1" x14ac:dyDescent="0.25">
      <c r="A38" s="62" t="s">
        <v>17</v>
      </c>
      <c r="B38" s="62"/>
      <c r="C38" s="62"/>
      <c r="D38" s="62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1" t="s">
        <v>31</v>
      </c>
      <c r="C40" s="61"/>
      <c r="D40" s="61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70"/>
  <sheetViews>
    <sheetView tabSelected="1" topLeftCell="A28" zoomScaleNormal="100" zoomScalePageLayoutView="50" workbookViewId="0">
      <selection activeCell="F44" sqref="F44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5" t="s">
        <v>57</v>
      </c>
      <c r="C11" s="55"/>
      <c r="D11" s="55"/>
      <c r="E11" s="55"/>
      <c r="F11" s="55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6" t="s">
        <v>58</v>
      </c>
      <c r="C18" s="56"/>
      <c r="D18" s="56"/>
      <c r="E18" s="56"/>
      <c r="F18" s="56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7"/>
      <c r="C21" s="57"/>
      <c r="D21" s="57"/>
      <c r="E21" s="57"/>
      <c r="F21" s="57"/>
    </row>
    <row r="22" spans="2:6" ht="12.75" customHeight="1" x14ac:dyDescent="0.25">
      <c r="B22" s="8" t="s">
        <v>59</v>
      </c>
      <c r="C22" s="8"/>
      <c r="D22" s="21"/>
      <c r="E22" s="21"/>
      <c r="F22" s="21"/>
    </row>
    <row r="23" spans="2:6" ht="12.75" customHeight="1" x14ac:dyDescent="0.25">
      <c r="B23" s="60" t="s">
        <v>60</v>
      </c>
      <c r="C23" s="60"/>
      <c r="D23" s="60"/>
      <c r="E23" s="60"/>
      <c r="F23" s="60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52" t="s">
        <v>56</v>
      </c>
      <c r="C26" s="52"/>
      <c r="D26" s="52"/>
      <c r="E26" s="52"/>
      <c r="F26" s="52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7" t="s">
        <v>53</v>
      </c>
      <c r="C31" s="39" t="s">
        <v>46</v>
      </c>
      <c r="D31" s="39">
        <v>1</v>
      </c>
      <c r="E31" s="48">
        <v>907.37</v>
      </c>
      <c r="F31" s="48">
        <f>D31*E31</f>
        <v>907.37</v>
      </c>
    </row>
    <row r="32" spans="2:6" x14ac:dyDescent="0.25">
      <c r="B32" s="41" t="s">
        <v>54</v>
      </c>
      <c r="C32" s="40" t="s">
        <v>46</v>
      </c>
      <c r="D32" s="39">
        <v>1</v>
      </c>
      <c r="E32" s="48">
        <v>1028.18</v>
      </c>
      <c r="F32" s="48">
        <f>D32*E32</f>
        <v>1028.18</v>
      </c>
    </row>
    <row r="33" spans="2:6" x14ac:dyDescent="0.25">
      <c r="B33" s="41" t="s">
        <v>55</v>
      </c>
      <c r="C33" s="40" t="s">
        <v>46</v>
      </c>
      <c r="D33" s="39">
        <v>1</v>
      </c>
      <c r="E33" s="48">
        <v>4797.13</v>
      </c>
      <c r="F33" s="48">
        <f>E33*D33</f>
        <v>4797.13</v>
      </c>
    </row>
    <row r="34" spans="2:6" x14ac:dyDescent="0.25">
      <c r="B34" s="41" t="s">
        <v>62</v>
      </c>
      <c r="C34" s="40" t="s">
        <v>46</v>
      </c>
      <c r="D34" s="39">
        <v>1</v>
      </c>
      <c r="E34" s="48">
        <v>2398.56</v>
      </c>
      <c r="F34" s="48">
        <f>E34*D34</f>
        <v>2398.56</v>
      </c>
    </row>
    <row r="35" spans="2:6" ht="14.25" customHeight="1" x14ac:dyDescent="0.25">
      <c r="B35" s="41" t="s">
        <v>61</v>
      </c>
      <c r="C35" s="40" t="s">
        <v>46</v>
      </c>
      <c r="D35" s="39">
        <v>1</v>
      </c>
      <c r="E35" s="48">
        <v>5023.57</v>
      </c>
      <c r="F35" s="48">
        <f>E35*D35</f>
        <v>5023.57</v>
      </c>
    </row>
    <row r="36" spans="2:6" x14ac:dyDescent="0.25">
      <c r="B36" s="47"/>
      <c r="C36" s="45"/>
      <c r="D36" s="46"/>
      <c r="E36" s="42"/>
      <c r="F36" s="42"/>
    </row>
    <row r="37" spans="2:6" x14ac:dyDescent="0.25">
      <c r="B37" s="47"/>
      <c r="C37" s="45"/>
      <c r="D37" s="46"/>
      <c r="E37" s="4"/>
      <c r="F37" s="44"/>
    </row>
    <row r="38" spans="2:6" x14ac:dyDescent="0.25">
      <c r="B38" s="41"/>
      <c r="C38" s="40"/>
      <c r="D38" s="39"/>
      <c r="E38" s="42"/>
      <c r="F38" s="42"/>
    </row>
    <row r="39" spans="2:6" x14ac:dyDescent="0.25">
      <c r="B39" s="4"/>
      <c r="C39" s="4"/>
      <c r="D39" s="16"/>
      <c r="E39" s="4" t="s">
        <v>3</v>
      </c>
      <c r="F39" s="11">
        <f>SUM(F31:F38)</f>
        <v>14154.81</v>
      </c>
    </row>
    <row r="40" spans="2:6" x14ac:dyDescent="0.25">
      <c r="B40" s="4"/>
      <c r="C40" s="4"/>
      <c r="D40" s="16"/>
      <c r="E40" s="4" t="s">
        <v>64</v>
      </c>
      <c r="F40" s="11">
        <v>2026.3</v>
      </c>
    </row>
    <row r="41" spans="2:6" x14ac:dyDescent="0.25">
      <c r="B41" s="4"/>
      <c r="C41" s="4"/>
      <c r="D41" s="16"/>
      <c r="E41" s="4" t="s">
        <v>65</v>
      </c>
      <c r="F41" s="11">
        <f>F39+F40</f>
        <v>16181.109999999999</v>
      </c>
    </row>
    <row r="42" spans="2:6" x14ac:dyDescent="0.25">
      <c r="B42" s="4"/>
      <c r="C42" s="4"/>
      <c r="D42" s="16"/>
      <c r="E42" s="4" t="s">
        <v>44</v>
      </c>
      <c r="F42" s="11">
        <f>F41*16%</f>
        <v>2588.9775999999997</v>
      </c>
    </row>
    <row r="43" spans="2:6" x14ac:dyDescent="0.25">
      <c r="B43" s="4"/>
      <c r="C43" s="4"/>
      <c r="D43" s="16"/>
      <c r="E43" s="4" t="s">
        <v>45</v>
      </c>
      <c r="F43" s="11">
        <f>F41+F42</f>
        <v>18770.087599999999</v>
      </c>
    </row>
    <row r="44" spans="2:6" x14ac:dyDescent="0.25">
      <c r="B44" s="4"/>
      <c r="C44" s="4"/>
      <c r="D44" s="16"/>
      <c r="E44" s="4"/>
      <c r="F44" s="11"/>
    </row>
    <row r="45" spans="2:6" x14ac:dyDescent="0.25">
      <c r="B45" s="4"/>
      <c r="C45" s="4"/>
      <c r="D45" s="16"/>
      <c r="E45" s="4"/>
      <c r="F45" s="11"/>
    </row>
    <row r="46" spans="2:6" x14ac:dyDescent="0.25">
      <c r="B46" s="58" t="s">
        <v>23</v>
      </c>
      <c r="C46" s="59"/>
      <c r="D46" s="59"/>
      <c r="E46" s="59"/>
      <c r="F46" s="59"/>
    </row>
    <row r="47" spans="2:6" ht="27.75" customHeight="1" x14ac:dyDescent="0.25">
      <c r="B47" s="52" t="s">
        <v>26</v>
      </c>
      <c r="C47" s="52"/>
      <c r="D47" s="52"/>
      <c r="E47" s="52"/>
      <c r="F47" s="52"/>
    </row>
    <row r="48" spans="2:6" ht="17.25" customHeight="1" x14ac:dyDescent="0.25">
      <c r="B48" s="52" t="s">
        <v>27</v>
      </c>
      <c r="C48" s="52"/>
      <c r="D48" s="52"/>
      <c r="E48" s="52"/>
      <c r="F48" s="52"/>
    </row>
    <row r="49" spans="2:15" ht="15" customHeight="1" x14ac:dyDescent="0.25">
      <c r="B49" s="52" t="s">
        <v>28</v>
      </c>
      <c r="C49" s="52"/>
      <c r="D49" s="52"/>
      <c r="E49" s="52"/>
      <c r="F49" s="52"/>
    </row>
    <row r="50" spans="2:15" ht="18" customHeight="1" x14ac:dyDescent="0.25">
      <c r="B50" s="52" t="s">
        <v>29</v>
      </c>
      <c r="C50" s="52"/>
      <c r="D50" s="52"/>
      <c r="E50" s="52"/>
      <c r="F50" s="52"/>
    </row>
    <row r="51" spans="2:15" ht="96.75" customHeight="1" x14ac:dyDescent="0.25">
      <c r="B51" s="52" t="s">
        <v>30</v>
      </c>
      <c r="C51" s="52"/>
      <c r="D51" s="52"/>
      <c r="E51" s="52"/>
      <c r="F51" s="52"/>
    </row>
    <row r="52" spans="2:15" ht="14.25" customHeight="1" x14ac:dyDescent="0.25">
      <c r="B52" s="34"/>
      <c r="C52" s="34"/>
      <c r="D52" s="34"/>
      <c r="E52" s="34"/>
      <c r="F52" s="34"/>
    </row>
    <row r="53" spans="2:15" ht="14.25" customHeight="1" x14ac:dyDescent="0.25">
      <c r="B53" s="34"/>
      <c r="C53" s="34"/>
      <c r="D53" s="34"/>
      <c r="E53" s="34"/>
      <c r="F53" s="34"/>
    </row>
    <row r="54" spans="2:15" x14ac:dyDescent="0.25">
      <c r="B54" s="20"/>
      <c r="C54" s="20"/>
      <c r="D54" s="20"/>
      <c r="E54" s="20"/>
      <c r="F54" s="20"/>
      <c r="H54" s="14"/>
    </row>
    <row r="55" spans="2:15" x14ac:dyDescent="0.25">
      <c r="B55" s="18" t="s">
        <v>48</v>
      </c>
      <c r="C55" s="37"/>
      <c r="D55" s="51" t="s">
        <v>47</v>
      </c>
      <c r="E55" s="51"/>
      <c r="F55" s="51"/>
    </row>
    <row r="56" spans="2:15" x14ac:dyDescent="0.25">
      <c r="B56" s="9"/>
      <c r="C56" s="9"/>
      <c r="D56" s="21"/>
      <c r="E56" s="21"/>
      <c r="F56" s="21"/>
    </row>
    <row r="57" spans="2:15" x14ac:dyDescent="0.25">
      <c r="B57" s="9"/>
      <c r="C57" s="9"/>
      <c r="D57" s="21"/>
      <c r="E57" s="21"/>
      <c r="F57" s="21"/>
    </row>
    <row r="58" spans="2:15" x14ac:dyDescent="0.25">
      <c r="B58" s="12" t="s">
        <v>49</v>
      </c>
      <c r="C58" s="12"/>
      <c r="D58" s="12"/>
      <c r="E58" s="12"/>
      <c r="F58" s="12"/>
    </row>
    <row r="59" spans="2:15" ht="15" customHeight="1" x14ac:dyDescent="0.25">
      <c r="B59" s="36" t="s">
        <v>63</v>
      </c>
      <c r="C59" s="53" t="s">
        <v>51</v>
      </c>
      <c r="D59" s="54"/>
      <c r="E59" s="54"/>
      <c r="F59" s="54"/>
      <c r="G59" s="54"/>
    </row>
    <row r="60" spans="2:15" x14ac:dyDescent="0.25">
      <c r="B60" s="23"/>
      <c r="C60" s="35"/>
      <c r="D60" s="35"/>
      <c r="E60" s="35"/>
      <c r="F60" s="35"/>
    </row>
    <row r="61" spans="2:15" x14ac:dyDescent="0.25">
      <c r="B61" s="23"/>
      <c r="C61" s="35"/>
      <c r="D61" s="35"/>
      <c r="E61" s="35"/>
      <c r="F61" s="35"/>
    </row>
    <row r="62" spans="2:15" x14ac:dyDescent="0.25">
      <c r="B62" s="13"/>
      <c r="C62" s="13"/>
      <c r="D62" s="21"/>
      <c r="E62" s="21"/>
      <c r="F62" s="21"/>
    </row>
    <row r="63" spans="2:15" x14ac:dyDescent="0.25">
      <c r="B63" s="49" t="s">
        <v>24</v>
      </c>
      <c r="C63" s="49"/>
      <c r="D63" s="50"/>
      <c r="E63" s="50"/>
      <c r="F63" s="50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50"/>
      <c r="C64" s="50"/>
      <c r="D64" s="50"/>
      <c r="E64" s="50"/>
      <c r="F64" s="50"/>
      <c r="G64" s="19"/>
      <c r="H64" s="19"/>
      <c r="I64" s="19"/>
      <c r="J64" s="19"/>
      <c r="K64" s="19"/>
      <c r="L64" s="19"/>
      <c r="M64" s="19"/>
      <c r="N64" s="19"/>
      <c r="O64" s="19"/>
    </row>
    <row r="65" spans="2:15" ht="4.5" customHeight="1" x14ac:dyDescent="0.25">
      <c r="B65" s="50"/>
      <c r="C65" s="50"/>
      <c r="D65" s="50"/>
      <c r="E65" s="50"/>
      <c r="F65" s="50"/>
      <c r="G65" s="19"/>
      <c r="H65" s="19"/>
      <c r="I65" s="19"/>
      <c r="J65" s="19"/>
      <c r="K65" s="19"/>
      <c r="L65" s="19"/>
      <c r="M65" s="19"/>
      <c r="N65" s="19"/>
      <c r="O65" s="19"/>
    </row>
    <row r="66" spans="2:15" hidden="1" x14ac:dyDescent="0.25">
      <c r="B66" s="50"/>
      <c r="C66" s="50"/>
      <c r="D66" s="50"/>
      <c r="E66" s="50"/>
      <c r="F66" s="50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spans="2:15" x14ac:dyDescent="0.25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  <row r="70" spans="2:15" x14ac:dyDescent="0.25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</row>
  </sheetData>
  <mergeCells count="14">
    <mergeCell ref="B11:F11"/>
    <mergeCell ref="B18:F18"/>
    <mergeCell ref="B21:F21"/>
    <mergeCell ref="B26:F26"/>
    <mergeCell ref="B51:F51"/>
    <mergeCell ref="B46:F46"/>
    <mergeCell ref="B23:F23"/>
    <mergeCell ref="B63:F66"/>
    <mergeCell ref="D55:F55"/>
    <mergeCell ref="B47:F47"/>
    <mergeCell ref="B48:F48"/>
    <mergeCell ref="B49:F49"/>
    <mergeCell ref="B50:F50"/>
    <mergeCell ref="C59:G59"/>
  </mergeCells>
  <pageMargins left="0.7" right="0.7" top="0.75" bottom="0.75" header="0.3" footer="0.3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2026-05-26T16:55:32Z</cp:lastPrinted>
  <dcterms:created xsi:type="dcterms:W3CDTF">2020-12-14T19:54:01Z</dcterms:created>
  <dcterms:modified xsi:type="dcterms:W3CDTF">2026-05-26T16:57:02Z</dcterms:modified>
</cp:coreProperties>
</file>