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xmlns:mc="http://schemas.openxmlformats.org/markup-compatibility/2006">
    <mc:Choice Requires="x15">
      <x15ac:absPath xmlns:x15ac="http://schemas.microsoft.com/office/spreadsheetml/2010/11/ac" url="C:\Users\ventas\Nextcloud\COTIZACIONES 2026\"/>
    </mc:Choice>
  </mc:AlternateContent>
  <xr:revisionPtr revIDLastSave="0" documentId="13_ncr:1_{31C38D1B-F8BA-4899-8182-E21BD253C91A}" xr6:coauthVersionLast="47" xr6:coauthVersionMax="47" xr10:uidLastSave="{00000000-0000-0000-0000-000000000000}"/>
  <bookViews>
    <workbookView xWindow="-120" yWindow="-120" windowWidth="20730" windowHeight="11160" xr2:uid="{00000000-000D-0000-FFFF-FFFF00000000}"/>
  </bookViews>
  <sheets>
    <sheet name="SUMINISTRO Y APLICACION" sheetId="1" r:id="rId1"/>
    <sheet name="SUMINISTRO" sheetId="3" r:id="rId2"/>
  </sheet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E23" i="1" l="1"/>
  <c r="E20" i="1"/>
  <c r="E19" i="1" l="1"/>
  <c r="F16" i="3" l="1"/>
  <c r="F20" i="3" l="1"/>
  <c r="F17" i="3"/>
  <c r="F21" i="3" l="1"/>
  <c r="F19" i="3"/>
  <c r="F18" i="3"/>
  <c r="F26" i="3" l="1"/>
  <c r="E24" i="1"/>
  <c r="E25" i="1" s="1"/>
  <c r="F27" i="3" l="1"/>
  <c r="F28" i="3" s="1"/>
</calcChain>
</file>

<file path=xl/sharedStrings.xml><?xml version="1.0" encoding="utf-8"?>
<sst xmlns="http://schemas.openxmlformats.org/spreadsheetml/2006/main" count="82" uniqueCount="67">
  <si>
    <t xml:space="preserve">P  R  E  S  E  N  T  E                                                                                                 </t>
  </si>
  <si>
    <t xml:space="preserve">         </t>
  </si>
  <si>
    <t xml:space="preserve">     </t>
  </si>
  <si>
    <r>
      <t>PRESENTAMOS  A  SU AMABLE  CONSIDERACIÓN EL PRESUPUESTO DE SUMINISTRO Y APLICACIÓN  DE  LOS SIGUIENTES CONCEPTOS.</t>
    </r>
    <r>
      <rPr>
        <b/>
        <sz val="8"/>
        <color theme="1"/>
        <rFont val="Times New Roman"/>
        <family val="1"/>
      </rPr>
      <t xml:space="preserve">                                                   </t>
    </r>
  </si>
  <si>
    <t>IMPORTE:</t>
  </si>
  <si>
    <t>16% I.V.A.</t>
  </si>
  <si>
    <t>T O T A L</t>
  </si>
  <si>
    <t>FORMA DE PAGO</t>
  </si>
  <si>
    <t>TODO AUMENTO DE OBRA O CAMBIO DE ESPECIFICACIÓN, DEBERÁ SER NOTIFICADO POR EL CLIENTE MEDIANTE ORDEN DE TRABAJO, CON LO CUAL  SE REALIZARA LA MODIFICACIÓN BAJO EL CARGO CORRESPONDIENTE EN SU CASO.</t>
  </si>
  <si>
    <t xml:space="preserve">EL PERSONAL APLICADOR DE CHISA RECUBRIMIENTOS, S.A. DE C.V.  NO SE ENCUENTRA AUTORIZADO PARA REALIZAR TRABAJOS DE TABLAROCA, RESANES DE ALBAÑILERÍA O YESO, DESPRENDIMIENTO DE PAPEL TAPIZ, COLOCACIÓN O RETIRO DE SEÑALIZACIÓN,  RETIRO DE MOBILIARIO,  APARATOS, O EQUIPO, EVITANDO ASÍ CUALQUIER DAÑO A LOS MISMOS.  </t>
  </si>
  <si>
    <t>EN CASO DE QUE EL CLIENTE NO LIBERE ÁREAS PARA SER APLICADO EL RECUBRIMIENTO,  SE  REALIZARAN LOS CARGOS CORRESPONDIENTES POR TIEMPOS MUERTOS, VIÁTICOS,  Y LOS GASTOS QUE SE GENEREN DERIVADOS DEL MISMO,  EN EL SUPUESTO DE QUE LOS VOLÚMENES CONTRATADOS VARÍEN A LOS EXISTENTES EN OBRA, EL CLIENTE LIQUIDARA EL MATERIAL EXCEDENTE FABRICADO PARA LA MISMA.</t>
  </si>
  <si>
    <t>EL PRESENTE  PRESUPUESTO TIENE UNA VIGENCIA DE 15 DÍAS HÁBILES, AL TERMINO DE ESTA FECHA SE DEBERÁ ACTUALIZAR LA COTIZACIÓN, PARA VERIFICAR LA VIGENCIA DE LOS PRECIOS.</t>
  </si>
  <si>
    <t>ESTE TIPO DE MATERIAL POR SUS COMPONENTES REQUIERE DE UNA SUPERFICIE SECA, LIBRE DE HUMEDAD Y/O SALITRE,  DE LO CONTRARIO NO RECOMENDAMOS LA APLICACIÓN DE NUESTROS PRODUCTOS HASTA CORREGIR EL PROBLEMA, YA QUE NO SEREMOS RESPONSABLES POR DEFECTOS, MANCHAS O DESPRENDIMIENTOS QUE PUDIERAN PRESENTARSE, SI EN LAS SUPERFICIES DONDE SERÁN APLICADOS LOS PRODUCTOS COTIZADOS EXISTIERA PINTURA EN MAL ESTADO O CON FALSA ADHERENCIA, EL CLIENTE SE COMPROMETE A RETIRAR LA MISMA, PREVIO A LA APLICACIÓN DE NUESTROS PRODUCTOS.</t>
  </si>
  <si>
    <t>TODO LO RELACIONADO A LICENCIAS, PERMISOS DE  CONSTRUCCIÓN Y SINDICATOS, CORRERÁ POR  CUENTA DEL CLIENTE.</t>
  </si>
  <si>
    <t>TODA DEVOLUCIÓN DE CHEQUE, CAUSARA EL 20% DE CARGO DE ACUERDO CON EL ART. 193 DE LA LEY GENERAL DE TÍTULOS Y OPERACIONES DE CRÉDITO.</t>
  </si>
  <si>
    <t xml:space="preserve">CHISA RECUBRIMIENTOS, S.A. DE C.V. CON DOMICILIO EN ANDRES MOLINA ENRIQUEZ No. 156 COL. SAN PEDRO IZTACALCO, ALCALDÍA IZTACALCO, EN CIUDAD DE MÉXICO, UTILIZARA SUS DATOS PERSONALES RECABADOS UNICA Y EXCLUSIVAMENTE PARA EFECTOS DE PROPORCIONARLE INFORMACION DE NUESTROS SERVICIOS, PRODUCTOS Y COSTOS. PARA MAYOR INFORMACION ACERCA DEL TRATAMIENTO Y DE LOS DERECHOS QUE PUEDE HACER VALER, USTED PUEDE ACCEDER AL AVISO DE PRIVACIDAD INTEGRAL A TRAVES DE NUESTRA PAGINA DE INTERNET www.chisarecubrimientos.com.mx </t>
  </si>
  <si>
    <t xml:space="preserve">SIN MAS POR EL MOMENTO, LE REITERO A USTED, LAS SEGURIDADES DE MI MAS DISTINGUIDA CONSIDERACIÓN. </t>
  </si>
  <si>
    <t xml:space="preserve">      </t>
  </si>
  <si>
    <t xml:space="preserve">   </t>
  </si>
  <si>
    <t>CANTIDAD</t>
  </si>
  <si>
    <t>IMPORTE</t>
  </si>
  <si>
    <t>CONCEPTO</t>
  </si>
  <si>
    <t>M2</t>
  </si>
  <si>
    <t>ACEPTO</t>
  </si>
  <si>
    <t xml:space="preserve">PRESENTAMOS A SU AMABLE CONSIDERACIÓN EL PRESUPUESTO DE SUMINISTRO DE LOS SIGUIENTES MATERIALES: </t>
  </si>
  <si>
    <t xml:space="preserve">NOTAS: </t>
  </si>
  <si>
    <t xml:space="preserve">  CAROLINA GALVAN</t>
  </si>
  <si>
    <t xml:space="preserve">ANDRES MOLINA ENRIQUEZ #156 COL. SAN PEDRO ALCALDÍA IZTACALCO, C.P. 08220, CDMX. CONTACTO: 55-55-79-9434| 55-55-7908-95| 55-55-79-62-70 ventas@chisarecubrimientos.com.mx|www.chisarecubrimientos.com.mx </t>
  </si>
  <si>
    <r>
      <t xml:space="preserve">PRECIO  U.                </t>
    </r>
    <r>
      <rPr>
        <sz val="9"/>
        <color theme="1"/>
        <rFont val="Times New Roman"/>
        <family val="1"/>
      </rPr>
      <t xml:space="preserve">       </t>
    </r>
  </si>
  <si>
    <t>1.-EL PRESENTE PRESUPUESTO TIENE UNA VIGENCIA DE 5 DIAS HABILES, AL TERMINO  DE ESTA FECHA,   NUESTROS PRECIOS PODRIAN CAMBIAR SIN PREVIO AVISO, EN EL MARGEN QUE VARIEN  NUESTRAS MATERIAS PRIMAS.</t>
  </si>
  <si>
    <r>
      <t xml:space="preserve">2.-AL ACEPTAR EL PRESENTE PRESUPUESTO REQUERIMOS DEL </t>
    </r>
    <r>
      <rPr>
        <b/>
        <sz val="9"/>
        <color theme="1"/>
        <rFont val="Times New Roman"/>
        <family val="1"/>
      </rPr>
      <t>PAGO TOTAL ANTICIPADO</t>
    </r>
  </si>
  <si>
    <t>3.-ENTREGA DE MATERIALES L.A.B. EN LA PLANTA DE CHISA RECUBRIMIENTOS,  S.A. DE C.V.</t>
  </si>
  <si>
    <t>4.-PRECIOS CONSIDERADOS EN LA COMPRA TOTAL EN UNA SOLA EXHIBICION.</t>
  </si>
  <si>
    <r>
      <t xml:space="preserve">5.-CHISA RECUBRIMIENTOS, S.A. DE C.V. CON DOMICILIO EN ANDRES MOLINA ENRIQUEZ No. 156 COL. SAN PEDRO IZTACALCO, ALCALDÍA IZTACALCO EN CDMX, UTILIZARA SUS DATOS PERSONALES RECABADOS UNICA Y EXCLUSIVAMENTE PARA EFECTOS DE PROPORCIONARLE INFORMACION DE NUESTROS SERVICIOS, PRODUCTOS Y COSTOS. PARA MAYOR INFORMACION ACERCA DEL TRATAMIENTO Y DE LOS DERECHOS QUE PUEDE HACER VALER, USTED PUEDE ACCEDER AL AVISO DE PRIVACIDAD INTEGRAL A TRAVES DE NUESTRA PAGINA DE INTERNET </t>
    </r>
    <r>
      <rPr>
        <u/>
        <sz val="9"/>
        <color rgb="FF002060"/>
        <rFont val="Times New Roman"/>
        <family val="1"/>
      </rPr>
      <t>www.chisarecubrimientos.com.mx</t>
    </r>
  </si>
  <si>
    <t xml:space="preserve">                                       ACEPTO</t>
  </si>
  <si>
    <t xml:space="preserve">        ATENTAMENTE</t>
  </si>
  <si>
    <t xml:space="preserve">            ____________________________________                                                               _______________________________________</t>
  </si>
  <si>
    <t>VOLUMEN</t>
  </si>
  <si>
    <t>CUBETA</t>
  </si>
  <si>
    <t>1.- ARENA SILICA MALLA 250-300 (REN 25 M2)</t>
  </si>
  <si>
    <t>2.- SELLADOR INICIAL 4648 (REN 90 M2)</t>
  </si>
  <si>
    <t>3.- PRAIMER GLASS REF. S.M.A. (REN 90 M2)</t>
  </si>
  <si>
    <t>4.- CHISAGLASS REF. S.M.A. (REN 55 M2)</t>
  </si>
  <si>
    <t>3.- VITROGLASS ECOLOGICO (REN 180 M2)</t>
  </si>
  <si>
    <t>OBRA: HOSPITAL JUAREZ CDMX</t>
  </si>
  <si>
    <t xml:space="preserve">               C. GRISELL GALLEGOS</t>
  </si>
  <si>
    <t>C. GRISELL GALLEGOS</t>
  </si>
  <si>
    <t>CIUDAD DE MEXICO A 5 DE DICIEMBRE DEL 2022</t>
  </si>
  <si>
    <t>PRES. REF. 14670-S/2022</t>
  </si>
  <si>
    <t>1.- MORTERO PLASTICO (REN 16 M2)</t>
  </si>
  <si>
    <t xml:space="preserve">                  ____________________________________                                        _______________________________________</t>
  </si>
  <si>
    <r>
      <t>INICIAMOS LOS TRABAJOS PREVIA ENTREGA  DE PAGO TOTAL ANTICIPADO  A LOS</t>
    </r>
    <r>
      <rPr>
        <b/>
        <sz val="9"/>
        <color theme="1"/>
        <rFont val="Times New Roman"/>
        <family val="1"/>
      </rPr>
      <t xml:space="preserve"> 15 DIAS HABILES PARA OBRAS FORANEAS</t>
    </r>
    <r>
      <rPr>
        <sz val="9"/>
        <color theme="1"/>
        <rFont val="Times New Roman"/>
        <family val="1"/>
      </rPr>
      <t xml:space="preserve"> Y EN 5 DIAS HABILES EN OBRAS EN LA CDMX, SIEMPRE Y CUANDO EL ACABADO DE LOS MUROS SEA DE MEZCLA FINO Y LIBRE DE DETALLES DE ALBAÑILERIA Y/O TABLAROCA, EN DICHOS TIEMPOS SE CONSIDERA LA FABRICACION DEL MATERIAL Y EL TRASLADO DE MATERIALES A EL LUGAR DE LOS TRABAJOS.</t>
    </r>
  </si>
  <si>
    <t xml:space="preserve">                                                                                    N O T A S:</t>
  </si>
  <si>
    <t xml:space="preserve">                       LIC. GABRIELA REYES                                                                                    CHISA RECUBRIMIENTOS, S.A. DE C.V</t>
  </si>
  <si>
    <t>OBRA: “HOSPITAL DE ALTA ESPECIALIDAD GRAL. IGNACIO ZARAGOZA.”</t>
  </si>
  <si>
    <r>
      <t>EN CASO DE SER ACEPTADO EL PRESENTE PRESUPUESTO REQUERIMOS</t>
    </r>
    <r>
      <rPr>
        <b/>
        <sz val="9"/>
        <color theme="1"/>
        <rFont val="Times New Roman"/>
        <family val="1"/>
      </rPr>
      <t xml:space="preserve"> PAGO TOTAL ANTICIPADO</t>
    </r>
    <r>
      <rPr>
        <sz val="9"/>
        <color theme="1"/>
        <rFont val="Times New Roman"/>
        <family val="1"/>
      </rPr>
      <t>, EL CUAL SERA APLICADO A LA FABRICACIÓN, Y GASTOS DE ENVIÓ DE MATERIALES AL LUGAR DE LOS TRABAJOS: AL OTORGAR EL PAGO PARA LA EJECUCIÓN DE LOS TRABAJOS, SE CONSIDERA COMO ACEPTADO EL PRESUPUESTO EN TODOS SUS PUNTOS Y EL MISMO FUNGIRÁ COMO CONTRATO.</t>
    </r>
  </si>
  <si>
    <t xml:space="preserve">                 ATENTAMENTE</t>
  </si>
  <si>
    <r>
      <t xml:space="preserve">NOTA: </t>
    </r>
    <r>
      <rPr>
        <sz val="9"/>
        <color theme="1"/>
        <rFont val="Times New Roman"/>
        <family val="1"/>
      </rPr>
      <t xml:space="preserve">PARA LA EJECUCIÓN DE LOS VOLUMENES PLASMADOS EN ESTE PRESUPUESTO ES NECESARIO CONTAR CON UN MINIMO DEL </t>
    </r>
    <r>
      <rPr>
        <b/>
        <sz val="9"/>
        <color theme="1"/>
        <rFont val="Times New Roman"/>
        <family val="1"/>
      </rPr>
      <t>70% DEL AREA TOTAL</t>
    </r>
    <r>
      <rPr>
        <sz val="9"/>
        <color theme="1"/>
        <rFont val="Times New Roman"/>
        <family val="1"/>
      </rPr>
      <t xml:space="preserve">, ESTO CON LA FINALIDAD DE NO REALIZAR CARGOS POSTERIORES DE VIATICOS. SI SE DA EL CASO QUE POR CUESTIONES PROPIAS DE LA OBRA EL PERSONAL DE CHISA RECUBIMIENTOS TIENE QUE REGRESAR EN DISTINTAS OCASIONES, SE HARÁN LOS CARGOS CORRESPONDIENTES DE VIATICOS (PASAJES, COMIDAS Y HOSPEDAJES) LAS VECES QUE SEAN NECESARIOS PARA LA EJECUCIÓN DE LOS TRABAJOS. </t>
    </r>
  </si>
  <si>
    <t xml:space="preserve">CONSTRUCTORA: ASCH, S.A DE C.V </t>
  </si>
  <si>
    <t xml:space="preserve">  </t>
  </si>
  <si>
    <r>
      <t xml:space="preserve">FORMA DE PAGO Y CONSIDERACIONES GENERALES CORRESPONDIENTES AL PRESUPUESTO </t>
    </r>
    <r>
      <rPr>
        <b/>
        <sz val="9"/>
        <color theme="1"/>
        <rFont val="Times New Roman"/>
        <family val="1"/>
      </rPr>
      <t>REF. 16083/2025.</t>
    </r>
  </si>
  <si>
    <t>CIUDAD DE MEXICO A 21 DE ENERO DEL 2026</t>
  </si>
  <si>
    <t xml:space="preserve">                       AT´N: LIC. NILDA REYES</t>
  </si>
  <si>
    <t>PRES. REF. 16383/2026CG</t>
  </si>
  <si>
    <r>
      <t>1.-SUMINISTRO Y APLICACIÓN DE RECUBRIMIENTO CHISA GLASS REF-S.M.A. EN MUROS CON SUPERFICIE LISA, INCLUYE :</t>
    </r>
    <r>
      <rPr>
        <sz val="9"/>
        <color theme="1"/>
        <rFont val="Times New Roman"/>
        <family val="1"/>
      </rPr>
      <t xml:space="preserve">   APLICACIÓN DE PRAIMER GLASS APLICADO CON RODILLO DE FELPA Y BROCHA, APLICACIÓN DE RECUBRIMIENTO CHISA GLASS REF-S.M.A. CON EQUIPO NEUMÁTICO POR ASPERSIÓN DE AIRE, APLICACIÓN DE VITROGLASS ECOLÓGICO CON RODILLO DE FELPA Y BROCHA,   PROTECCIÓN DE SUPERFICIES ADYACENTES  CON PAPEL Y MASKING TAPE, LIMPIEZA Y  RETIRO DE SOBRANTES PROPIOS HASTA EL LUGAR INDICADO DENTRO DE  OBRA, FLETE, Y MANO DE OBRA ESPECIALIZADA, TODO LO ANTERIOR CONSIDERADO HASTA UNA ALTURA DE  2.70  MTS.   Y  DEMÁS DERIVADOS DEL USO DE HERRAMIENTA. NO INCLUYE ANDAMIAJE.</t>
    </r>
  </si>
  <si>
    <r>
      <t xml:space="preserve">2.-SUMINISTRO Y APLICACIÓN DE EPOXIGLASS REF. S.M.A. SOBRE SUPERFICIE DE PISO Y MURO, INCLUYE: </t>
    </r>
    <r>
      <rPr>
        <sz val="9"/>
        <color theme="1"/>
        <rFont val="Times New Roman"/>
        <family val="1"/>
      </rPr>
      <t>LIMPIEZA DE LA SUPERFICIE; APLICACION DE EPOXI-SELLADOR 4648 A MANO CON RODILLO DE FELPA Y BROCHA, APLICACION DE EPOXIGLASS PROTECCIÓN DE SUPERFICIES ADYACENTES  CON PAPEL Y MASKING TAPE, LIMPIEZA Y  RETIRO DE SOBRANTES PROPIOS HASTA EL LUGAR INDICADO DENTRO DE  OBRA, FLETE, Y MANO DE OBRA ESPECIALIZADA Y  DEMÁS DERIVADOS DEL USO DE HERRAMIENTA.</t>
    </r>
  </si>
  <si>
    <t>OBRA: HOSPITAL 20 DE NOVIEMBRE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</si>
</sst>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8" formatCode="&quot;$&quot;#,##0.00;[Red]\-&quot;$&quot;#,##0.00"/>
    <numFmt numFmtId="44" formatCode="_-&quot;$&quot;* #,##0.00_-;\-&quot;$&quot;* #,##0.00_-;_-&quot;$&quot;* &quot;-&quot;??_-;_-@_-"/>
  </numFmts>
  <fonts count="12" x14ac:knownFonts="1">
    <font>
      <sz val="11"/>
      <color theme="1"/>
      <name val="Calibri"/>
      <family val="2"/>
      <scheme val="minor"/>
    </font>
    <font>
      <sz val="9"/>
      <color theme="1"/>
      <name val="Times New Roman"/>
      <family val="1"/>
    </font>
    <font>
      <b/>
      <sz val="9"/>
      <color theme="1"/>
      <name val="Times New Roman"/>
      <family val="1"/>
    </font>
    <font>
      <b/>
      <sz val="8"/>
      <color theme="1"/>
      <name val="Times New Roman"/>
      <family val="1"/>
    </font>
    <font>
      <b/>
      <u/>
      <sz val="9"/>
      <color theme="1"/>
      <name val="Times New Roman"/>
      <family val="1"/>
    </font>
    <font>
      <sz val="5"/>
      <color theme="1"/>
      <name val="Times New Roman"/>
      <family val="1"/>
    </font>
    <font>
      <sz val="11"/>
      <color theme="1"/>
      <name val="Calibri"/>
      <family val="2"/>
      <scheme val="minor"/>
    </font>
    <font>
      <b/>
      <sz val="10"/>
      <color rgb="FF002060"/>
      <name val="Calibri"/>
      <family val="2"/>
    </font>
    <font>
      <b/>
      <sz val="8"/>
      <color rgb="FF002060"/>
      <name val="Calibri"/>
      <family val="2"/>
    </font>
    <font>
      <u/>
      <sz val="9"/>
      <color rgb="FF002060"/>
      <name val="Times New Roman"/>
      <family val="1"/>
    </font>
    <font>
      <sz val="11"/>
      <color theme="1"/>
      <name val="Times New Roman"/>
      <family val="1"/>
    </font>
    <font>
      <sz val="8"/>
      <color theme="1"/>
      <name val="Times New Roman"/>
      <family val="1"/>
    </font>
  </fonts>
  <fills count="2">
    <fill>
      <patternFill patternType="none"/>
    </fill>
    <fill>
      <patternFill patternType="gray125"/>
    </fill>
  </fills>
  <borders count="1">
    <border>
      <left/>
      <right/>
      <top/>
      <bottom/>
      <diagonal/>
    </border>
  </borders>
  <cellStyleXfs count="2">
    <xf numFmtId="0" fontId="0" fillId="0" borderId="0"/>
    <xf numFmtId="44" fontId="6" fillId="0" borderId="0" applyFont="0" applyFill="0" applyBorder="0" applyAlignment="0" applyProtection="0"/>
  </cellStyleXfs>
  <cellXfs count="65">
    <xf numFmtId="0" fontId="0" fillId="0" borderId="0" xfId="0"/>
    <xf numFmtId="0" fontId="2" fillId="0" borderId="0" xfId="0" applyFont="1" applyAlignment="1">
      <alignment vertical="center"/>
    </xf>
    <xf numFmtId="0" fontId="2" fillId="0" borderId="0" xfId="0" applyFont="1" applyAlignment="1">
      <alignment horizontal="right" vertical="center"/>
    </xf>
    <xf numFmtId="0" fontId="3" fillId="0" borderId="0" xfId="0" applyFont="1" applyAlignment="1">
      <alignment horizontal="justify" vertical="center"/>
    </xf>
    <xf numFmtId="0" fontId="1" fillId="0" borderId="0" xfId="0" applyFont="1" applyAlignment="1">
      <alignment vertical="center" wrapText="1"/>
    </xf>
    <xf numFmtId="0" fontId="1" fillId="0" borderId="0" xfId="0" applyFont="1" applyAlignment="1">
      <alignment horizontal="justify" vertical="center" wrapText="1"/>
    </xf>
    <xf numFmtId="0" fontId="1" fillId="0" borderId="0" xfId="0" applyFont="1" applyAlignment="1">
      <alignment horizontal="center" vertical="center" wrapText="1"/>
    </xf>
    <xf numFmtId="0" fontId="1" fillId="0" borderId="0" xfId="0" applyFont="1" applyAlignment="1">
      <alignment horizontal="left" vertical="center"/>
    </xf>
    <xf numFmtId="0" fontId="1" fillId="0" borderId="0" xfId="0" applyFont="1" applyAlignment="1">
      <alignment horizontal="center" vertical="center"/>
    </xf>
    <xf numFmtId="0" fontId="4" fillId="0" borderId="0" xfId="0" applyFont="1" applyAlignment="1">
      <alignment horizontal="justify" vertical="top" wrapText="1"/>
    </xf>
    <xf numFmtId="0" fontId="0" fillId="0" borderId="0" xfId="0" applyAlignment="1">
      <alignment horizontal="justify"/>
    </xf>
    <xf numFmtId="0" fontId="2" fillId="0" borderId="0" xfId="0" applyFont="1" applyAlignment="1">
      <alignment horizontal="justify" vertical="center"/>
    </xf>
    <xf numFmtId="0" fontId="1" fillId="0" borderId="0" xfId="0" applyFont="1" applyAlignment="1">
      <alignment horizontal="justify" vertical="center"/>
    </xf>
    <xf numFmtId="8" fontId="1" fillId="0" borderId="0" xfId="0" applyNumberFormat="1" applyFont="1" applyAlignment="1">
      <alignment horizontal="justify" wrapText="1"/>
    </xf>
    <xf numFmtId="0" fontId="0" fillId="0" borderId="0" xfId="0" applyAlignment="1">
      <alignment horizontal="justify" vertical="top" wrapText="1"/>
    </xf>
    <xf numFmtId="0" fontId="5" fillId="0" borderId="0" xfId="0" applyFont="1" applyAlignment="1">
      <alignment horizontal="justify" vertical="center"/>
    </xf>
    <xf numFmtId="0" fontId="4" fillId="0" borderId="0" xfId="0" applyFont="1" applyAlignment="1">
      <alignment horizontal="right" vertical="top" wrapText="1"/>
    </xf>
    <xf numFmtId="0" fontId="1" fillId="0" borderId="0" xfId="0" applyFont="1" applyAlignment="1">
      <alignment horizontal="right" wrapText="1"/>
    </xf>
    <xf numFmtId="0" fontId="1" fillId="0" borderId="0" xfId="0" applyFont="1" applyAlignment="1">
      <alignment horizontal="right" vertical="center" wrapText="1"/>
    </xf>
    <xf numFmtId="8" fontId="1" fillId="0" borderId="0" xfId="0" applyNumberFormat="1" applyFont="1" applyAlignment="1">
      <alignment horizontal="right" wrapText="1"/>
    </xf>
    <xf numFmtId="44" fontId="1" fillId="0" borderId="0" xfId="1" applyFont="1" applyAlignment="1">
      <alignment horizontal="right" wrapText="1"/>
    </xf>
    <xf numFmtId="44" fontId="1" fillId="0" borderId="0" xfId="1" applyFont="1" applyAlignment="1">
      <alignment horizontal="right" vertical="center" wrapText="1"/>
    </xf>
    <xf numFmtId="0" fontId="0" fillId="0" borderId="0" xfId="0" applyAlignment="1">
      <alignment horizontal="center"/>
    </xf>
    <xf numFmtId="0" fontId="1" fillId="0" borderId="0" xfId="0" applyFont="1" applyAlignment="1">
      <alignment vertical="center"/>
    </xf>
    <xf numFmtId="0" fontId="1" fillId="0" borderId="0" xfId="0" applyFont="1" applyAlignment="1">
      <alignment vertical="top"/>
    </xf>
    <xf numFmtId="0" fontId="0" fillId="0" borderId="0" xfId="0" applyAlignment="1">
      <alignment horizontal="left"/>
    </xf>
    <xf numFmtId="0" fontId="0" fillId="0" borderId="0" xfId="0" applyAlignment="1">
      <alignment horizontal="right" vertical="top"/>
    </xf>
    <xf numFmtId="0" fontId="1" fillId="0" borderId="0" xfId="0" applyFont="1" applyAlignment="1">
      <alignment horizontal="justify" vertical="top" wrapText="1"/>
    </xf>
    <xf numFmtId="0" fontId="2" fillId="0" borderId="0" xfId="0" applyFont="1" applyAlignment="1">
      <alignment horizontal="left" vertical="center"/>
    </xf>
    <xf numFmtId="0" fontId="7" fillId="0" borderId="0" xfId="0" applyFont="1"/>
    <xf numFmtId="0" fontId="1" fillId="0" borderId="0" xfId="0" applyFont="1"/>
    <xf numFmtId="0" fontId="1" fillId="0" borderId="0" xfId="0" applyFont="1" applyAlignment="1">
      <alignment horizontal="justify"/>
    </xf>
    <xf numFmtId="44" fontId="1" fillId="0" borderId="0" xfId="1" applyFont="1" applyAlignment="1">
      <alignment horizontal="center" wrapText="1"/>
    </xf>
    <xf numFmtId="0" fontId="1" fillId="0" borderId="0" xfId="0" applyFont="1" applyAlignment="1">
      <alignment horizontal="left" wrapText="1"/>
    </xf>
    <xf numFmtId="0" fontId="1" fillId="0" borderId="0" xfId="0" applyFont="1" applyAlignment="1">
      <alignment horizontal="left"/>
    </xf>
    <xf numFmtId="0" fontId="1" fillId="0" borderId="0" xfId="0" applyFont="1" applyAlignment="1">
      <alignment horizontal="center" wrapText="1"/>
    </xf>
    <xf numFmtId="44" fontId="10" fillId="0" borderId="0" xfId="1" applyFont="1" applyAlignment="1">
      <alignment horizontal="right" wrapText="1"/>
    </xf>
    <xf numFmtId="4" fontId="0" fillId="0" borderId="0" xfId="0" applyNumberFormat="1" applyAlignment="1">
      <alignment horizontal="center" wrapText="1"/>
    </xf>
    <xf numFmtId="44" fontId="6" fillId="0" borderId="0" xfId="1" applyFont="1" applyAlignment="1">
      <alignment horizontal="right" vertical="center" wrapText="1"/>
    </xf>
    <xf numFmtId="0" fontId="0" fillId="0" borderId="0" xfId="0" applyAlignment="1">
      <alignment horizontal="justify" vertical="center" wrapText="1"/>
    </xf>
    <xf numFmtId="0" fontId="4" fillId="0" borderId="0" xfId="0" applyFont="1" applyAlignment="1">
      <alignment horizontal="justify" vertical="center"/>
    </xf>
    <xf numFmtId="0" fontId="2" fillId="0" borderId="0" xfId="0" applyFont="1" applyAlignment="1">
      <alignment horizontal="center" vertical="center"/>
    </xf>
    <xf numFmtId="0" fontId="3" fillId="0" borderId="0" xfId="0" applyFont="1" applyAlignment="1">
      <alignment vertical="center"/>
    </xf>
    <xf numFmtId="0" fontId="11" fillId="0" borderId="0" xfId="0" applyFont="1"/>
    <xf numFmtId="0" fontId="3" fillId="0" borderId="0" xfId="0" applyFont="1"/>
    <xf numFmtId="44" fontId="6" fillId="0" borderId="0" xfId="1" applyFont="1" applyAlignment="1">
      <alignment horizontal="center" vertical="center" wrapText="1"/>
    </xf>
    <xf numFmtId="44" fontId="6" fillId="0" borderId="0" xfId="1" applyFont="1" applyAlignment="1">
      <alignment wrapText="1"/>
    </xf>
    <xf numFmtId="44" fontId="6" fillId="0" borderId="0" xfId="1" applyFont="1" applyAlignment="1">
      <alignment horizontal="right" wrapText="1"/>
    </xf>
    <xf numFmtId="0" fontId="1" fillId="0" borderId="0" xfId="0" applyFont="1" applyAlignment="1">
      <alignment horizontal="left" vertical="top" indent="8"/>
    </xf>
    <xf numFmtId="0" fontId="2" fillId="0" borderId="0" xfId="0" applyFont="1" applyAlignment="1">
      <alignment horizontal="left" vertical="center"/>
    </xf>
    <xf numFmtId="0" fontId="1" fillId="0" borderId="0" xfId="0" applyFont="1" applyAlignment="1">
      <alignment horizontal="justify" vertical="top" wrapText="1"/>
    </xf>
    <xf numFmtId="0" fontId="2" fillId="0" borderId="0" xfId="0" applyFont="1" applyAlignment="1">
      <alignment horizontal="right" vertical="center"/>
    </xf>
    <xf numFmtId="0" fontId="1" fillId="0" borderId="0" xfId="0" applyFont="1" applyAlignment="1">
      <alignment horizontal="right" vertical="center"/>
    </xf>
    <xf numFmtId="0" fontId="1" fillId="0" borderId="0" xfId="0" applyFont="1" applyAlignment="1">
      <alignment horizontal="left" vertical="center"/>
    </xf>
    <xf numFmtId="0" fontId="2" fillId="0" borderId="0" xfId="0" applyFont="1" applyAlignment="1">
      <alignment horizontal="justify" vertical="center" wrapText="1"/>
    </xf>
    <xf numFmtId="0" fontId="1" fillId="0" borderId="0" xfId="0" applyFont="1" applyAlignment="1">
      <alignment horizontal="justify" vertical="center" wrapText="1"/>
    </xf>
    <xf numFmtId="0" fontId="1" fillId="0" borderId="0" xfId="0" applyFont="1" applyAlignment="1">
      <alignment horizontal="left"/>
    </xf>
    <xf numFmtId="0" fontId="2" fillId="0" borderId="0" xfId="0" applyFont="1" applyAlignment="1">
      <alignment horizontal="center" vertical="center"/>
    </xf>
    <xf numFmtId="0" fontId="2" fillId="0" borderId="0" xfId="0" applyFont="1" applyAlignment="1">
      <alignment horizontal="justify" vertical="top" wrapText="1"/>
    </xf>
    <xf numFmtId="0" fontId="2" fillId="0" borderId="0" xfId="0" applyFont="1" applyAlignment="1">
      <alignment horizontal="left"/>
    </xf>
    <xf numFmtId="0" fontId="1" fillId="0" borderId="0" xfId="0" applyFont="1" applyAlignment="1">
      <alignment horizontal="justify" vertical="justify" wrapText="1"/>
    </xf>
    <xf numFmtId="0" fontId="8" fillId="0" borderId="0" xfId="0" applyFont="1" applyAlignment="1">
      <alignment horizontal="center" wrapText="1"/>
    </xf>
    <xf numFmtId="0" fontId="7" fillId="0" borderId="0" xfId="0" applyFont="1" applyAlignment="1">
      <alignment horizontal="center" wrapText="1"/>
    </xf>
    <xf numFmtId="0" fontId="1" fillId="0" borderId="0" xfId="0" applyFont="1"/>
    <xf numFmtId="0" fontId="1" fillId="0" borderId="0" xfId="0" applyFont="1" applyAlignment="1">
      <alignment horizontal="left" vertical="top"/>
    </xf>
  </cellXfs>
  <cellStyles count="2">
    <cellStyle name="Moneda"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3.jpg"/></Relationships>
</file>

<file path=xl/drawings/_rels/vmlDrawing1.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4</xdr:col>
      <xdr:colOff>114300</xdr:colOff>
      <xdr:row>0</xdr:row>
      <xdr:rowOff>152400</xdr:rowOff>
    </xdr:from>
    <xdr:to>
      <xdr:col>5</xdr:col>
      <xdr:colOff>628650</xdr:colOff>
      <xdr:row>4</xdr:row>
      <xdr:rowOff>28575</xdr:rowOff>
    </xdr:to>
    <xdr:pic>
      <xdr:nvPicPr>
        <xdr:cNvPr id="2" name="Picture 48">
          <a:extLst>
            <a:ext uri="{FF2B5EF4-FFF2-40B4-BE49-F238E27FC236}">
              <a16:creationId xmlns:a16="http://schemas.microsoft.com/office/drawing/2014/main" id="{EB8D8035-864B-4627-AA42-BDD48C48833C}"/>
            </a:ext>
          </a:extLst>
        </xdr:cNvPr>
        <xdr:cNvPicPr/>
      </xdr:nvPicPr>
      <xdr:blipFill>
        <a:blip xmlns:r="http://schemas.openxmlformats.org/officeDocument/2006/relationships" r:embed="rId1"/>
        <a:stretch>
          <a:fillRect/>
        </a:stretch>
      </xdr:blipFill>
      <xdr:spPr>
        <a:xfrm>
          <a:off x="4933950" y="152400"/>
          <a:ext cx="1171575" cy="638175"/>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H55"/>
  <sheetViews>
    <sheetView tabSelected="1" topLeftCell="A20" zoomScaleNormal="100" workbookViewId="0">
      <selection activeCell="E24" sqref="E24"/>
    </sheetView>
  </sheetViews>
  <sheetFormatPr baseColWidth="10" defaultRowHeight="15" x14ac:dyDescent="0.25"/>
  <cols>
    <col min="1" max="1" width="47.42578125" customWidth="1"/>
    <col min="2" max="2" width="11.85546875" customWidth="1"/>
    <col min="3" max="3" width="12.28515625" customWidth="1"/>
    <col min="4" max="4" width="13.7109375" customWidth="1"/>
    <col min="5" max="5" width="15.85546875" customWidth="1"/>
    <col min="7" max="7" width="12.28515625" bestFit="1" customWidth="1"/>
  </cols>
  <sheetData>
    <row r="2" spans="1:8" x14ac:dyDescent="0.25">
      <c r="A2" s="52" t="s">
        <v>61</v>
      </c>
      <c r="B2" s="52"/>
      <c r="C2" s="52"/>
      <c r="D2" s="52"/>
      <c r="E2" s="52"/>
      <c r="F2" s="7"/>
    </row>
    <row r="3" spans="1:8" x14ac:dyDescent="0.25">
      <c r="A3" s="1"/>
      <c r="B3" s="1"/>
    </row>
    <row r="4" spans="1:8" x14ac:dyDescent="0.25">
      <c r="A4" s="42"/>
      <c r="B4" s="43"/>
      <c r="C4" s="43"/>
    </row>
    <row r="5" spans="1:8" x14ac:dyDescent="0.25">
      <c r="A5" s="44"/>
      <c r="B5" s="43"/>
      <c r="C5" s="43"/>
    </row>
    <row r="6" spans="1:8" x14ac:dyDescent="0.25">
      <c r="A6" s="44"/>
      <c r="B6" s="43"/>
      <c r="C6" s="43"/>
    </row>
    <row r="7" spans="1:8" x14ac:dyDescent="0.25">
      <c r="A7" s="44"/>
      <c r="B7" s="43"/>
      <c r="C7" s="43"/>
    </row>
    <row r="8" spans="1:8" x14ac:dyDescent="0.25">
      <c r="A8" s="42" t="s">
        <v>58</v>
      </c>
      <c r="B8" s="43"/>
      <c r="C8" s="43"/>
    </row>
    <row r="9" spans="1:8" x14ac:dyDescent="0.25">
      <c r="A9" s="1" t="s">
        <v>0</v>
      </c>
      <c r="B9" s="1"/>
    </row>
    <row r="10" spans="1:8" x14ac:dyDescent="0.25">
      <c r="A10" s="1" t="s">
        <v>1</v>
      </c>
      <c r="B10" s="1"/>
    </row>
    <row r="11" spans="1:8" x14ac:dyDescent="0.25">
      <c r="A11" s="51" t="s">
        <v>62</v>
      </c>
      <c r="B11" s="51"/>
      <c r="C11" s="51"/>
      <c r="D11" s="51"/>
      <c r="E11" s="51"/>
      <c r="F11" s="1"/>
      <c r="G11" s="1"/>
      <c r="H11" s="1"/>
    </row>
    <row r="12" spans="1:8" x14ac:dyDescent="0.25">
      <c r="A12" s="2"/>
      <c r="B12" s="2"/>
    </row>
    <row r="13" spans="1:8" x14ac:dyDescent="0.25">
      <c r="A13" s="49"/>
      <c r="B13" s="49"/>
      <c r="C13" s="49"/>
      <c r="D13" s="49"/>
      <c r="E13" s="49"/>
    </row>
    <row r="14" spans="1:8" x14ac:dyDescent="0.25">
      <c r="A14" s="49" t="s">
        <v>66</v>
      </c>
      <c r="B14" s="49"/>
      <c r="C14" s="49"/>
      <c r="D14" s="49"/>
      <c r="E14" s="49"/>
    </row>
    <row r="15" spans="1:8" x14ac:dyDescent="0.25">
      <c r="A15" s="11" t="s">
        <v>63</v>
      </c>
      <c r="B15" s="11"/>
      <c r="C15" s="10"/>
      <c r="D15" s="10"/>
      <c r="E15" s="10"/>
    </row>
    <row r="16" spans="1:8" x14ac:dyDescent="0.25">
      <c r="A16" s="12" t="s">
        <v>2</v>
      </c>
      <c r="B16" s="12"/>
      <c r="C16" s="10"/>
      <c r="D16" s="10"/>
      <c r="E16" s="10"/>
    </row>
    <row r="17" spans="1:8" ht="30" customHeight="1" x14ac:dyDescent="0.25">
      <c r="A17" s="50" t="s">
        <v>3</v>
      </c>
      <c r="B17" s="50"/>
      <c r="C17" s="50"/>
      <c r="D17" s="50"/>
      <c r="E17" s="50"/>
      <c r="F17" s="4"/>
      <c r="G17" s="4"/>
      <c r="H17" s="4"/>
    </row>
    <row r="18" spans="1:8" x14ac:dyDescent="0.25">
      <c r="A18" s="11" t="s">
        <v>21</v>
      </c>
      <c r="B18" s="2" t="s">
        <v>37</v>
      </c>
      <c r="C18" s="41" t="s">
        <v>19</v>
      </c>
      <c r="D18" s="41" t="s">
        <v>28</v>
      </c>
      <c r="E18" s="41" t="s">
        <v>20</v>
      </c>
      <c r="F18" s="3"/>
      <c r="G18" s="3"/>
      <c r="H18" s="3"/>
    </row>
    <row r="19" spans="1:8" ht="197.25" customHeight="1" x14ac:dyDescent="0.25">
      <c r="A19" s="40" t="s">
        <v>64</v>
      </c>
      <c r="B19" s="22" t="s">
        <v>22</v>
      </c>
      <c r="C19" s="37">
        <v>1</v>
      </c>
      <c r="D19" s="47">
        <v>185.59</v>
      </c>
      <c r="E19" s="47">
        <f>D19*C19</f>
        <v>185.59</v>
      </c>
      <c r="F19" s="13"/>
    </row>
    <row r="20" spans="1:8" ht="139.5" customHeight="1" x14ac:dyDescent="0.25">
      <c r="A20" s="40" t="s">
        <v>65</v>
      </c>
      <c r="B20" s="22" t="s">
        <v>22</v>
      </c>
      <c r="C20" s="37">
        <v>1</v>
      </c>
      <c r="D20" s="47">
        <v>1957.5</v>
      </c>
      <c r="E20" s="47">
        <f>D20*C20</f>
        <v>1957.5</v>
      </c>
      <c r="F20" s="13"/>
    </row>
    <row r="21" spans="1:8" ht="35.25" customHeight="1" x14ac:dyDescent="0.25">
      <c r="A21" s="40"/>
      <c r="B21" s="22"/>
      <c r="C21" s="37"/>
      <c r="D21" s="47"/>
      <c r="E21" s="47"/>
      <c r="F21" s="13"/>
    </row>
    <row r="22" spans="1:8" ht="12.75" customHeight="1" x14ac:dyDescent="0.25">
      <c r="A22" s="40"/>
      <c r="B22" s="22"/>
      <c r="C22" s="37" t="s">
        <v>59</v>
      </c>
      <c r="D22" s="46"/>
      <c r="E22" s="36"/>
      <c r="F22" s="13"/>
    </row>
    <row r="23" spans="1:8" x14ac:dyDescent="0.25">
      <c r="A23" s="5"/>
      <c r="B23" s="5"/>
      <c r="C23" s="10"/>
      <c r="D23" s="39" t="s">
        <v>4</v>
      </c>
      <c r="E23" s="45">
        <f>SUM(E19:E22)</f>
        <v>2143.09</v>
      </c>
      <c r="F23" s="6"/>
      <c r="G23" s="21"/>
    </row>
    <row r="24" spans="1:8" x14ac:dyDescent="0.25">
      <c r="A24" s="5"/>
      <c r="B24" s="5"/>
      <c r="C24" s="5"/>
      <c r="D24" s="39" t="s">
        <v>5</v>
      </c>
      <c r="E24" s="45">
        <f>E23*16%</f>
        <v>342.89440000000002</v>
      </c>
      <c r="F24" s="21"/>
      <c r="G24" s="21"/>
    </row>
    <row r="25" spans="1:8" x14ac:dyDescent="0.25">
      <c r="A25" s="5"/>
      <c r="B25" s="5"/>
      <c r="C25" s="14"/>
      <c r="D25" s="39" t="s">
        <v>6</v>
      </c>
      <c r="E25" s="45">
        <f>SUM(E23:E24)</f>
        <v>2485.9844000000003</v>
      </c>
      <c r="F25" s="6"/>
      <c r="G25" s="21"/>
    </row>
    <row r="26" spans="1:8" x14ac:dyDescent="0.25">
      <c r="A26" s="5"/>
      <c r="B26" s="5"/>
      <c r="C26" s="14"/>
      <c r="D26" s="39"/>
      <c r="E26" s="38"/>
      <c r="F26" s="6"/>
      <c r="G26" s="21"/>
    </row>
    <row r="27" spans="1:8" x14ac:dyDescent="0.25">
      <c r="A27" s="5"/>
      <c r="B27" s="5"/>
      <c r="C27" s="14"/>
      <c r="D27" s="39"/>
      <c r="E27" s="38"/>
      <c r="F27" s="6"/>
      <c r="G27" s="21"/>
    </row>
    <row r="28" spans="1:8" x14ac:dyDescent="0.25">
      <c r="A28" s="5"/>
      <c r="B28" s="5"/>
      <c r="C28" s="14"/>
      <c r="D28" s="39"/>
      <c r="E28" s="38"/>
      <c r="F28" s="6"/>
      <c r="G28" s="21"/>
    </row>
    <row r="29" spans="1:8" ht="79.5" customHeight="1" x14ac:dyDescent="0.25">
      <c r="A29" s="54" t="s">
        <v>57</v>
      </c>
      <c r="B29" s="55"/>
      <c r="C29" s="55"/>
      <c r="D29" s="55"/>
      <c r="E29" s="55"/>
      <c r="F29" s="6"/>
      <c r="G29" s="21"/>
    </row>
    <row r="30" spans="1:8" ht="10.5" customHeight="1" x14ac:dyDescent="0.25">
      <c r="A30" s="5"/>
      <c r="B30" s="5"/>
      <c r="C30" s="14"/>
      <c r="D30" s="5"/>
      <c r="E30" s="5"/>
      <c r="F30" s="6"/>
    </row>
    <row r="31" spans="1:8" x14ac:dyDescent="0.25">
      <c r="A31" s="53" t="s">
        <v>60</v>
      </c>
      <c r="B31" s="53"/>
      <c r="C31" s="53"/>
      <c r="D31" s="53"/>
      <c r="E31" s="53"/>
    </row>
    <row r="32" spans="1:8" x14ac:dyDescent="0.25">
      <c r="A32" s="49" t="s">
        <v>54</v>
      </c>
      <c r="B32" s="49"/>
      <c r="C32" s="49"/>
      <c r="D32" s="49"/>
      <c r="E32" s="49"/>
    </row>
    <row r="33" spans="1:6" x14ac:dyDescent="0.25">
      <c r="A33" s="1"/>
      <c r="B33" s="28"/>
      <c r="C33" s="28"/>
      <c r="D33" s="28"/>
      <c r="E33" s="28"/>
    </row>
    <row r="34" spans="1:6" x14ac:dyDescent="0.25">
      <c r="A34" s="57" t="s">
        <v>7</v>
      </c>
      <c r="B34" s="57"/>
      <c r="C34" s="57"/>
      <c r="D34" s="57"/>
      <c r="E34" s="57"/>
    </row>
    <row r="35" spans="1:6" ht="69" customHeight="1" x14ac:dyDescent="0.25">
      <c r="A35" s="55" t="s">
        <v>55</v>
      </c>
      <c r="B35" s="55"/>
      <c r="C35" s="55"/>
      <c r="D35" s="55"/>
      <c r="E35" s="55"/>
      <c r="F35" s="6"/>
    </row>
    <row r="36" spans="1:6" x14ac:dyDescent="0.25">
      <c r="A36" s="59" t="s">
        <v>52</v>
      </c>
      <c r="B36" s="59"/>
      <c r="C36" s="59"/>
      <c r="D36" s="59"/>
      <c r="E36" s="59"/>
    </row>
    <row r="37" spans="1:6" ht="33" customHeight="1" x14ac:dyDescent="0.25">
      <c r="A37" s="55" t="s">
        <v>8</v>
      </c>
      <c r="B37" s="55"/>
      <c r="C37" s="55"/>
      <c r="D37" s="55"/>
      <c r="E37" s="55"/>
    </row>
    <row r="38" spans="1:6" ht="50.25" customHeight="1" x14ac:dyDescent="0.25">
      <c r="A38" s="50" t="s">
        <v>9</v>
      </c>
      <c r="B38" s="50"/>
      <c r="C38" s="50"/>
      <c r="D38" s="50"/>
      <c r="E38" s="50"/>
    </row>
    <row r="39" spans="1:6" ht="64.5" customHeight="1" x14ac:dyDescent="0.25">
      <c r="A39" s="58" t="s">
        <v>10</v>
      </c>
      <c r="B39" s="58"/>
      <c r="C39" s="58"/>
      <c r="D39" s="58"/>
      <c r="E39" s="58"/>
    </row>
    <row r="40" spans="1:6" ht="27.75" customHeight="1" x14ac:dyDescent="0.25">
      <c r="A40" s="50" t="s">
        <v>11</v>
      </c>
      <c r="B40" s="50"/>
      <c r="C40" s="50"/>
      <c r="D40" s="50"/>
      <c r="E40" s="50"/>
    </row>
    <row r="41" spans="1:6" ht="77.25" customHeight="1" x14ac:dyDescent="0.25">
      <c r="A41" s="55" t="s">
        <v>12</v>
      </c>
      <c r="B41" s="55"/>
      <c r="C41" s="55"/>
      <c r="D41" s="55"/>
      <c r="E41" s="55"/>
    </row>
    <row r="42" spans="1:6" ht="28.5" customHeight="1" x14ac:dyDescent="0.25">
      <c r="A42" s="55" t="s">
        <v>13</v>
      </c>
      <c r="B42" s="55"/>
      <c r="C42" s="55"/>
      <c r="D42" s="55"/>
      <c r="E42" s="55"/>
    </row>
    <row r="43" spans="1:6" ht="57" customHeight="1" x14ac:dyDescent="0.25">
      <c r="A43" s="55" t="s">
        <v>51</v>
      </c>
      <c r="B43" s="55"/>
      <c r="C43" s="55"/>
      <c r="D43" s="55"/>
      <c r="E43" s="55"/>
    </row>
    <row r="44" spans="1:6" ht="24" customHeight="1" x14ac:dyDescent="0.25">
      <c r="A44" s="55" t="s">
        <v>14</v>
      </c>
      <c r="B44" s="55"/>
      <c r="C44" s="55"/>
      <c r="D44" s="55"/>
      <c r="E44" s="55"/>
    </row>
    <row r="45" spans="1:6" ht="77.25" customHeight="1" x14ac:dyDescent="0.25">
      <c r="A45" s="50" t="s">
        <v>15</v>
      </c>
      <c r="B45" s="50"/>
      <c r="C45" s="50"/>
      <c r="D45" s="50"/>
      <c r="E45" s="50"/>
    </row>
    <row r="46" spans="1:6" ht="24.75" customHeight="1" x14ac:dyDescent="0.25">
      <c r="A46" s="55" t="s">
        <v>16</v>
      </c>
      <c r="B46" s="55"/>
      <c r="C46" s="55"/>
      <c r="D46" s="55"/>
      <c r="E46" s="55"/>
    </row>
    <row r="47" spans="1:6" x14ac:dyDescent="0.25">
      <c r="A47" s="12" t="s">
        <v>17</v>
      </c>
      <c r="B47" s="12"/>
      <c r="C47" s="10"/>
      <c r="D47" s="10"/>
      <c r="E47" s="10"/>
    </row>
    <row r="48" spans="1:6" x14ac:dyDescent="0.25">
      <c r="A48" s="12" t="s">
        <v>18</v>
      </c>
      <c r="B48" s="12"/>
      <c r="C48" s="10"/>
      <c r="D48" s="10"/>
      <c r="E48" s="10"/>
    </row>
    <row r="49" spans="1:5" x14ac:dyDescent="0.25">
      <c r="A49" s="48" t="s">
        <v>23</v>
      </c>
      <c r="B49" s="8"/>
      <c r="C49" s="56" t="s">
        <v>56</v>
      </c>
      <c r="D49" s="56"/>
      <c r="E49" s="56"/>
    </row>
    <row r="50" spans="1:5" x14ac:dyDescent="0.25">
      <c r="A50" s="15"/>
      <c r="B50" s="15"/>
      <c r="C50" s="10"/>
      <c r="D50" s="10"/>
      <c r="E50" s="10"/>
    </row>
    <row r="51" spans="1:5" x14ac:dyDescent="0.25">
      <c r="A51" s="12"/>
      <c r="B51" s="12"/>
      <c r="C51" s="10"/>
      <c r="D51" s="10"/>
      <c r="E51" s="10"/>
    </row>
    <row r="52" spans="1:5" x14ac:dyDescent="0.25">
      <c r="A52" s="23" t="s">
        <v>50</v>
      </c>
      <c r="B52" s="23"/>
      <c r="C52" s="10"/>
      <c r="D52" s="10"/>
      <c r="E52" s="10"/>
    </row>
    <row r="53" spans="1:5" x14ac:dyDescent="0.25">
      <c r="A53" s="24" t="s">
        <v>53</v>
      </c>
      <c r="B53" s="24"/>
      <c r="C53" s="31"/>
      <c r="D53" s="31"/>
      <c r="E53" s="31"/>
    </row>
    <row r="54" spans="1:5" x14ac:dyDescent="0.25">
      <c r="A54" s="24"/>
      <c r="B54" s="24"/>
      <c r="C54" s="10"/>
      <c r="D54" s="10"/>
      <c r="E54" s="10"/>
    </row>
    <row r="55" spans="1:5" x14ac:dyDescent="0.25">
      <c r="A55" s="22"/>
      <c r="B55" s="22"/>
      <c r="C55" s="10"/>
      <c r="D55" s="10"/>
      <c r="E55" s="10"/>
    </row>
  </sheetData>
  <mergeCells count="22">
    <mergeCell ref="C49:E49"/>
    <mergeCell ref="A46:E46"/>
    <mergeCell ref="A34:E34"/>
    <mergeCell ref="A35:E35"/>
    <mergeCell ref="A37:E37"/>
    <mergeCell ref="A38:E38"/>
    <mergeCell ref="A41:E41"/>
    <mergeCell ref="A42:E42"/>
    <mergeCell ref="A43:E43"/>
    <mergeCell ref="A45:E45"/>
    <mergeCell ref="A39:E39"/>
    <mergeCell ref="A40:E40"/>
    <mergeCell ref="A36:E36"/>
    <mergeCell ref="A44:E44"/>
    <mergeCell ref="A32:E32"/>
    <mergeCell ref="A17:E17"/>
    <mergeCell ref="A11:E11"/>
    <mergeCell ref="A2:E2"/>
    <mergeCell ref="A13:E13"/>
    <mergeCell ref="A31:E31"/>
    <mergeCell ref="A14:E14"/>
    <mergeCell ref="A29:E29"/>
  </mergeCells>
  <pageMargins left="0.25" right="0.25" top="0.75" bottom="0.75" header="0.3" footer="0.3"/>
  <pageSetup paperSize="9" scale="83" orientation="portrait" r:id="rId1"/>
  <headerFooter>
    <oddHeader>&amp;R&amp;G</oddHeader>
    <oddFooter>&amp;C&amp;G</oddFooter>
  </headerFooter>
  <rowBreaks count="1" manualBreakCount="1">
    <brk id="29" max="16383" man="1"/>
  </rowBreaks>
  <ignoredErrors>
    <ignoredError sqref="E24" formula="1"/>
  </ignoredErrors>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4:O50"/>
  <sheetViews>
    <sheetView topLeftCell="A4" zoomScaleNormal="100" zoomScalePageLayoutView="50" workbookViewId="0">
      <selection activeCell="D22" sqref="D22"/>
    </sheetView>
  </sheetViews>
  <sheetFormatPr baseColWidth="10" defaultRowHeight="15" x14ac:dyDescent="0.25"/>
  <cols>
    <col min="1" max="1" width="5.85546875" style="26" customWidth="1"/>
    <col min="2" max="2" width="52.140625" customWidth="1"/>
    <col min="3" max="3" width="14.28515625" customWidth="1"/>
    <col min="4" max="4" width="11.42578125" customWidth="1"/>
    <col min="5" max="5" width="9.85546875" bestFit="1" customWidth="1"/>
    <col min="6" max="6" width="11.28515625" customWidth="1"/>
  </cols>
  <sheetData>
    <row r="4" spans="2:6" x14ac:dyDescent="0.25">
      <c r="B4" s="30"/>
      <c r="C4" s="30"/>
      <c r="D4" s="30"/>
      <c r="E4" s="30"/>
      <c r="F4" s="30"/>
    </row>
    <row r="5" spans="2:6" x14ac:dyDescent="0.25">
      <c r="B5" s="30"/>
      <c r="C5" s="30"/>
      <c r="D5" s="30"/>
      <c r="E5" s="30"/>
      <c r="F5" s="30"/>
    </row>
    <row r="6" spans="2:6" x14ac:dyDescent="0.25">
      <c r="B6" s="52" t="s">
        <v>47</v>
      </c>
      <c r="C6" s="52"/>
      <c r="D6" s="52"/>
      <c r="E6" s="52"/>
      <c r="F6" s="52"/>
    </row>
    <row r="7" spans="2:6" x14ac:dyDescent="0.25">
      <c r="B7" s="1"/>
      <c r="C7" s="1"/>
      <c r="D7" s="30"/>
      <c r="E7" s="30"/>
      <c r="F7" s="30"/>
    </row>
    <row r="8" spans="2:6" x14ac:dyDescent="0.25">
      <c r="B8" s="1" t="s">
        <v>0</v>
      </c>
      <c r="C8" s="1"/>
      <c r="D8" s="30"/>
      <c r="E8" s="30"/>
      <c r="F8" s="30"/>
    </row>
    <row r="9" spans="2:6" x14ac:dyDescent="0.25">
      <c r="B9" s="51" t="s">
        <v>46</v>
      </c>
      <c r="C9" s="51"/>
      <c r="D9" s="51"/>
      <c r="E9" s="51"/>
      <c r="F9" s="51"/>
    </row>
    <row r="10" spans="2:6" x14ac:dyDescent="0.25">
      <c r="B10" s="49" t="s">
        <v>44</v>
      </c>
      <c r="C10" s="49"/>
      <c r="D10" s="49"/>
      <c r="E10" s="49"/>
      <c r="F10" s="49"/>
    </row>
    <row r="11" spans="2:6" ht="12.75" customHeight="1" x14ac:dyDescent="0.25">
      <c r="B11" s="11" t="s">
        <v>48</v>
      </c>
      <c r="C11" s="11"/>
      <c r="D11" s="31"/>
      <c r="E11" s="31"/>
      <c r="F11" s="31"/>
    </row>
    <row r="12" spans="2:6" ht="13.5" customHeight="1" x14ac:dyDescent="0.25">
      <c r="B12" s="12" t="s">
        <v>2</v>
      </c>
      <c r="C12" s="12"/>
      <c r="D12" s="31"/>
      <c r="E12" s="31"/>
      <c r="F12" s="31"/>
    </row>
    <row r="13" spans="2:6" ht="21.75" customHeight="1" x14ac:dyDescent="0.25">
      <c r="B13" s="60" t="s">
        <v>24</v>
      </c>
      <c r="C13" s="60"/>
      <c r="D13" s="60"/>
      <c r="E13" s="60"/>
      <c r="F13" s="60"/>
    </row>
    <row r="14" spans="2:6" x14ac:dyDescent="0.25">
      <c r="B14" s="11" t="s">
        <v>21</v>
      </c>
      <c r="C14" s="11"/>
      <c r="D14" s="28" t="s">
        <v>19</v>
      </c>
      <c r="E14" s="28" t="s">
        <v>28</v>
      </c>
      <c r="F14" s="2" t="s">
        <v>20</v>
      </c>
    </row>
    <row r="15" spans="2:6" x14ac:dyDescent="0.25">
      <c r="B15" s="11"/>
      <c r="C15" s="11"/>
      <c r="D15" s="2"/>
      <c r="E15" s="2"/>
      <c r="F15" s="2"/>
    </row>
    <row r="16" spans="2:6" x14ac:dyDescent="0.25">
      <c r="B16" s="9" t="s">
        <v>49</v>
      </c>
      <c r="C16" s="33" t="s">
        <v>38</v>
      </c>
      <c r="D16" s="35">
        <v>18</v>
      </c>
      <c r="E16" s="32">
        <v>931.85</v>
      </c>
      <c r="F16" s="20">
        <f>D16*E16</f>
        <v>16773.3</v>
      </c>
    </row>
    <row r="17" spans="2:6" x14ac:dyDescent="0.25">
      <c r="B17" s="9" t="s">
        <v>39</v>
      </c>
      <c r="C17" s="33" t="s">
        <v>38</v>
      </c>
      <c r="D17" s="35">
        <v>13</v>
      </c>
      <c r="E17" s="32">
        <v>918.78</v>
      </c>
      <c r="F17" s="20">
        <f>D17*E17</f>
        <v>11944.14</v>
      </c>
    </row>
    <row r="18" spans="2:6" x14ac:dyDescent="0.25">
      <c r="B18" s="9" t="s">
        <v>40</v>
      </c>
      <c r="C18" s="33" t="s">
        <v>38</v>
      </c>
      <c r="D18" s="35">
        <v>3</v>
      </c>
      <c r="E18" s="32">
        <v>701</v>
      </c>
      <c r="F18" s="20">
        <f>D18*E18</f>
        <v>2103</v>
      </c>
    </row>
    <row r="19" spans="2:6" x14ac:dyDescent="0.25">
      <c r="B19" s="9" t="s">
        <v>41</v>
      </c>
      <c r="C19" s="33" t="s">
        <v>38</v>
      </c>
      <c r="D19" s="6">
        <v>3</v>
      </c>
      <c r="E19" s="32">
        <v>794.75</v>
      </c>
      <c r="F19" s="20">
        <f t="shared" ref="F19:F21" si="0">D19*E19</f>
        <v>2384.25</v>
      </c>
    </row>
    <row r="20" spans="2:6" x14ac:dyDescent="0.25">
      <c r="B20" s="9" t="s">
        <v>42</v>
      </c>
      <c r="C20" s="33" t="s">
        <v>38</v>
      </c>
      <c r="D20" s="6">
        <v>5</v>
      </c>
      <c r="E20" s="32">
        <v>4190</v>
      </c>
      <c r="F20" s="20">
        <f t="shared" ref="F20" si="1">D20*E20</f>
        <v>20950</v>
      </c>
    </row>
    <row r="21" spans="2:6" x14ac:dyDescent="0.25">
      <c r="B21" s="9" t="s">
        <v>43</v>
      </c>
      <c r="C21" s="33" t="s">
        <v>38</v>
      </c>
      <c r="D21" s="6">
        <v>2</v>
      </c>
      <c r="E21" s="32">
        <v>3883</v>
      </c>
      <c r="F21" s="20">
        <f t="shared" si="0"/>
        <v>7766</v>
      </c>
    </row>
    <row r="22" spans="2:6" x14ac:dyDescent="0.25">
      <c r="B22" s="16"/>
      <c r="C22" s="33"/>
      <c r="D22" s="18"/>
      <c r="E22" s="20"/>
      <c r="F22" s="20"/>
    </row>
    <row r="23" spans="2:6" x14ac:dyDescent="0.25">
      <c r="B23" s="9"/>
      <c r="C23" s="9"/>
      <c r="D23" s="17"/>
      <c r="E23" s="30"/>
      <c r="F23" s="30"/>
    </row>
    <row r="24" spans="2:6" x14ac:dyDescent="0.25">
      <c r="B24" s="16"/>
      <c r="C24" s="16"/>
      <c r="D24" s="18"/>
      <c r="E24" s="20"/>
      <c r="F24" s="20"/>
    </row>
    <row r="25" spans="2:6" x14ac:dyDescent="0.25">
      <c r="B25" s="5"/>
      <c r="C25" s="5"/>
      <c r="D25" s="18"/>
      <c r="E25" s="19"/>
      <c r="F25" s="20"/>
    </row>
    <row r="26" spans="2:6" x14ac:dyDescent="0.25">
      <c r="B26" s="5"/>
      <c r="C26" s="5"/>
      <c r="D26" s="31"/>
      <c r="E26" s="5" t="s">
        <v>4</v>
      </c>
      <c r="F26" s="21">
        <f>SUM(F16:F25)</f>
        <v>61920.69</v>
      </c>
    </row>
    <row r="27" spans="2:6" x14ac:dyDescent="0.25">
      <c r="B27" s="5"/>
      <c r="C27" s="5"/>
      <c r="D27" s="5"/>
      <c r="E27" s="5" t="s">
        <v>5</v>
      </c>
      <c r="F27" s="21">
        <f>F26*16%</f>
        <v>9907.3104000000003</v>
      </c>
    </row>
    <row r="28" spans="2:6" x14ac:dyDescent="0.25">
      <c r="B28" s="5"/>
      <c r="C28" s="5"/>
      <c r="D28" s="27"/>
      <c r="E28" s="5" t="s">
        <v>6</v>
      </c>
      <c r="F28" s="21">
        <f>SUM(F26:F27)</f>
        <v>71828.000400000004</v>
      </c>
    </row>
    <row r="29" spans="2:6" x14ac:dyDescent="0.25">
      <c r="B29" s="5"/>
      <c r="C29" s="5"/>
      <c r="D29" s="27"/>
      <c r="E29" s="5"/>
      <c r="F29" s="21"/>
    </row>
    <row r="30" spans="2:6" x14ac:dyDescent="0.25">
      <c r="B30" s="1" t="s">
        <v>25</v>
      </c>
      <c r="C30" s="1"/>
      <c r="D30" s="30"/>
      <c r="E30" s="30"/>
      <c r="F30" s="30"/>
    </row>
    <row r="31" spans="2:6" ht="28.5" customHeight="1" x14ac:dyDescent="0.25">
      <c r="B31" s="60" t="s">
        <v>29</v>
      </c>
      <c r="C31" s="60"/>
      <c r="D31" s="60"/>
      <c r="E31" s="60"/>
      <c r="F31" s="60"/>
    </row>
    <row r="32" spans="2:6" ht="17.25" customHeight="1" x14ac:dyDescent="0.25">
      <c r="B32" s="60" t="s">
        <v>30</v>
      </c>
      <c r="C32" s="60"/>
      <c r="D32" s="60"/>
      <c r="E32" s="60"/>
      <c r="F32" s="60"/>
    </row>
    <row r="33" spans="2:15" ht="15" customHeight="1" x14ac:dyDescent="0.25">
      <c r="B33" s="60" t="s">
        <v>31</v>
      </c>
      <c r="C33" s="60"/>
      <c r="D33" s="60"/>
      <c r="E33" s="60"/>
      <c r="F33" s="60"/>
    </row>
    <row r="34" spans="2:15" ht="18" customHeight="1" x14ac:dyDescent="0.25">
      <c r="B34" s="60" t="s">
        <v>32</v>
      </c>
      <c r="C34" s="60"/>
      <c r="D34" s="60"/>
      <c r="E34" s="60"/>
      <c r="F34" s="60"/>
    </row>
    <row r="35" spans="2:15" ht="96.75" customHeight="1" x14ac:dyDescent="0.25">
      <c r="B35" s="60" t="s">
        <v>33</v>
      </c>
      <c r="C35" s="60"/>
      <c r="D35" s="60"/>
      <c r="E35" s="60"/>
      <c r="F35" s="60"/>
    </row>
    <row r="36" spans="2:15" x14ac:dyDescent="0.25">
      <c r="B36" s="30"/>
      <c r="C36" s="30"/>
      <c r="D36" s="30"/>
      <c r="E36" s="30"/>
      <c r="F36" s="30"/>
      <c r="H36" s="25"/>
    </row>
    <row r="37" spans="2:15" x14ac:dyDescent="0.25">
      <c r="B37" s="7" t="s">
        <v>34</v>
      </c>
      <c r="C37" s="7"/>
      <c r="D37" s="63" t="s">
        <v>35</v>
      </c>
      <c r="E37" s="63"/>
      <c r="F37" s="63"/>
    </row>
    <row r="38" spans="2:15" x14ac:dyDescent="0.25">
      <c r="B38" s="12"/>
      <c r="C38" s="12"/>
      <c r="D38" s="31"/>
      <c r="E38" s="31"/>
      <c r="F38" s="31"/>
    </row>
    <row r="39" spans="2:15" x14ac:dyDescent="0.25">
      <c r="B39" s="12"/>
      <c r="C39" s="12"/>
      <c r="D39" s="31"/>
      <c r="E39" s="31"/>
      <c r="F39" s="31"/>
    </row>
    <row r="40" spans="2:15" x14ac:dyDescent="0.25">
      <c r="B40" s="23" t="s">
        <v>36</v>
      </c>
      <c r="C40" s="23"/>
      <c r="D40" s="31"/>
      <c r="E40" s="31"/>
      <c r="F40" s="31"/>
    </row>
    <row r="41" spans="2:15" x14ac:dyDescent="0.25">
      <c r="B41" s="34" t="s">
        <v>45</v>
      </c>
      <c r="C41" s="34"/>
      <c r="D41" s="64" t="s">
        <v>26</v>
      </c>
      <c r="E41" s="64"/>
      <c r="F41" s="64"/>
    </row>
    <row r="42" spans="2:15" x14ac:dyDescent="0.25">
      <c r="B42" s="24"/>
      <c r="C42" s="24"/>
      <c r="D42" s="31"/>
      <c r="E42" s="31"/>
      <c r="F42" s="31"/>
    </row>
    <row r="43" spans="2:15" x14ac:dyDescent="0.25">
      <c r="B43" s="61" t="s">
        <v>27</v>
      </c>
      <c r="C43" s="61"/>
      <c r="D43" s="62"/>
      <c r="E43" s="62"/>
      <c r="F43" s="62"/>
      <c r="G43" s="29"/>
      <c r="H43" s="29"/>
      <c r="I43" s="29"/>
      <c r="J43" s="29"/>
      <c r="K43" s="29"/>
      <c r="L43" s="29"/>
      <c r="M43" s="29"/>
      <c r="N43" s="29"/>
      <c r="O43" s="29"/>
    </row>
    <row r="44" spans="2:15" x14ac:dyDescent="0.25">
      <c r="B44" s="62"/>
      <c r="C44" s="62"/>
      <c r="D44" s="62"/>
      <c r="E44" s="62"/>
      <c r="F44" s="62"/>
      <c r="G44" s="29"/>
      <c r="H44" s="29"/>
      <c r="I44" s="29"/>
      <c r="J44" s="29"/>
      <c r="K44" s="29"/>
      <c r="L44" s="29"/>
      <c r="M44" s="29"/>
      <c r="N44" s="29"/>
      <c r="O44" s="29"/>
    </row>
    <row r="45" spans="2:15" x14ac:dyDescent="0.25">
      <c r="B45" s="62"/>
      <c r="C45" s="62"/>
      <c r="D45" s="62"/>
      <c r="E45" s="62"/>
      <c r="F45" s="62"/>
      <c r="G45" s="29"/>
      <c r="H45" s="29"/>
      <c r="I45" s="29"/>
      <c r="J45" s="29"/>
      <c r="K45" s="29"/>
      <c r="L45" s="29"/>
      <c r="M45" s="29"/>
      <c r="N45" s="29"/>
      <c r="O45" s="29"/>
    </row>
    <row r="46" spans="2:15" x14ac:dyDescent="0.25">
      <c r="B46" s="62"/>
      <c r="C46" s="62"/>
      <c r="D46" s="62"/>
      <c r="E46" s="62"/>
      <c r="F46" s="62"/>
      <c r="G46" s="29"/>
      <c r="H46" s="29"/>
      <c r="I46" s="29"/>
      <c r="J46" s="29"/>
      <c r="K46" s="29"/>
      <c r="L46" s="29"/>
      <c r="M46" s="29"/>
      <c r="N46" s="29"/>
      <c r="O46" s="29"/>
    </row>
    <row r="47" spans="2:15" x14ac:dyDescent="0.25">
      <c r="B47" s="29"/>
      <c r="C47" s="29"/>
      <c r="D47" s="29"/>
      <c r="E47" s="29"/>
      <c r="F47" s="29"/>
      <c r="G47" s="29"/>
      <c r="H47" s="29"/>
      <c r="I47" s="29"/>
      <c r="J47" s="29"/>
      <c r="K47" s="29"/>
      <c r="L47" s="29"/>
      <c r="M47" s="29"/>
      <c r="N47" s="29"/>
      <c r="O47" s="29"/>
    </row>
    <row r="48" spans="2:15" x14ac:dyDescent="0.25">
      <c r="B48" s="29"/>
      <c r="C48" s="29"/>
      <c r="D48" s="29"/>
      <c r="E48" s="29"/>
      <c r="F48" s="29"/>
      <c r="G48" s="29"/>
      <c r="H48" s="29"/>
      <c r="I48" s="29"/>
      <c r="J48" s="29"/>
      <c r="K48" s="29"/>
      <c r="L48" s="29"/>
      <c r="M48" s="29"/>
      <c r="N48" s="29"/>
      <c r="O48" s="29"/>
    </row>
    <row r="49" spans="2:15" x14ac:dyDescent="0.25">
      <c r="B49" s="29"/>
      <c r="C49" s="29"/>
      <c r="D49" s="29"/>
      <c r="E49" s="29"/>
      <c r="F49" s="29"/>
      <c r="G49" s="29"/>
      <c r="H49" s="29"/>
      <c r="I49" s="29"/>
      <c r="J49" s="29"/>
      <c r="K49" s="29"/>
      <c r="L49" s="29"/>
      <c r="M49" s="29"/>
      <c r="N49" s="29"/>
      <c r="O49" s="29"/>
    </row>
    <row r="50" spans="2:15" x14ac:dyDescent="0.25">
      <c r="B50" s="29"/>
      <c r="C50" s="29"/>
      <c r="D50" s="29"/>
      <c r="E50" s="29"/>
      <c r="F50" s="29"/>
      <c r="G50" s="29"/>
      <c r="H50" s="29"/>
      <c r="I50" s="29"/>
      <c r="J50" s="29"/>
      <c r="K50" s="29"/>
      <c r="L50" s="29"/>
      <c r="M50" s="29"/>
      <c r="N50" s="29"/>
      <c r="O50" s="29"/>
    </row>
  </sheetData>
  <mergeCells count="12">
    <mergeCell ref="B43:F46"/>
    <mergeCell ref="D37:F37"/>
    <mergeCell ref="D41:F41"/>
    <mergeCell ref="B31:F31"/>
    <mergeCell ref="B32:F32"/>
    <mergeCell ref="B33:F33"/>
    <mergeCell ref="B34:F34"/>
    <mergeCell ref="B6:F6"/>
    <mergeCell ref="B9:F9"/>
    <mergeCell ref="B10:F10"/>
    <mergeCell ref="B13:F13"/>
    <mergeCell ref="B35:F35"/>
  </mergeCells>
  <pageMargins left="0.7" right="0.7" top="0.75" bottom="0.75" header="0.3" footer="0.3"/>
  <pageSetup paperSize="9" scale="83" orientation="portrait" verticalDpi="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SUMINISTRO Y APLICACION</vt:lpstr>
      <vt:lpstr>SUMINISTRO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chisa</dc:creator>
  <cp:lastModifiedBy>ventas chisa</cp:lastModifiedBy>
  <cp:lastPrinted>2026-01-21T22:08:07Z</cp:lastPrinted>
  <dcterms:created xsi:type="dcterms:W3CDTF">2020-12-14T19:54:01Z</dcterms:created>
  <dcterms:modified xsi:type="dcterms:W3CDTF">2026-01-26T21:50:40Z</dcterms:modified>
</cp:coreProperties>
</file>