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8_{D2C8B3A6-BD80-43CC-B2AC-25483FC55B16}"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9" i="1" l="1"/>
  <c r="E23" i="1" s="1"/>
  <c r="E24" i="1" l="1"/>
  <c r="E25" i="1" s="1"/>
  <c r="F20" i="3"/>
  <c r="F19" i="3" l="1"/>
  <c r="F18" i="3"/>
  <c r="F17" i="3" l="1"/>
  <c r="F16" i="3"/>
  <c r="F22" i="3" s="1"/>
  <c r="F23" i="3" l="1"/>
  <c r="F24" i="3" s="1"/>
</calcChain>
</file>

<file path=xl/sharedStrings.xml><?xml version="1.0" encoding="utf-8"?>
<sst xmlns="http://schemas.openxmlformats.org/spreadsheetml/2006/main" count="78" uniqueCount="66">
  <si>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</si>
  <si>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</si>
  <si>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</si>
  <si>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</si>
  <si>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</si>
  <si>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</si>
  <si>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</si>
  <si>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</si>
  <si>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</si>
  <si>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</si>
  <si>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</si>
  <si>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</si>
  <si>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</si>
  <si>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</si>
  <si>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</si>
  <si>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</si>
  <si>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</si>
  <si>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</si>
  <si>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</si>
  <si>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</si>
  <si>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</si>
  <si>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</si>
  <si>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</si>
  <si>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</si>
  <si>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ACEPTO</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</si>
  <si>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</si>
  <si>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</si>
  <si>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</si>
  <si>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</si>
  <si>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</si>
  <si>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</si>
  <si>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</si>
  <si>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</si>
  <si>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</si>
  <si>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</si>
  <si>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</si>
  <si>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</si>
  <si>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</si>
  <si>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</si>
  <si>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</si>
  <si>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</si>
  <si>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HOSPITAL GENERAL DE QUERETARO</t>
  </si>
  <si>
    <t>CUBETA</t>
  </si>
  <si>
    <t>AT´N: ARQ. ENRIQUE CHAVEZ</t>
  </si>
  <si>
    <t>3.-CHISA GLASS REF  S.M.A. (REND. 60M2)</t>
  </si>
  <si>
    <t>2.-PRAIMER GLASS REF S.M.A. (REND. 90M2)</t>
  </si>
  <si>
    <t>CUBETAS</t>
  </si>
  <si>
    <t>4.-VITROGLASS ECOLOGICO. (REND. 180M2)</t>
  </si>
  <si>
    <t>5.-MARMO GOT (REN 25M2)</t>
  </si>
  <si>
    <t>1.-SELLADOR INICIAL (REND. 20M2)</t>
  </si>
  <si>
    <t xml:space="preserve">                     ARQ. ENRIQUE CHAVEZ</t>
  </si>
  <si>
    <t>CIUDAD DE MEXICO A 10 DE ABRIL DEL 2023</t>
  </si>
  <si>
    <t>PRES. REF. 14877-S/2023</t>
  </si>
  <si>
    <r>
      <t>PRESENTAMOS  A  SU AMABLE  CONSIDERACIÓN EL PRESUPUESTO DE SUMINISTRO Y APLICACIÓN  DE  LOS SIGUIENTES CONCEPTOS.</t>
    </r>
    <r>
      <rPr>
        <b/>
        <sz val="9"/>
        <color theme="1"/>
        <rFont val="Times New Roman"/>
        <family val="1"/>
      </rPr>
      <t xml:space="preserve">                                                   </t>
    </r>
  </si>
  <si>
    <t xml:space="preserve">                        ____________________________________                                           _______________________________________</t>
  </si>
  <si>
    <t>OBRA: IMSS, GUANAJUATO</t>
  </si>
  <si>
    <r>
      <rPr>
        <b/>
        <sz val="9"/>
        <color theme="1"/>
        <rFont val="Times New Roman"/>
        <family val="1"/>
      </rPr>
      <t xml:space="preserve">NOTA: SI EL PROYECTO REQUIERE DETALLES ADICIONALES QUE NO ESTABAN CONTEMPLADOS SE CONSIDERAN COMO TRABAJOS EXTRAS Y TENDRÁN UN COSTO ADICIONAL, </t>
    </r>
    <r>
      <rPr>
        <sz val="9"/>
        <color theme="1"/>
        <rFont val="Times New Roman"/>
        <family val="1"/>
      </rPr>
      <t xml:space="preserve">PARA LA EJECUCIÓN DE LOS VOLUMENES PLASMADOS EN ESTE PRESUPUESTO ES NECESARIO CONTAR CON UN MINIMO DEL </t>
    </r>
    <r>
      <rPr>
        <b/>
        <sz val="9"/>
        <color theme="1"/>
        <rFont val="Times New Roman"/>
        <family val="1"/>
      </rPr>
      <t>70% DEL AREA TOTAL</t>
    </r>
    <r>
      <rPr>
        <sz val="9"/>
        <color theme="1"/>
        <rFont val="Times New Roman"/>
        <family val="1"/>
      </rPr>
      <t xml:space="preserve">, ESTO CON LA FINALIDAD DE NO REALIZAR CARGOS POSTERIORES DE VIATICOS. SI SE DA EL CASO QUE POR CUESTIONES PROPIAS DE LA OBRA EL PERSONAL DE CHISA RECUBIMIENTOS TIENE QUE REGRESAR EN DISTINTAS OCASIONES, SE HARÁN LOS CARGOS CORRESPONDIENTES DE VIATICOS (PASAJES, COMIDAS Y HOSPEDAJES) LAS VECES QUE SEAN NECESARIOS PARA LA EJECUCIÓN DE LOS TRABAJOS. </t>
    </r>
  </si>
  <si>
    <r>
      <t xml:space="preserve">EN CASO DE SER ACEPTADO EL PRESENTE PRESUPUESTO REQUERIMOS DEL </t>
    </r>
    <r>
      <rPr>
        <b/>
        <sz val="9"/>
        <color theme="1"/>
        <rFont val="Times New Roman"/>
        <family val="1"/>
      </rPr>
      <t>70% DEL PAGO</t>
    </r>
    <r>
      <rPr>
        <sz val="9"/>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</si>
  <si>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TOTAL:</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</si>
  <si>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</si>
  <si>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CIUDAD DE MEXICO A 28 DE ENERO DEL 2025</t>
  </si>
  <si>
    <t>AT´N: ING. ADRIANA AGUIRRE</t>
  </si>
  <si>
    <t xml:space="preserve">CONTRUCTORA: SECRETARÍA DE OBRAS PUBLICAS  </t>
  </si>
  <si>
    <t>PRES. REF. 15879/2024</t>
  </si>
  <si>
    <r>
      <t xml:space="preserve">FORMA DE PAGO Y CONSIDERACIONES GENERALES CORRESPONDIENTES AL PRESUPUESTO </t>
    </r>
    <r>
      <rPr>
        <b/>
        <sz val="9"/>
        <color theme="1"/>
        <rFont val="Times New Roman"/>
        <family val="1"/>
      </rPr>
      <t>REF. 15879/2025.</t>
    </r>
  </si>
  <si>
    <r>
      <t xml:space="preserve">                              ING. ADRIANA AGUIRRE      </t>
    </r>
    <r>
      <rPr>
        <b/>
        <sz val="9"/>
        <color theme="1"/>
        <rFont val="Times New Roman"/>
        <family val="1"/>
      </rPr>
      <t xml:space="preserve"> </t>
    </r>
    <r>
      <rPr>
        <sz val="9"/>
        <color theme="1"/>
        <rFont val="Times New Roman"/>
        <family val="1"/>
      </rPr>
      <t xml:space="preserve">                                                                                    CHISA RECUBRIMIENTOS, S.A. DE C.V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</si>
</sst>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0"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9"/>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5" fillId="0" borderId="0" applyFont="0" applyFill="0" applyBorder="0" applyAlignment="0" applyProtection="0"/>
  </cellStyleXfs>
  <cellXfs count="53">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4"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12" fontId="1" fillId="0" borderId="0" xfId="0" applyNumberFormat="1" applyFont="1" applyAlignment="1">
      <alignment horizontal="center" vertical="center" wrapText="1"/>
    </xf>
    <xf numFmtId="0" fontId="9" fillId="0" borderId="0" xfId="0" applyFont="1" applyAlignment="1">
      <alignment horizontal="center"/>
    </xf>
    <xf numFmtId="4" fontId="1" fillId="0" borderId="0" xfId="0" applyNumberFormat="1" applyFont="1" applyAlignment="1">
      <alignment horizontal="center" wrapText="1"/>
    </xf>
    <xf numFmtId="0" fontId="1" fillId="0" borderId="0" xfId="0" applyFont="1" applyAlignment="1">
      <alignment horizontal="left" vertical="top"/>
    </xf>
    <xf numFmtId="0" fontId="9" fillId="0" borderId="0" xfId="0" applyFont="1"/>
    <xf numFmtId="0" fontId="9" fillId="0" borderId="0" xfId="0" applyFont="1" applyAlignment="1">
      <alignment horizontal="justify"/>
    </xf>
    <xf numFmtId="0" fontId="2" fillId="0" borderId="0" xfId="0" applyFont="1" applyAlignment="1">
      <alignment horizontal="center" vertical="center"/>
    </xf>
    <xf numFmtId="0" fontId="1" fillId="0" borderId="0" xfId="0" applyFont="1" applyAlignment="1">
      <alignment horizontal="right" vertical="center" wrapText="1"/>
    </xf>
    <xf numFmtId="0" fontId="9" fillId="0" borderId="0" xfId="0" applyFont="1" applyAlignment="1">
      <alignment horizontal="justify" vertical="top" wrapText="1"/>
    </xf>
    <xf numFmtId="0" fontId="1" fillId="0" borderId="0" xfId="0" applyFont="1" applyAlignment="1">
      <alignment horizontal="center" vertical="center"/>
    </xf>
    <xf numFmtId="8" fontId="1" fillId="0" borderId="0" xfId="1" applyNumberFormat="1" applyFont="1" applyAlignment="1">
      <alignment horizontal="right" vertical="center" wrapText="1"/>
    </xf>
    <xf numFmtId="0" fontId="4" fillId="0" borderId="0" xfId="0" applyFont="1" applyAlignment="1">
      <alignment horizontal="justify" vertical="center"/>
    </xf>
    <xf numFmtId="0" fontId="9" fillId="0" borderId="0" xfId="0" applyFont="1" applyAlignment="1">
      <alignment horizontal="left"/>
    </xf>
    <xf numFmtId="0" fontId="1" fillId="0" borderId="0" xfId="0" applyFont="1" applyAlignment="1">
      <alignment horizontal="justify" vertical="center" wrapText="1"/>
    </xf>
    <xf numFmtId="0" fontId="2" fillId="0" borderId="0" xfId="0" applyFont="1" applyAlignment="1">
      <alignment horizontal="center" vertical="center"/>
    </xf>
    <xf numFmtId="0" fontId="1" fillId="0" borderId="0" xfId="0" applyFont="1" applyAlignment="1">
      <alignment horizontal="justify" vertical="top" wrapText="1"/>
    </xf>
    <xf numFmtId="0" fontId="9" fillId="0" borderId="0" xfId="0" applyFont="1" applyAlignment="1">
      <alignment horizontal="justify" vertical="top" wrapText="1"/>
    </xf>
    <xf numFmtId="0" fontId="2" fillId="0" borderId="0" xfId="0" applyFont="1" applyAlignment="1">
      <alignment horizontal="left" vertical="center"/>
    </xf>
    <xf numFmtId="0" fontId="1" fillId="0" borderId="0" xfId="0" applyFont="1" applyAlignment="1">
      <alignment horizontal="justify" vertical="top"/>
    </xf>
    <xf numFmtId="0" fontId="2" fillId="0" borderId="0" xfId="0"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lef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abSelected="1" topLeftCell="A7" zoomScale="80" zoomScaleNormal="80" workbookViewId="0">
      <selection activeCell="H19" sqref="H19"/>
    </sheetView>
  </sheetViews>
  <sheetFormatPr baseColWidth="10" defaultRowHeight="15" x14ac:dyDescent="0.25"/>
  <cols>
    <col min="1" max="1" width="46.140625" customWidth="1"/>
    <col min="2" max="2" width="10.85546875" customWidth="1"/>
    <col min="3" max="3" width="13.5703125" customWidth="1"/>
    <col min="4" max="4" width="16.7109375" customWidth="1"/>
    <col min="5" max="5" width="16.42578125" customWidth="1"/>
    <col min="7" max="7" width="12.28515625" bestFit="1" customWidth="1"/>
  </cols>
  <sheetData>
    <row r="1" spans="1:8" x14ac:dyDescent="0.25">
      <c r="A1" s="30"/>
      <c r="B1" s="30"/>
      <c r="C1" s="30"/>
      <c r="D1" s="30"/>
      <c r="E1" s="30"/>
    </row>
    <row r="2" spans="1:8" x14ac:dyDescent="0.25">
      <c r="A2" s="46" t="s">
        <v>60</v>
      </c>
      <c r="B2" s="46"/>
      <c r="C2" s="46"/>
      <c r="D2" s="46"/>
      <c r="E2" s="46"/>
      <c r="F2" s="6"/>
    </row>
    <row r="3" spans="1:8" x14ac:dyDescent="0.25">
      <c r="A3" s="1"/>
      <c r="B3" s="1"/>
      <c r="C3" s="30"/>
      <c r="D3" s="30"/>
      <c r="E3" s="30"/>
    </row>
    <row r="4" spans="1:8" x14ac:dyDescent="0.25">
      <c r="A4" s="1" t="s">
        <v>62</v>
      </c>
      <c r="B4" s="1"/>
      <c r="C4" s="30"/>
      <c r="D4" s="30"/>
      <c r="E4" s="30"/>
    </row>
    <row r="5" spans="1:8" x14ac:dyDescent="0.25">
      <c r="A5" s="1" t="s">
        <v>0</v>
      </c>
      <c r="B5" s="1"/>
      <c r="C5" s="30"/>
      <c r="D5" s="30"/>
      <c r="E5" s="30"/>
    </row>
    <row r="6" spans="1:8" x14ac:dyDescent="0.25">
      <c r="A6" s="1" t="s">
        <v>1</v>
      </c>
      <c r="B6" s="1"/>
      <c r="C6" s="30"/>
      <c r="D6" s="30"/>
      <c r="E6" s="30"/>
    </row>
    <row r="7" spans="1:8" x14ac:dyDescent="0.25">
      <c r="A7" s="45" t="s">
        <v>61</v>
      </c>
      <c r="B7" s="45"/>
      <c r="C7" s="45"/>
      <c r="D7" s="45"/>
      <c r="E7" s="45"/>
      <c r="F7" s="1"/>
      <c r="G7" s="1"/>
      <c r="H7" s="1"/>
    </row>
    <row r="8" spans="1:8" x14ac:dyDescent="0.25">
      <c r="A8" s="18"/>
      <c r="B8" s="18"/>
      <c r="C8" s="30"/>
      <c r="D8" s="30"/>
      <c r="E8" s="30"/>
    </row>
    <row r="9" spans="1:8" x14ac:dyDescent="0.25">
      <c r="A9" s="18"/>
      <c r="B9" s="18"/>
      <c r="C9" s="30"/>
      <c r="D9" s="30"/>
      <c r="E9" s="30"/>
    </row>
    <row r="10" spans="1:8" x14ac:dyDescent="0.25">
      <c r="A10" s="43" t="s">
        <v>55</v>
      </c>
      <c r="B10" s="43"/>
      <c r="C10" s="43"/>
      <c r="D10" s="43"/>
      <c r="E10" s="43"/>
    </row>
    <row r="11" spans="1:8" x14ac:dyDescent="0.25">
      <c r="A11" s="8" t="s">
        <v>63</v>
      </c>
      <c r="B11" s="8"/>
      <c r="C11" s="31"/>
      <c r="D11" s="31"/>
      <c r="E11" s="31"/>
    </row>
    <row r="12" spans="1:8" x14ac:dyDescent="0.25">
      <c r="A12" s="8"/>
      <c r="B12" s="8"/>
      <c r="C12" s="31"/>
      <c r="D12" s="31"/>
      <c r="E12" s="31"/>
    </row>
    <row r="13" spans="1:8" x14ac:dyDescent="0.25">
      <c r="A13" s="8"/>
      <c r="B13" s="8"/>
      <c r="C13" s="31"/>
      <c r="D13" s="31"/>
      <c r="E13" s="31"/>
    </row>
    <row r="14" spans="1:8" x14ac:dyDescent="0.25">
      <c r="A14" s="9" t="s">
        <v>2</v>
      </c>
      <c r="B14" s="9"/>
      <c r="C14" s="31"/>
      <c r="D14" s="31"/>
      <c r="E14" s="31"/>
    </row>
    <row r="15" spans="1:8" ht="30" customHeight="1" x14ac:dyDescent="0.25">
      <c r="A15" s="44" t="s">
        <v>53</v>
      </c>
      <c r="B15" s="44"/>
      <c r="C15" s="44"/>
      <c r="D15" s="44"/>
      <c r="E15" s="44"/>
      <c r="F15" s="3"/>
      <c r="G15" s="3"/>
      <c r="H15" s="3"/>
    </row>
    <row r="16" spans="1:8" ht="21.75" customHeight="1" x14ac:dyDescent="0.25">
      <c r="A16" s="8" t="s">
        <v>22</v>
      </c>
      <c r="B16" s="32" t="s">
        <v>38</v>
      </c>
      <c r="C16" s="32" t="s">
        <v>20</v>
      </c>
      <c r="D16" s="32" t="s">
        <v>29</v>
      </c>
      <c r="E16" s="32" t="s">
        <v>21</v>
      </c>
      <c r="F16" s="2"/>
      <c r="G16" s="2"/>
      <c r="H16" s="2"/>
    </row>
    <row r="17" spans="1:8" ht="21.75" customHeight="1" x14ac:dyDescent="0.25">
      <c r="A17" s="8"/>
      <c r="B17" s="32"/>
      <c r="C17" s="32"/>
      <c r="D17" s="32"/>
      <c r="E17" s="32"/>
      <c r="F17" s="2"/>
      <c r="G17" s="2"/>
      <c r="H17" s="2"/>
    </row>
    <row r="18" spans="1:8" ht="21.75" customHeight="1" x14ac:dyDescent="0.25">
      <c r="A18" s="8"/>
      <c r="B18" s="32"/>
      <c r="C18" s="32"/>
      <c r="D18" s="32"/>
      <c r="E18" s="32"/>
      <c r="F18" s="2"/>
      <c r="G18" s="2"/>
      <c r="H18" s="2"/>
    </row>
    <row r="19" spans="1:8" ht="242.25" customHeight="1" x14ac:dyDescent="0.25">
      <c r="A19" s="37" t="s">
        <v>59</v>
      </c>
      <c r="B19" s="27" t="s">
        <v>23</v>
      </c>
      <c r="C19" s="28">
        <v>977.7</v>
      </c>
      <c r="D19" s="23">
        <v>219.85</v>
      </c>
      <c r="E19" s="11">
        <f>C19*D19</f>
        <v>214947.345</v>
      </c>
    </row>
    <row r="20" spans="1:8" x14ac:dyDescent="0.25">
      <c r="A20" s="4"/>
      <c r="B20" s="4"/>
      <c r="C20" s="33" t="s">
        <v>40</v>
      </c>
      <c r="D20" s="11"/>
      <c r="E20" s="11"/>
      <c r="F20" s="10"/>
    </row>
    <row r="21" spans="1:8" x14ac:dyDescent="0.25">
      <c r="A21" s="4"/>
      <c r="B21" s="4"/>
      <c r="C21" s="33"/>
      <c r="D21" s="11"/>
      <c r="E21" s="11"/>
      <c r="F21" s="10"/>
    </row>
    <row r="22" spans="1:8" x14ac:dyDescent="0.25">
      <c r="A22" s="4"/>
      <c r="B22" s="4"/>
      <c r="C22" s="33"/>
      <c r="D22" s="11"/>
      <c r="E22" s="11"/>
      <c r="F22" s="10"/>
    </row>
    <row r="23" spans="1:8" x14ac:dyDescent="0.25">
      <c r="A23" s="4"/>
      <c r="B23" s="4"/>
      <c r="C23" s="31"/>
      <c r="D23" s="4" t="s">
        <v>3</v>
      </c>
      <c r="E23" s="12">
        <f>SUM(E19:E22)</f>
        <v>214947.345</v>
      </c>
      <c r="F23" s="12"/>
      <c r="G23" s="12"/>
    </row>
    <row r="24" spans="1:8" ht="12" customHeight="1" x14ac:dyDescent="0.25">
      <c r="A24" s="4"/>
      <c r="B24" s="4"/>
      <c r="C24" s="4"/>
      <c r="D24" s="4" t="s">
        <v>4</v>
      </c>
      <c r="E24" s="12">
        <f>E23*0.16</f>
        <v>34391.575199999999</v>
      </c>
      <c r="F24" s="5"/>
      <c r="G24" s="12"/>
    </row>
    <row r="25" spans="1:8" ht="12" customHeight="1" x14ac:dyDescent="0.25">
      <c r="A25" s="4"/>
      <c r="B25" s="4"/>
      <c r="C25" s="34"/>
      <c r="D25" s="4" t="s">
        <v>58</v>
      </c>
      <c r="E25" s="12">
        <f>SUM(E23:E24)</f>
        <v>249338.92019999999</v>
      </c>
      <c r="F25" s="5"/>
      <c r="G25" s="12"/>
    </row>
    <row r="26" spans="1:8" ht="12" customHeight="1" x14ac:dyDescent="0.25">
      <c r="A26" s="4"/>
      <c r="B26" s="4"/>
      <c r="C26" s="34"/>
      <c r="D26" s="4"/>
      <c r="E26" s="36"/>
      <c r="F26" s="5"/>
      <c r="G26" s="12"/>
    </row>
    <row r="27" spans="1:8" ht="12" customHeight="1" x14ac:dyDescent="0.25">
      <c r="A27" s="4"/>
      <c r="B27" s="4"/>
      <c r="C27" s="34"/>
      <c r="D27" s="4"/>
      <c r="E27" s="36"/>
      <c r="F27" s="5"/>
      <c r="G27" s="12"/>
    </row>
    <row r="28" spans="1:8" ht="12" customHeight="1" x14ac:dyDescent="0.25">
      <c r="A28" s="4"/>
      <c r="B28" s="4"/>
      <c r="C28" s="34"/>
      <c r="D28" s="4"/>
      <c r="E28" s="36"/>
      <c r="F28" s="5"/>
      <c r="G28" s="12"/>
    </row>
    <row r="29" spans="1:8" ht="90" customHeight="1" x14ac:dyDescent="0.25">
      <c r="A29" s="39" t="s">
        <v>56</v>
      </c>
      <c r="B29" s="39"/>
      <c r="C29" s="39"/>
      <c r="D29" s="39"/>
      <c r="E29" s="39"/>
      <c r="F29" s="5"/>
      <c r="G29" s="12"/>
    </row>
    <row r="30" spans="1:8" ht="12" customHeight="1" x14ac:dyDescent="0.25">
      <c r="A30" s="4"/>
      <c r="B30" s="4"/>
      <c r="C30" s="34"/>
      <c r="D30" s="4"/>
      <c r="E30" s="36"/>
      <c r="F30" s="5"/>
      <c r="G30" s="12"/>
    </row>
    <row r="31" spans="1:8" x14ac:dyDescent="0.25">
      <c r="A31" s="4"/>
      <c r="B31" s="4"/>
      <c r="C31" s="34"/>
      <c r="D31" s="4"/>
      <c r="E31" s="12"/>
      <c r="F31" s="5"/>
    </row>
    <row r="32" spans="1:8" x14ac:dyDescent="0.25">
      <c r="A32" s="4"/>
      <c r="B32" s="4"/>
      <c r="C32" s="34"/>
      <c r="D32" s="4"/>
      <c r="E32" s="4"/>
    </row>
    <row r="33" spans="1:6" x14ac:dyDescent="0.25">
      <c r="A33" s="47" t="s">
        <v>64</v>
      </c>
      <c r="B33" s="47"/>
      <c r="C33" s="47"/>
      <c r="D33" s="47"/>
      <c r="E33" s="47"/>
    </row>
    <row r="34" spans="1:6" x14ac:dyDescent="0.25">
      <c r="A34" s="43" t="s">
        <v>55</v>
      </c>
      <c r="B34" s="43"/>
      <c r="C34" s="43"/>
      <c r="D34" s="43"/>
      <c r="E34" s="43"/>
    </row>
    <row r="35" spans="1:6" ht="29.25" customHeight="1" x14ac:dyDescent="0.25">
      <c r="A35" s="40" t="s">
        <v>6</v>
      </c>
      <c r="B35" s="40"/>
      <c r="C35" s="40"/>
      <c r="D35" s="40"/>
      <c r="E35" s="40"/>
      <c r="F35" s="5"/>
    </row>
    <row r="36" spans="1:6" ht="73.5" customHeight="1" x14ac:dyDescent="0.25">
      <c r="A36" s="39" t="s">
        <v>57</v>
      </c>
      <c r="B36" s="39"/>
      <c r="C36" s="39"/>
      <c r="D36" s="39"/>
      <c r="E36" s="39"/>
    </row>
    <row r="37" spans="1:6" ht="19.5" customHeight="1" x14ac:dyDescent="0.25">
      <c r="A37" s="8" t="s">
        <v>7</v>
      </c>
      <c r="B37" s="8"/>
      <c r="C37" s="31"/>
      <c r="D37" s="31"/>
      <c r="E37" s="31"/>
    </row>
    <row r="38" spans="1:6" ht="40.5" customHeight="1" x14ac:dyDescent="0.25">
      <c r="A38" s="39" t="s">
        <v>8</v>
      </c>
      <c r="B38" s="39"/>
      <c r="C38" s="39"/>
      <c r="D38" s="39"/>
      <c r="E38" s="39"/>
    </row>
    <row r="39" spans="1:6" ht="49.5" customHeight="1" x14ac:dyDescent="0.25">
      <c r="A39" s="41" t="s">
        <v>9</v>
      </c>
      <c r="B39" s="41"/>
      <c r="C39" s="41"/>
      <c r="D39" s="41"/>
      <c r="E39" s="41"/>
    </row>
    <row r="40" spans="1:6" ht="46.5" customHeight="1" x14ac:dyDescent="0.25">
      <c r="A40" s="41" t="s">
        <v>10</v>
      </c>
      <c r="B40" s="41"/>
      <c r="C40" s="41"/>
      <c r="D40" s="41"/>
      <c r="E40" s="41"/>
    </row>
    <row r="41" spans="1:6" ht="25.5" customHeight="1" x14ac:dyDescent="0.25">
      <c r="A41" s="41" t="s">
        <v>11</v>
      </c>
      <c r="B41" s="41"/>
      <c r="C41" s="41"/>
      <c r="D41" s="41"/>
      <c r="E41" s="41"/>
    </row>
    <row r="42" spans="1:6" ht="76.5" customHeight="1" x14ac:dyDescent="0.25">
      <c r="A42" s="39" t="s">
        <v>12</v>
      </c>
      <c r="B42" s="39"/>
      <c r="C42" s="39"/>
      <c r="D42" s="39"/>
      <c r="E42" s="39"/>
    </row>
    <row r="43" spans="1:6" ht="33.75" customHeight="1" x14ac:dyDescent="0.25">
      <c r="A43" s="39" t="s">
        <v>13</v>
      </c>
      <c r="B43" s="39"/>
      <c r="C43" s="39"/>
      <c r="D43" s="39"/>
      <c r="E43" s="39"/>
    </row>
    <row r="44" spans="1:6" ht="60.75" customHeight="1" x14ac:dyDescent="0.25">
      <c r="A44" s="39" t="s">
        <v>14</v>
      </c>
      <c r="B44" s="39"/>
      <c r="C44" s="39"/>
      <c r="D44" s="39"/>
      <c r="E44" s="39"/>
    </row>
    <row r="45" spans="1:6" ht="30" customHeight="1" x14ac:dyDescent="0.25">
      <c r="A45" s="39" t="s">
        <v>15</v>
      </c>
      <c r="B45" s="39"/>
      <c r="C45" s="39"/>
      <c r="D45" s="39"/>
      <c r="E45" s="39"/>
    </row>
    <row r="46" spans="1:6" ht="75.75" customHeight="1" x14ac:dyDescent="0.25">
      <c r="A46" s="42" t="s">
        <v>16</v>
      </c>
      <c r="B46" s="42"/>
      <c r="C46" s="42"/>
      <c r="D46" s="42"/>
      <c r="E46" s="42"/>
    </row>
    <row r="47" spans="1:6" ht="26.25" customHeight="1" x14ac:dyDescent="0.25">
      <c r="A47" s="39" t="s">
        <v>17</v>
      </c>
      <c r="B47" s="39"/>
      <c r="C47" s="39"/>
      <c r="D47" s="39"/>
      <c r="E47" s="39"/>
    </row>
    <row r="48" spans="1:6" x14ac:dyDescent="0.25">
      <c r="A48" s="9" t="s">
        <v>18</v>
      </c>
      <c r="B48" s="9"/>
      <c r="C48" s="31"/>
      <c r="D48" s="31"/>
      <c r="E48" s="31"/>
    </row>
    <row r="49" spans="1:5" x14ac:dyDescent="0.25">
      <c r="A49" s="9" t="s">
        <v>19</v>
      </c>
      <c r="B49" s="9"/>
      <c r="C49" s="31"/>
      <c r="D49" s="31"/>
      <c r="E49" s="31"/>
    </row>
    <row r="50" spans="1:5" x14ac:dyDescent="0.25">
      <c r="A50" s="35" t="s">
        <v>24</v>
      </c>
      <c r="B50" s="35"/>
      <c r="C50" s="38" t="s">
        <v>39</v>
      </c>
      <c r="D50" s="38"/>
      <c r="E50" s="38"/>
    </row>
    <row r="51" spans="1:5" x14ac:dyDescent="0.25">
      <c r="A51" s="9"/>
      <c r="B51" s="9"/>
      <c r="C51" s="31"/>
      <c r="D51" s="31"/>
      <c r="E51" s="31"/>
    </row>
    <row r="52" spans="1:5" x14ac:dyDescent="0.25">
      <c r="A52" s="9"/>
      <c r="B52" s="9"/>
      <c r="C52" s="31"/>
      <c r="D52" s="31"/>
      <c r="E52" s="31"/>
    </row>
    <row r="53" spans="1:5" x14ac:dyDescent="0.25">
      <c r="A53" s="13" t="s">
        <v>54</v>
      </c>
      <c r="B53" s="13"/>
      <c r="C53" s="31"/>
      <c r="D53" s="31"/>
      <c r="E53" s="31"/>
    </row>
    <row r="54" spans="1:5" x14ac:dyDescent="0.25">
      <c r="A54" s="29" t="s">
        <v>65</v>
      </c>
      <c r="B54" s="14"/>
      <c r="C54" s="31"/>
      <c r="D54" s="31"/>
      <c r="E54" s="31"/>
    </row>
    <row r="55" spans="1:5" x14ac:dyDescent="0.25">
      <c r="A55" s="14"/>
      <c r="B55" s="14"/>
      <c r="C55" s="31"/>
      <c r="D55" s="31"/>
      <c r="E55" s="31"/>
    </row>
    <row r="56" spans="1:5" x14ac:dyDescent="0.25">
      <c r="A56" s="30"/>
      <c r="B56" s="30"/>
      <c r="C56" s="30"/>
      <c r="D56" s="30"/>
      <c r="E56" s="30"/>
    </row>
  </sheetData>
  <mergeCells count="20">
    <mergeCell ref="A34:E34"/>
    <mergeCell ref="A15:E15"/>
    <mergeCell ref="A7:E7"/>
    <mergeCell ref="A2:E2"/>
    <mergeCell ref="A10:E10"/>
    <mergeCell ref="A33:E33"/>
    <mergeCell ref="A29:E29"/>
    <mergeCell ref="C50:E50"/>
    <mergeCell ref="A47:E47"/>
    <mergeCell ref="A35:E35"/>
    <mergeCell ref="A36:E36"/>
    <mergeCell ref="A38:E38"/>
    <mergeCell ref="A39:E39"/>
    <mergeCell ref="A42:E42"/>
    <mergeCell ref="A43:E43"/>
    <mergeCell ref="A44:E44"/>
    <mergeCell ref="A46:E46"/>
    <mergeCell ref="A40:E40"/>
    <mergeCell ref="A41:E41"/>
    <mergeCell ref="A45:E45"/>
  </mergeCells>
  <pageMargins left="0.23622047244094491" right="0.23622047244094491" top="0.74803149606299213" bottom="0.74803149606299213" header="0.31496062992125984" footer="0.31496062992125984"/>
  <pageSetup paperSize="9" scale="77" orientation="portrait" r:id="rId1"/>
  <headerFooter>
    <oddHeader>&amp;R&amp;G</oddHeader>
    <oddFooter>&amp;C&amp;G</oddFooter>
  </headerFooter>
  <rowBreaks count="1" manualBreakCount="1">
    <brk id="3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46"/>
  <sheetViews>
    <sheetView topLeftCell="A7" zoomScaleNormal="100" zoomScalePageLayoutView="50" workbookViewId="0">
      <selection activeCell="H19" sqref="H19"/>
    </sheetView>
  </sheetViews>
  <sheetFormatPr baseColWidth="10" defaultRowHeight="15" x14ac:dyDescent="0.25"/>
  <cols>
    <col min="1" max="1" width="5.85546875" style="16" customWidth="1"/>
    <col min="2" max="2" width="52.140625" customWidth="1"/>
    <col min="3" max="3" width="14.28515625" customWidth="1"/>
    <col min="4" max="4" width="11.42578125" customWidth="1"/>
    <col min="5" max="5" width="9.85546875" bestFit="1" customWidth="1"/>
    <col min="6" max="6" width="10.42578125" customWidth="1"/>
  </cols>
  <sheetData>
    <row r="4" spans="2:6" x14ac:dyDescent="0.25">
      <c r="B4" s="21"/>
      <c r="C4" s="21"/>
      <c r="D4" s="21"/>
      <c r="E4" s="21"/>
      <c r="F4" s="21"/>
    </row>
    <row r="5" spans="2:6" x14ac:dyDescent="0.25">
      <c r="B5" s="21"/>
      <c r="C5" s="21"/>
      <c r="D5" s="21"/>
      <c r="E5" s="21"/>
      <c r="F5" s="21"/>
    </row>
    <row r="6" spans="2:6" x14ac:dyDescent="0.25">
      <c r="B6" s="46" t="s">
        <v>51</v>
      </c>
      <c r="C6" s="46"/>
      <c r="D6" s="46"/>
      <c r="E6" s="46"/>
      <c r="F6" s="46"/>
    </row>
    <row r="7" spans="2:6" x14ac:dyDescent="0.25">
      <c r="B7" s="1" t="s">
        <v>41</v>
      </c>
      <c r="C7" s="1"/>
      <c r="D7" s="21"/>
      <c r="E7" s="21"/>
      <c r="F7" s="21"/>
    </row>
    <row r="8" spans="2:6" x14ac:dyDescent="0.25">
      <c r="B8" s="1" t="s">
        <v>0</v>
      </c>
      <c r="C8" s="1"/>
      <c r="D8" s="21"/>
      <c r="E8" s="21"/>
      <c r="F8" s="21"/>
    </row>
    <row r="9" spans="2:6" x14ac:dyDescent="0.25">
      <c r="B9" s="45" t="s">
        <v>43</v>
      </c>
      <c r="C9" s="45"/>
      <c r="D9" s="45"/>
      <c r="E9" s="45"/>
      <c r="F9" s="45"/>
    </row>
    <row r="10" spans="2:6" x14ac:dyDescent="0.25">
      <c r="B10" s="43"/>
      <c r="C10" s="43"/>
      <c r="D10" s="43"/>
      <c r="E10" s="43"/>
      <c r="F10" s="43"/>
    </row>
    <row r="11" spans="2:6" ht="12.75" customHeight="1" x14ac:dyDescent="0.25">
      <c r="B11" s="8" t="s">
        <v>52</v>
      </c>
      <c r="C11" s="8"/>
      <c r="D11" s="22"/>
      <c r="E11" s="22"/>
      <c r="F11" s="22"/>
    </row>
    <row r="12" spans="2:6" ht="13.5" customHeight="1" x14ac:dyDescent="0.25">
      <c r="B12" s="9" t="s">
        <v>2</v>
      </c>
      <c r="C12" s="9"/>
      <c r="D12" s="22"/>
      <c r="E12" s="22"/>
      <c r="F12" s="22"/>
    </row>
    <row r="13" spans="2:6" ht="21.75" customHeight="1" x14ac:dyDescent="0.25">
      <c r="B13" s="52" t="s">
        <v>25</v>
      </c>
      <c r="C13" s="52"/>
      <c r="D13" s="52"/>
      <c r="E13" s="52"/>
      <c r="F13" s="52"/>
    </row>
    <row r="14" spans="2:6" x14ac:dyDescent="0.25">
      <c r="B14" s="8" t="s">
        <v>22</v>
      </c>
      <c r="C14" s="8"/>
      <c r="D14" s="19" t="s">
        <v>20</v>
      </c>
      <c r="E14" s="19" t="s">
        <v>29</v>
      </c>
      <c r="F14" s="18" t="s">
        <v>21</v>
      </c>
    </row>
    <row r="15" spans="2:6" x14ac:dyDescent="0.25">
      <c r="B15" s="8"/>
      <c r="C15" s="8"/>
      <c r="D15" s="18"/>
      <c r="E15" s="18"/>
      <c r="F15" s="18"/>
    </row>
    <row r="16" spans="2:6" x14ac:dyDescent="0.25">
      <c r="B16" s="7" t="s">
        <v>49</v>
      </c>
      <c r="C16" s="24" t="s">
        <v>42</v>
      </c>
      <c r="D16" s="5">
        <v>13</v>
      </c>
      <c r="E16" s="23">
        <v>750.46</v>
      </c>
      <c r="F16" s="11">
        <f t="shared" ref="F16" si="0">D16*E16</f>
        <v>9755.98</v>
      </c>
    </row>
    <row r="17" spans="2:8" x14ac:dyDescent="0.25">
      <c r="B17" s="7" t="s">
        <v>45</v>
      </c>
      <c r="C17" s="24" t="s">
        <v>42</v>
      </c>
      <c r="D17" s="5">
        <v>3</v>
      </c>
      <c r="E17" s="23">
        <v>850.38</v>
      </c>
      <c r="F17" s="11">
        <f t="shared" ref="F17" si="1">D17*E17</f>
        <v>2551.14</v>
      </c>
    </row>
    <row r="18" spans="2:8" x14ac:dyDescent="0.25">
      <c r="B18" s="7" t="s">
        <v>44</v>
      </c>
      <c r="C18" s="24" t="s">
        <v>42</v>
      </c>
      <c r="D18" s="5">
        <v>4</v>
      </c>
      <c r="E18" s="23">
        <v>4190</v>
      </c>
      <c r="F18" s="11">
        <f t="shared" ref="F18:F20" si="2">D18*E18</f>
        <v>16760</v>
      </c>
    </row>
    <row r="19" spans="2:8" x14ac:dyDescent="0.25">
      <c r="B19" s="7" t="s">
        <v>47</v>
      </c>
      <c r="C19" s="24" t="s">
        <v>42</v>
      </c>
      <c r="D19" s="26">
        <v>1.5</v>
      </c>
      <c r="E19" s="23">
        <v>4154.8100000000004</v>
      </c>
      <c r="F19" s="11">
        <f t="shared" si="2"/>
        <v>6232.2150000000001</v>
      </c>
    </row>
    <row r="20" spans="2:8" x14ac:dyDescent="0.25">
      <c r="B20" s="7" t="s">
        <v>48</v>
      </c>
      <c r="C20" s="24" t="s">
        <v>46</v>
      </c>
      <c r="D20" s="5">
        <v>3</v>
      </c>
      <c r="E20" s="23">
        <v>4786.5</v>
      </c>
      <c r="F20" s="11">
        <f t="shared" si="2"/>
        <v>14359.5</v>
      </c>
    </row>
    <row r="21" spans="2:8" x14ac:dyDescent="0.25">
      <c r="B21" s="7"/>
      <c r="C21" s="24"/>
      <c r="D21" s="5"/>
      <c r="E21" s="23"/>
      <c r="F21" s="11"/>
    </row>
    <row r="22" spans="2:8" x14ac:dyDescent="0.25">
      <c r="B22" s="4"/>
      <c r="C22" s="4"/>
      <c r="D22" s="22"/>
      <c r="E22" s="4" t="s">
        <v>3</v>
      </c>
      <c r="F22" s="12">
        <f>SUM(F16:F21)</f>
        <v>49658.834999999999</v>
      </c>
    </row>
    <row r="23" spans="2:8" x14ac:dyDescent="0.25">
      <c r="B23" s="4"/>
      <c r="C23" s="4"/>
      <c r="D23" s="4"/>
      <c r="E23" s="4" t="s">
        <v>4</v>
      </c>
      <c r="F23" s="12">
        <f>F22*16%</f>
        <v>7945.4135999999999</v>
      </c>
    </row>
    <row r="24" spans="2:8" x14ac:dyDescent="0.25">
      <c r="B24" s="4"/>
      <c r="C24" s="4"/>
      <c r="D24" s="17"/>
      <c r="E24" s="4" t="s">
        <v>5</v>
      </c>
      <c r="F24" s="12">
        <f>SUM(F22:F23)</f>
        <v>57604.248599999999</v>
      </c>
    </row>
    <row r="25" spans="2:8" x14ac:dyDescent="0.25">
      <c r="B25" s="4"/>
      <c r="C25" s="4"/>
      <c r="D25" s="17"/>
      <c r="E25" s="4"/>
      <c r="F25" s="12"/>
    </row>
    <row r="26" spans="2:8" x14ac:dyDescent="0.25">
      <c r="B26" s="1" t="s">
        <v>26</v>
      </c>
      <c r="C26" s="1"/>
      <c r="D26" s="21"/>
      <c r="E26" s="21"/>
      <c r="F26" s="21"/>
    </row>
    <row r="27" spans="2:8" ht="39" customHeight="1" x14ac:dyDescent="0.25">
      <c r="B27" s="52" t="s">
        <v>30</v>
      </c>
      <c r="C27" s="52"/>
      <c r="D27" s="52"/>
      <c r="E27" s="52"/>
      <c r="F27" s="52"/>
    </row>
    <row r="28" spans="2:8" ht="17.25" customHeight="1" x14ac:dyDescent="0.25">
      <c r="B28" s="52" t="s">
        <v>31</v>
      </c>
      <c r="C28" s="52"/>
      <c r="D28" s="52"/>
      <c r="E28" s="52"/>
      <c r="F28" s="52"/>
    </row>
    <row r="29" spans="2:8" ht="15" customHeight="1" x14ac:dyDescent="0.25">
      <c r="B29" s="52" t="s">
        <v>32</v>
      </c>
      <c r="C29" s="52"/>
      <c r="D29" s="52"/>
      <c r="E29" s="52"/>
      <c r="F29" s="52"/>
    </row>
    <row r="30" spans="2:8" ht="18" customHeight="1" x14ac:dyDescent="0.25">
      <c r="B30" s="52" t="s">
        <v>33</v>
      </c>
      <c r="C30" s="52"/>
      <c r="D30" s="52"/>
      <c r="E30" s="52"/>
      <c r="F30" s="52"/>
    </row>
    <row r="31" spans="2:8" ht="96.75" customHeight="1" x14ac:dyDescent="0.25">
      <c r="B31" s="52" t="s">
        <v>34</v>
      </c>
      <c r="C31" s="52"/>
      <c r="D31" s="52"/>
      <c r="E31" s="52"/>
      <c r="F31" s="52"/>
    </row>
    <row r="32" spans="2:8" x14ac:dyDescent="0.25">
      <c r="B32" s="21"/>
      <c r="C32" s="21"/>
      <c r="D32" s="21"/>
      <c r="E32" s="21"/>
      <c r="F32" s="21"/>
      <c r="H32" s="15"/>
    </row>
    <row r="33" spans="2:15" x14ac:dyDescent="0.25">
      <c r="B33" s="6" t="s">
        <v>35</v>
      </c>
      <c r="C33" s="6"/>
      <c r="D33" s="50" t="s">
        <v>36</v>
      </c>
      <c r="E33" s="50"/>
      <c r="F33" s="50"/>
    </row>
    <row r="34" spans="2:15" x14ac:dyDescent="0.25">
      <c r="B34" s="9"/>
      <c r="C34" s="9"/>
      <c r="D34" s="22"/>
      <c r="E34" s="22"/>
      <c r="F34" s="22"/>
    </row>
    <row r="35" spans="2:15" x14ac:dyDescent="0.25">
      <c r="B35" s="9"/>
      <c r="C35" s="9"/>
      <c r="D35" s="22"/>
      <c r="E35" s="22"/>
      <c r="F35" s="22"/>
    </row>
    <row r="36" spans="2:15" x14ac:dyDescent="0.25">
      <c r="B36" s="13" t="s">
        <v>37</v>
      </c>
      <c r="C36" s="13"/>
      <c r="D36" s="22"/>
      <c r="E36" s="22"/>
      <c r="F36" s="22"/>
    </row>
    <row r="37" spans="2:15" x14ac:dyDescent="0.25">
      <c r="B37" s="25" t="s">
        <v>50</v>
      </c>
      <c r="C37" s="25"/>
      <c r="D37" s="51" t="s">
        <v>27</v>
      </c>
      <c r="E37" s="51"/>
      <c r="F37" s="51"/>
    </row>
    <row r="38" spans="2:15" x14ac:dyDescent="0.25">
      <c r="B38" s="14"/>
      <c r="C38" s="14"/>
      <c r="D38" s="22"/>
      <c r="E38" s="22"/>
      <c r="F38" s="22"/>
    </row>
    <row r="39" spans="2:15" x14ac:dyDescent="0.25">
      <c r="B39" s="48" t="s">
        <v>28</v>
      </c>
      <c r="C39" s="48"/>
      <c r="D39" s="49"/>
      <c r="E39" s="49"/>
      <c r="F39" s="49"/>
      <c r="G39" s="20"/>
      <c r="H39" s="20"/>
      <c r="I39" s="20"/>
      <c r="J39" s="20"/>
      <c r="K39" s="20"/>
      <c r="L39" s="20"/>
      <c r="M39" s="20"/>
      <c r="N39" s="20"/>
      <c r="O39" s="20"/>
    </row>
    <row r="40" spans="2:15" x14ac:dyDescent="0.25">
      <c r="B40" s="49"/>
      <c r="C40" s="49"/>
      <c r="D40" s="49"/>
      <c r="E40" s="49"/>
      <c r="F40" s="49"/>
      <c r="G40" s="20"/>
      <c r="H40" s="20"/>
      <c r="I40" s="20"/>
      <c r="J40" s="20"/>
      <c r="K40" s="20"/>
      <c r="L40" s="20"/>
      <c r="M40" s="20"/>
      <c r="N40" s="20"/>
      <c r="O40" s="20"/>
    </row>
    <row r="41" spans="2:15" x14ac:dyDescent="0.25">
      <c r="B41" s="49"/>
      <c r="C41" s="49"/>
      <c r="D41" s="49"/>
      <c r="E41" s="49"/>
      <c r="F41" s="49"/>
      <c r="G41" s="20"/>
      <c r="H41" s="20"/>
      <c r="I41" s="20"/>
      <c r="J41" s="20"/>
      <c r="K41" s="20"/>
      <c r="L41" s="20"/>
      <c r="M41" s="20"/>
      <c r="N41" s="20"/>
      <c r="O41" s="20"/>
    </row>
    <row r="42" spans="2:15" x14ac:dyDescent="0.25">
      <c r="B42" s="49"/>
      <c r="C42" s="49"/>
      <c r="D42" s="49"/>
      <c r="E42" s="49"/>
      <c r="F42" s="49"/>
      <c r="G42" s="20"/>
      <c r="H42" s="20"/>
      <c r="I42" s="20"/>
      <c r="J42" s="20"/>
      <c r="K42" s="20"/>
      <c r="L42" s="20"/>
      <c r="M42" s="20"/>
      <c r="N42" s="20"/>
      <c r="O42" s="20"/>
    </row>
    <row r="43" spans="2:15" x14ac:dyDescent="0.25">
      <c r="B43" s="20"/>
      <c r="C43" s="20"/>
      <c r="D43" s="20"/>
      <c r="E43" s="20"/>
      <c r="F43" s="20"/>
      <c r="G43" s="20"/>
      <c r="H43" s="20"/>
      <c r="I43" s="20"/>
      <c r="J43" s="20"/>
      <c r="K43" s="20"/>
      <c r="L43" s="20"/>
      <c r="M43" s="20"/>
      <c r="N43" s="20"/>
      <c r="O43" s="20"/>
    </row>
    <row r="44" spans="2:15" x14ac:dyDescent="0.25">
      <c r="B44" s="20"/>
      <c r="C44" s="20"/>
      <c r="D44" s="20"/>
      <c r="E44" s="20"/>
      <c r="F44" s="20"/>
      <c r="G44" s="20"/>
      <c r="H44" s="20"/>
      <c r="I44" s="20"/>
      <c r="J44" s="20"/>
      <c r="K44" s="20"/>
      <c r="L44" s="20"/>
      <c r="M44" s="20"/>
      <c r="N44" s="20"/>
      <c r="O44" s="20"/>
    </row>
    <row r="45" spans="2:15" x14ac:dyDescent="0.25">
      <c r="B45" s="20"/>
      <c r="C45" s="20"/>
      <c r="D45" s="20"/>
      <c r="E45" s="20"/>
      <c r="F45" s="20"/>
      <c r="G45" s="20"/>
      <c r="H45" s="20"/>
      <c r="I45" s="20"/>
      <c r="J45" s="20"/>
      <c r="K45" s="20"/>
      <c r="L45" s="20"/>
      <c r="M45" s="20"/>
      <c r="N45" s="20"/>
      <c r="O45" s="20"/>
    </row>
    <row r="46" spans="2:15" x14ac:dyDescent="0.25">
      <c r="B46" s="20"/>
      <c r="C46" s="20"/>
      <c r="D46" s="20"/>
      <c r="E46" s="20"/>
      <c r="F46" s="20"/>
      <c r="G46" s="20"/>
      <c r="H46" s="20"/>
      <c r="I46" s="20"/>
      <c r="J46" s="20"/>
      <c r="K46" s="20"/>
      <c r="L46" s="20"/>
      <c r="M46" s="20"/>
      <c r="N46" s="20"/>
      <c r="O46" s="20"/>
    </row>
  </sheetData>
  <mergeCells count="12">
    <mergeCell ref="B6:F6"/>
    <mergeCell ref="B9:F9"/>
    <mergeCell ref="B10:F10"/>
    <mergeCell ref="B13:F13"/>
    <mergeCell ref="B31:F31"/>
    <mergeCell ref="B39:F42"/>
    <mergeCell ref="D33:F33"/>
    <mergeCell ref="D37:F37"/>
    <mergeCell ref="B27:F27"/>
    <mergeCell ref="B28:F28"/>
    <mergeCell ref="B29:F29"/>
    <mergeCell ref="B30:F30"/>
  </mergeCells>
  <pageMargins left="0.7" right="0.7" top="0.75" bottom="0.75" header="0.3" footer="0.3"/>
  <pageSetup paperSize="9" scale="8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2025-01-07T14:57:18Z</cp:lastPrinted>
  <dcterms:created xsi:type="dcterms:W3CDTF">2020-12-14T19:54:01Z</dcterms:created>
  <dcterms:modified xsi:type="dcterms:W3CDTF">2026-03-20T17:58:47Z</dcterms:modified>
</cp:coreProperties>
</file>