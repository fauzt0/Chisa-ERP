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ventas\Nextcloud\COTIZACIONES 2026\"/>
    </mc:Choice>
  </mc:AlternateContent>
  <xr:revisionPtr revIDLastSave="0" documentId="13_ncr:1_{1DC9B13F-422C-469C-83FC-5F4FC516309F}" xr6:coauthVersionLast="47" xr6:coauthVersionMax="47" xr10:uidLastSave="{00000000-0000-0000-0000-000000000000}"/>
  <bookViews>
    <workbookView xWindow="-120" yWindow="-120" windowWidth="20730" windowHeight="11160" activeTab="1" xr2:uid="{00000000-000D-0000-FFFF-FFFF00000000}"/>
  </bookViews>
  <sheets>
    <sheet name="SUMINISTRO Y APLICACION" sheetId="1" r:id="rId1"/>
    <sheet name="SUMINISTRO" sheetId="3" r:id="rId2"/>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28" i="3" l="1"/>
  <c r="F29" i="3" s="1"/>
  <c r="F30" i="3" s="1"/>
  <c r="F23" i="3"/>
  <c r="E14" i="1" l="1"/>
  <c r="E16" i="1"/>
  <c r="E17" i="1" l="1"/>
  <c r="E18" i="1" s="1"/>
</calcChain>
</file>

<file path=xl/sharedStrings.xml><?xml version="1.0" encoding="utf-8"?>
<sst xmlns="http://schemas.openxmlformats.org/spreadsheetml/2006/main" count="70" uniqueCount="61">
  <si>
    <t xml:space="preserve">P  R  E  S  E  N  T  E                                                                                                 </t>
  </si>
  <si>
    <t xml:space="preserve">         </t>
  </si>
  <si>
    <t xml:space="preserve">     </t>
  </si>
  <si>
    <t>IMPORTE:</t>
  </si>
  <si>
    <t>16% I.V.A.</t>
  </si>
  <si>
    <t>T O T A L</t>
  </si>
  <si>
    <t>FORMA DE PAGO</t>
  </si>
  <si>
    <t>N O T A S:</t>
  </si>
  <si>
    <t>TODO AUMENTO DE OBRA O CAMBIO DE ESPECIFICACIÓN, DEBERÁ SER NOTIFICADO POR EL CLIENTE MEDIANTE ORDEN DE TRABAJO, CON LO CUAL  SE REALIZARA LA MODIFICACIÓN BAJO EL CARGO CORRESPONDIENTE EN SU CASO.</t>
  </si>
  <si>
    <t xml:space="preserve">EL PERSONAL APLICADOR DE CHISA RECUBRIMIENTOS, S.A. DE C.V.  NO SE ENCUENTRA AUTORIZADO PARA REALIZAR TRABAJOS DE TABLAROCA, RESANES DE ALBAÑILERÍA O YESO, DESPRENDIMIENTO DE PAPEL TAPIZ, COLOCACIÓN O RETIRO DE SEÑALIZACIÓN,  RETIRO DE MOBILIARIO,  APARATOS, O EQUIPO, EVITANDO ASÍ CUALQUIER DAÑO A LOS MISMOS.  </t>
  </si>
  <si>
    <t>EN CASO DE QUE EL CLIENTE NO LIBERE ÁREAS PARA SER APLICADO EL RECUBRIMIENTO,  SE  REALIZARAN LOS CARGOS CORRESPONDIENTES POR TIEMPOS MUERTOS, VIÁTICOS,  Y LOS GASTOS QUE SE GENEREN DERIVADOS DEL MISMO,  EN EL SUPUESTO DE QUE LOS VOLÚMENES CONTRATADOS VARÍEN A LOS EXISTENTES EN OBRA, EL CLIENTE LIQUIDARA EL MATERIAL EXCEDENTE FABRICADO PARA LA MISMA.</t>
  </si>
  <si>
    <t>EL PRESENTE  PRESUPUESTO TIENE UNA VIGENCIA DE 15 DÍAS HÁBILES, AL TERMINO DE ESTA FECHA SE DEBERÁ ACTUALIZAR LA COTIZACIÓN, PARA VERIFICAR LA VIGENCIA DE LOS PRECIOS.</t>
  </si>
  <si>
    <t>ESTE TIPO DE MATERIAL POR SUS COMPONENTES REQUIERE DE UNA SUPERFICIE SECA, LIBRE DE HUMEDAD Y/O SALITRE,  DE LO CONTRARIO NO RECOMENDAMOS LA APLICACIÓN DE NUESTROS PRODUCTOS HASTA CORREGIR EL PROBLEMA, YA QUE NO SEREMOS RESPONSABLES POR DEFECTOS, MANCHAS O DESPRENDIMIENTOS QUE PUDIERAN PRESENTARSE, SI EN LAS SUPERFICIES DONDE SERÁN APLICADOS LOS PRODUCTOS COTIZADOS EXISTIERA PINTURA EN MAL ESTADO O CON FALSA ADHERENCIA, EL CLIENTE SE COMPROMETE A RETIRAR LA MISMA, PREVIO A LA APLICACIÓN DE NUESTROS PRODUCTOS.</t>
  </si>
  <si>
    <t>TODO LO RELACIONADO A LICENCIAS, PERMISOS DE  CONSTRUCCIÓN Y SINDICATOS, CORRERÁ POR  CUENTA DEL CLIENTE.</t>
  </si>
  <si>
    <t>INICIAMOS LOS TRABAJOS PREVIA ENTREGA  DE PAGO TOTAL ANTICIPADO  A LOS 15 DIAS HABILES PARA OBRAS FORANEAS Y EN 5 DIAS HABILES EN OBRAS EN LA CDMX, SIEMPRE Y CUANDO EL ACABADO DE LOS MUROS SEA DE MEZCLA FINO Y LIBRE DE DETALLES DE ALBAÑILERIA Y/O TABLAROCA, EN DICHOS TIEMPOS SE CONSIDERA LA FABRICACION DEL MATERIAL Y EL TRASLADO DE MATERIALES A EL LUGAR DE LOS TRABAJOS.</t>
  </si>
  <si>
    <t>TODA DEVOLUCIÓN DE CHEQUE, CAUSARA EL 20% DE CARGO DE ACUERDO CON EL ART. 193 DE LA LEY GENERAL DE TÍTULOS Y OPERACIONES DE CRÉDITO.</t>
  </si>
  <si>
    <t xml:space="preserve">CHISA RECUBRIMIENTOS, S.A. DE C.V. CON DOMICILIO EN ANDRES MOLINA ENRIQUEZ No. 156 COL. SAN PEDRO IZTACALCO, ALCALDÍA IZTACALCO, EN CIUDAD DE MÉXICO,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www.chisarecubrimientos.com.mx </t>
  </si>
  <si>
    <t xml:space="preserve">SIN MAS POR EL MOMENTO, LE REITERO A USTED, LAS SEGURIDADES DE MI MAS DISTINGUIDA CONSIDERACIÓN. </t>
  </si>
  <si>
    <t xml:space="preserve">   </t>
  </si>
  <si>
    <t>CANTIDAD</t>
  </si>
  <si>
    <t>IMPORTE</t>
  </si>
  <si>
    <t>CONCEPTO</t>
  </si>
  <si>
    <t>M2</t>
  </si>
  <si>
    <t>ACEPTO</t>
  </si>
  <si>
    <t xml:space="preserve">NOTAS: </t>
  </si>
  <si>
    <r>
      <t xml:space="preserve">PRECIO  U.                </t>
    </r>
    <r>
      <rPr>
        <sz val="9"/>
        <color theme="1"/>
        <rFont val="Times New Roman"/>
        <family val="1"/>
      </rPr>
      <t xml:space="preserve">       </t>
    </r>
  </si>
  <si>
    <t>1.-EL PRESENTE PRESUPUESTO TIENE UNA VIGENCIA DE 5 DIAS HABILES, AL TERMINO  DE ESTA FECHA,   NUESTROS PRECIOS PODRIAN CAMBIAR SIN PREVIO AVISO, EN EL MARGEN QUE VARIEN  NUESTRAS MATERIAS PRIMAS.</t>
  </si>
  <si>
    <r>
      <t xml:space="preserve">2.-AL ACEPTAR EL PRESENTE PRESUPUESTO REQUERIMOS DEL </t>
    </r>
    <r>
      <rPr>
        <b/>
        <sz val="9"/>
        <color theme="1"/>
        <rFont val="Times New Roman"/>
        <family val="1"/>
      </rPr>
      <t>PAGO TOTAL ANTICIPADO</t>
    </r>
  </si>
  <si>
    <t>4.-PRECIOS CONSIDERADOS EN LA COMPRA TOTAL EN UNA SOLA EXHIBICION.</t>
  </si>
  <si>
    <t>VOLUMEN</t>
  </si>
  <si>
    <t xml:space="preserve">                               ATENTAMENTE</t>
  </si>
  <si>
    <t xml:space="preserve">                                                                                                                                                                                                                                                                                                                                                                                </t>
  </si>
  <si>
    <t xml:space="preserve">OBRA: HOSPITAL 20 DE NOVIEMBRE </t>
  </si>
  <si>
    <t xml:space="preserve">                CHISA RECUBRIMIENTOS. S.A DE C.V</t>
  </si>
  <si>
    <r>
      <t>PRESENTAMOS  A  SU AMABLE  CONSIDERACIÓN EL PRESUPUESTO DE SUMINISTRO Y APLICACIÓN  DE  LOS SIGUIENTES CONCEPTOS.</t>
    </r>
    <r>
      <rPr>
        <b/>
        <sz val="8"/>
        <color theme="1"/>
        <rFont val="Calibri"/>
        <family val="2"/>
        <scheme val="minor"/>
      </rPr>
      <t xml:space="preserve">                                                   </t>
    </r>
  </si>
  <si>
    <r>
      <t xml:space="preserve">PRECIO  U.                </t>
    </r>
    <r>
      <rPr>
        <sz val="8"/>
        <color theme="1"/>
        <rFont val="Calibri"/>
        <family val="2"/>
        <scheme val="minor"/>
      </rPr>
      <t xml:space="preserve">       </t>
    </r>
  </si>
  <si>
    <r>
      <t>2.-SUMINISTRO Y APLICACIÓN DE RECUBRIMIENTO CHISA GLASS REF-S.M.A. EN MUROS CON SUPERFICIE LISA, INCLUYE :</t>
    </r>
    <r>
      <rPr>
        <sz val="8"/>
        <color theme="1"/>
        <rFont val="Calibri"/>
        <family val="2"/>
        <scheme val="minor"/>
      </rPr>
      <t xml:space="preserve">  LIMPIEZA Y LIJADO DE MURO, APLICACIÓN DE SELLADOR ACRÍLICO 4648 A MANO CON RODILLO DE FELPA Y BROCHA, APLICACIÓN DE PRAIMER GLASS APLICADO CON RODILLO DE FELPA Y BROCHA, APLICACIÓN DE RECUBRIMIENTO CHISA GLASS REF-S.M.A. CON EQUIPO NEUMÁTICO POR ASPERSIÓN DE AIRE, APLICACIÓN DE VITROGLASS ECOLÓGICO CON RODILLO DE FELPA Y BROCHA,   PROTECCIÓN DE SUPERFICIES ADYACENTES  CON PAPEL Y MASKING TAPE, LIMPIEZA Y  RETIRO DE SOBRANTES PROPIOS HASTA EL LUGAR INDICADO DENTRO DE  OBRA, FLETE, Y MANO DE OBRA ESPECIALIZADA, TODO LO ANTERIOR CONSIDERADO HASTA UNA ALTURA DE  2.70  MTS.   Y  DEMÁS DERIVADOS DEL USO DE HERRAMIENTA. NO INCLUYE ANDAMIAJE.</t>
    </r>
  </si>
  <si>
    <r>
      <t>EN CASO DE SER ACEPTADO EL PRESENTE PRESUPUESTO REQUERIMOS DEL 7</t>
    </r>
    <r>
      <rPr>
        <b/>
        <sz val="8"/>
        <color theme="1"/>
        <rFont val="Calibri"/>
        <family val="2"/>
        <scheme val="minor"/>
      </rPr>
      <t>0% COMO ANTICIPO</t>
    </r>
    <r>
      <rPr>
        <sz val="8"/>
        <color theme="1"/>
        <rFont val="Calibri"/>
        <family val="2"/>
        <scheme val="minor"/>
      </rPr>
      <t>, EL CUAL SERA APLICADO A LA FABRICACIÓN, Y GASTOS DE ENVIÓ DE MATERIALES AL LUGAR DE LOS TRABAJOS: EL PORCENTAJE RESTANTE AL IMPORTE DEL PRESUPUESTO SE PAGARÁ EN ESTIMACIONES SEMANALES SEGÚN EL AVANCE DE LOS TRABAJOS OBJETO DEL PRESENTE, AL OTORGAR EL PAGO DE ANTICIPO PARA LA EJECUCIÓN DE LOS TRABAJOS, SE CONSIDERA COMO ACEPTADO EL PRESUPUESTO EN TODOS SUS PUNTOS Y EL MISMO FUNGIRÁ COMO CONTRATO.</t>
    </r>
  </si>
  <si>
    <t xml:space="preserve">CIUDAD DE MEXICO A 10 DE NOVIEMBRE DEL 2023 </t>
  </si>
  <si>
    <t>NOTA: EL PRESENTE PRESUPUESTO ES POR LOS METROS CUADRADOS SOLICITADOS, SI  FUERAN MENOS DE 100M2 SE MANEJA OTRO PRESUPUESTO</t>
  </si>
  <si>
    <t xml:space="preserve">                            ____________________________________                                                                                 _______________________________________</t>
  </si>
  <si>
    <t>AT´N: ING. OSIEL MORENO</t>
  </si>
  <si>
    <r>
      <t xml:space="preserve">FORMA DE PAGO Y CONSIDERACIONES GENERALES CORRESPONDIENTES AL PRESUPUESTO </t>
    </r>
    <r>
      <rPr>
        <b/>
        <sz val="8"/>
        <color theme="1"/>
        <rFont val="Calibri"/>
        <family val="2"/>
        <scheme val="minor"/>
      </rPr>
      <t>REF. 15268/2023.</t>
    </r>
  </si>
  <si>
    <t>ESTRATEGIA CONSTRUCTORA TMMEX</t>
  </si>
  <si>
    <t xml:space="preserve">                                    ING. OSIEL MORENO</t>
  </si>
  <si>
    <t>PRES. REF. 15268-I /2023</t>
  </si>
  <si>
    <t>3.-ENTREGA DE MATERIALES L.A.B. EN LA PLANTA DE CHISA RECUBRIMIENTOS,  S.A. DE C.V.</t>
  </si>
  <si>
    <r>
      <t xml:space="preserve">5.-CHISA RECUBRIMIENTOS, S.A. DE C.V. CON DOMICILIO EN ANDRES MOLINA ENRIQUEZ No. 156 COL. SAN PEDRO IZTACALCO, ALCALDÍA IZTACALCO EN CDMX, UTILIZARA SUS DATOS PERSONALES RECABADOS UNICA Y EXCLUSIVAMENTE PARA EFECTOS DE PROPORCIONARLE INFORMACION DE NUESTROS SERVICIOS, PRODUCTOS Y COSTOS. PARA MAYOR INFORMACION ACERCA DEL TRATAMIENTO Y DE LOS DERECHOS QUE PUEDE HACER VALER, USTED PUEDE ACCEDER AL AVISO DE PRIVACIDAD INTEGRAL A TRAVES DE NUESTRA PAGINA DE INTERNET </t>
    </r>
    <r>
      <rPr>
        <u/>
        <sz val="9"/>
        <color rgb="FF002060"/>
        <rFont val="Times New Roman"/>
        <family val="1"/>
      </rPr>
      <t>www.chisarecubrimientos.com.mx</t>
    </r>
  </si>
  <si>
    <t xml:space="preserve">                                   A C E P T O</t>
  </si>
  <si>
    <t xml:space="preserve">  A T E N T A M E N T E</t>
  </si>
  <si>
    <t xml:space="preserve">            ____________________________________                                                               _______________________________________</t>
  </si>
  <si>
    <t xml:space="preserve">         REY EDMUNDO BLANCO HERNANDEZ. </t>
  </si>
  <si>
    <t>CHISA RECUBRIMIENTOS, S.A DE C.V</t>
  </si>
  <si>
    <t>CONSTRUCTORA: EM LUXURY MÉXICO</t>
  </si>
  <si>
    <t xml:space="preserve">AT¨N: ING. ABRAHAM GALLARDO </t>
  </si>
  <si>
    <t xml:space="preserve">OBRA: HABITAD, SAN ANGEL. </t>
  </si>
  <si>
    <r>
      <t xml:space="preserve">PRESENTAMOS A SU AMABLE CONSIDERACIÓN EL PRESUPUESTO DE SUMINISTRO PARA UN VOLUMEN DE </t>
    </r>
    <r>
      <rPr>
        <b/>
        <sz val="9"/>
        <color theme="1"/>
        <rFont val="Times New Roman"/>
        <family val="1"/>
      </rPr>
      <t xml:space="preserve">3,000 M2 </t>
    </r>
    <r>
      <rPr>
        <sz val="9"/>
        <color theme="1"/>
        <rFont val="Times New Roman"/>
        <family val="1"/>
      </rPr>
      <t xml:space="preserve">DE LOS SIGUIENTES MATERIALES: </t>
    </r>
  </si>
  <si>
    <t>1.- PINTU FLEX  REF. NEGRO ABSOLUTO  (REND. 90M2)</t>
  </si>
  <si>
    <t>CUBETA</t>
  </si>
  <si>
    <t>CIUDAD DE MEXICO A 15 DE SEPTIEMBRE DEL 2026</t>
  </si>
  <si>
    <t>PRES. REF. 16696-S/2026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</si>
</sst>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Red]\-&quot;$&quot;#,##0.00"/>
    <numFmt numFmtId="44" formatCode="_-&quot;$&quot;* #,##0.00_-;\-&quot;$&quot;* #,##0.00_-;_-&quot;$&quot;* &quot;-&quot;??_-;_-@_-"/>
  </numFmts>
  <fonts count="13" x14ac:knownFonts="1">
    <font>
      <sz val="11"/>
      <color theme="1"/>
      <name val="Calibri"/>
      <family val="2"/>
      <scheme val="minor"/>
    </font>
    <font>
      <sz val="9"/>
      <color theme="1"/>
      <name val="Times New Roman"/>
      <family val="1"/>
    </font>
    <font>
      <b/>
      <sz val="9"/>
      <color theme="1"/>
      <name val="Times New Roman"/>
      <family val="1"/>
    </font>
    <font>
      <b/>
      <sz val="8"/>
      <color theme="1"/>
      <name val="Times New Roman"/>
      <family val="1"/>
    </font>
    <font>
      <sz val="8"/>
      <color theme="1"/>
      <name val="Times New Roman"/>
      <family val="1"/>
    </font>
    <font>
      <b/>
      <u/>
      <sz val="9"/>
      <color theme="1"/>
      <name val="Times New Roman"/>
      <family val="1"/>
    </font>
    <font>
      <sz val="11"/>
      <color theme="1"/>
      <name val="Calibri"/>
      <family val="2"/>
      <scheme val="minor"/>
    </font>
    <font>
      <b/>
      <sz val="10"/>
      <color rgb="FF002060"/>
      <name val="Calibri"/>
      <family val="2"/>
    </font>
    <font>
      <b/>
      <sz val="8"/>
      <color rgb="FF002060"/>
      <name val="Calibri"/>
      <family val="2"/>
    </font>
    <font>
      <u/>
      <sz val="9"/>
      <color rgb="FF002060"/>
      <name val="Times New Roman"/>
      <family val="1"/>
    </font>
    <font>
      <sz val="8"/>
      <color theme="1"/>
      <name val="Calibri"/>
      <family val="2"/>
      <scheme val="minor"/>
    </font>
    <font>
      <b/>
      <sz val="8"/>
      <color theme="1"/>
      <name val="Calibri"/>
      <family val="2"/>
      <scheme val="minor"/>
    </font>
    <font>
      <b/>
      <u/>
      <sz val="8"/>
      <color theme="1"/>
      <name val="Calibri"/>
      <family val="2"/>
      <scheme val="minor"/>
    </font>
  </fonts>
  <fills count="2">
    <fill>
      <patternFill patternType="none"/>
    </fill>
    <fill>
      <patternFill patternType="gray125"/>
    </fill>
  </fills>
  <borders count="1">
    <border>
      <left/>
      <right/>
      <top/>
      <bottom/>
      <diagonal/>
    </border>
  </borders>
  <cellStyleXfs count="62">
    <xf numFmtId="0" fontId="0" fillId="0" borderId="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xf numFmtId="44" fontId="6" fillId="0" borderId="0" applyFont="0" applyFill="0" applyBorder="0" applyAlignment="0" applyProtection="0"/>
  </cellStyleXfs>
  <cellXfs count="77">
    <xf numFmtId="0" fontId="0" fillId="0" borderId="0" xfId="0"/>
    <xf numFmtId="0" fontId="2" fillId="0" borderId="0" xfId="0" applyFont="1" applyAlignment="1">
      <alignment vertical="center"/>
    </xf>
    <xf numFmtId="0" fontId="3" fillId="0" borderId="0" xfId="0" applyFont="1" applyAlignment="1">
      <alignment horizontal="justify" vertical="center"/>
    </xf>
    <xf numFmtId="0" fontId="1" fillId="0" borderId="0" xfId="0" applyFont="1" applyAlignment="1">
      <alignment vertical="center" wrapText="1"/>
    </xf>
    <xf numFmtId="0" fontId="1" fillId="0" borderId="0" xfId="0" applyFont="1" applyAlignment="1">
      <alignment horizontal="justify" vertical="center" wrapText="1"/>
    </xf>
    <xf numFmtId="0" fontId="1" fillId="0" borderId="0" xfId="0" applyFont="1" applyAlignment="1">
      <alignment horizontal="center" vertical="center" wrapText="1"/>
    </xf>
    <xf numFmtId="0" fontId="4" fillId="0" borderId="0" xfId="0" applyFont="1" applyAlignment="1">
      <alignment horizontal="justify" vertical="center"/>
    </xf>
    <xf numFmtId="0" fontId="1" fillId="0" borderId="0" xfId="0" applyFont="1" applyAlignment="1">
      <alignment horizontal="left" vertical="center"/>
    </xf>
    <xf numFmtId="0" fontId="2" fillId="0" borderId="0" xfId="0" applyFont="1" applyAlignment="1">
      <alignment horizontal="justify" vertical="center"/>
    </xf>
    <xf numFmtId="0" fontId="1" fillId="0" borderId="0" xfId="0" applyFont="1" applyAlignment="1">
      <alignment horizontal="justify" vertical="center"/>
    </xf>
    <xf numFmtId="8" fontId="1" fillId="0" borderId="0" xfId="0" applyNumberFormat="1" applyFont="1" applyAlignment="1">
      <alignment horizontal="justify" wrapText="1"/>
    </xf>
    <xf numFmtId="44" fontId="1" fillId="0" borderId="0" xfId="1" applyFont="1" applyAlignment="1">
      <alignment horizontal="right" vertical="center" wrapText="1"/>
    </xf>
    <xf numFmtId="0" fontId="1" fillId="0" borderId="0" xfId="0" applyFont="1" applyAlignment="1">
      <alignment vertical="top"/>
    </xf>
    <xf numFmtId="0" fontId="0" fillId="0" borderId="0" xfId="0" applyAlignment="1">
      <alignment horizontal="left"/>
    </xf>
    <xf numFmtId="0" fontId="0" fillId="0" borderId="0" xfId="0" applyAlignment="1">
      <alignment horizontal="right" vertical="top"/>
    </xf>
    <xf numFmtId="0" fontId="1" fillId="0" borderId="0" xfId="0" applyFont="1" applyAlignment="1">
      <alignment horizontal="justify" vertical="top" wrapText="1"/>
    </xf>
    <xf numFmtId="0" fontId="2" fillId="0" borderId="0" xfId="0" applyFont="1" applyAlignment="1">
      <alignment horizontal="right" vertical="center"/>
    </xf>
    <xf numFmtId="0" fontId="2" fillId="0" borderId="0" xfId="0" applyFont="1" applyAlignment="1">
      <alignment horizontal="left" vertical="center"/>
    </xf>
    <xf numFmtId="0" fontId="7" fillId="0" borderId="0" xfId="0" applyFont="1"/>
    <xf numFmtId="0" fontId="1" fillId="0" borderId="0" xfId="0" applyFont="1"/>
    <xf numFmtId="0" fontId="1" fillId="0" borderId="0" xfId="0" applyFont="1" applyAlignment="1">
      <alignment horizontal="justify"/>
    </xf>
    <xf numFmtId="0" fontId="1" fillId="0" borderId="0" xfId="0" applyFont="1" applyAlignment="1">
      <alignment horizontal="left"/>
    </xf>
    <xf numFmtId="0" fontId="10" fillId="0" borderId="0" xfId="0" applyFont="1"/>
    <xf numFmtId="0" fontId="10" fillId="0" borderId="0" xfId="0" applyFont="1" applyAlignment="1">
      <alignment horizontal="justify"/>
    </xf>
    <xf numFmtId="0" fontId="10" fillId="0" borderId="0" xfId="0" applyFont="1" applyAlignment="1">
      <alignment horizontal="right"/>
    </xf>
    <xf numFmtId="0" fontId="4" fillId="0" borderId="0" xfId="0" applyFont="1" applyAlignment="1">
      <alignment horizontal="left" vertical="top"/>
    </xf>
    <xf numFmtId="0" fontId="4" fillId="0" borderId="0" xfId="0" applyFont="1" applyAlignment="1">
      <alignment vertical="top"/>
    </xf>
    <xf numFmtId="0" fontId="10" fillId="0" borderId="0" xfId="0" applyFont="1" applyAlignment="1">
      <alignment horizontal="center"/>
    </xf>
    <xf numFmtId="0" fontId="1" fillId="0" borderId="0" xfId="0" applyFont="1" applyAlignment="1">
      <alignment horizontal="justify" vertical="justify" wrapText="1"/>
    </xf>
    <xf numFmtId="0" fontId="10" fillId="0" borderId="0" xfId="0" applyFont="1" applyAlignment="1">
      <alignment horizontal="justify" vertical="top" wrapText="1"/>
    </xf>
    <xf numFmtId="0" fontId="11" fillId="0" borderId="0" xfId="0" applyFont="1" applyAlignment="1">
      <alignment vertical="center"/>
    </xf>
    <xf numFmtId="0" fontId="11" fillId="0" borderId="0" xfId="0" applyFont="1" applyAlignment="1">
      <alignment horizontal="right" vertical="center"/>
    </xf>
    <xf numFmtId="0" fontId="11" fillId="0" borderId="0" xfId="0" applyFont="1" applyAlignment="1">
      <alignment horizontal="justify" vertical="center"/>
    </xf>
    <xf numFmtId="0" fontId="10" fillId="0" borderId="0" xfId="0" applyFont="1" applyAlignment="1">
      <alignment horizontal="justify" vertical="center"/>
    </xf>
    <xf numFmtId="0" fontId="12" fillId="0" borderId="0" xfId="0" applyFont="1" applyAlignment="1">
      <alignment horizontal="justify" vertical="center"/>
    </xf>
    <xf numFmtId="4" fontId="10" fillId="0" borderId="0" xfId="0" applyNumberFormat="1" applyFont="1" applyAlignment="1">
      <alignment horizontal="right" wrapText="1"/>
    </xf>
    <xf numFmtId="44" fontId="10" fillId="0" borderId="0" xfId="1" applyFont="1" applyAlignment="1">
      <alignment horizontal="right" wrapText="1"/>
    </xf>
    <xf numFmtId="0" fontId="10" fillId="0" borderId="0" xfId="0" applyFont="1" applyAlignment="1">
      <alignment horizontal="justify" vertical="center" wrapText="1"/>
    </xf>
    <xf numFmtId="0" fontId="10" fillId="0" borderId="0" xfId="0" applyFont="1" applyAlignment="1">
      <alignment horizontal="right" vertical="center" wrapText="1"/>
    </xf>
    <xf numFmtId="44" fontId="10" fillId="0" borderId="0" xfId="1" applyFont="1" applyAlignment="1">
      <alignment horizontal="right" vertical="center" wrapText="1"/>
    </xf>
    <xf numFmtId="0" fontId="10" fillId="0" borderId="0" xfId="0" applyFont="1" applyAlignment="1">
      <alignment horizontal="center" vertical="center"/>
    </xf>
    <xf numFmtId="0" fontId="10" fillId="0" borderId="0" xfId="0" applyFont="1" applyAlignment="1">
      <alignment vertical="center"/>
    </xf>
    <xf numFmtId="0" fontId="10" fillId="0" borderId="0" xfId="0" applyFont="1" applyAlignment="1">
      <alignment horizontal="left" vertical="top"/>
    </xf>
    <xf numFmtId="0" fontId="10" fillId="0" borderId="0" xfId="0" applyFont="1" applyAlignment="1">
      <alignment vertical="top"/>
    </xf>
    <xf numFmtId="44" fontId="1" fillId="0" borderId="0" xfId="0" applyNumberFormat="1" applyFont="1" applyAlignment="1">
      <alignment horizontal="right" vertical="center"/>
    </xf>
    <xf numFmtId="0" fontId="1" fillId="0" borderId="0" xfId="0" applyFont="1" applyAlignment="1">
      <alignment horizontal="right" vertical="center"/>
    </xf>
    <xf numFmtId="0" fontId="2" fillId="0" borderId="0" xfId="0" applyFont="1"/>
    <xf numFmtId="0" fontId="1" fillId="0" borderId="0" xfId="0" applyFont="1" applyAlignment="1">
      <alignment vertical="center"/>
    </xf>
    <xf numFmtId="0" fontId="2" fillId="0" borderId="0" xfId="0" applyFont="1" applyAlignment="1">
      <alignment horizontal="left"/>
    </xf>
    <xf numFmtId="0" fontId="2" fillId="0" borderId="0" xfId="0" applyFont="1" applyAlignment="1">
      <alignment vertical="top"/>
    </xf>
    <xf numFmtId="0" fontId="1" fillId="0" borderId="0" xfId="0" applyFont="1" applyAlignment="1">
      <alignment horizontal="center" vertical="top"/>
    </xf>
    <xf numFmtId="0" fontId="5" fillId="0" borderId="0" xfId="0" applyFont="1" applyAlignment="1">
      <alignment horizontal="justify" vertical="top" wrapText="1"/>
    </xf>
    <xf numFmtId="0" fontId="1" fillId="0" borderId="0" xfId="0" applyFont="1" applyAlignment="1">
      <alignment horizontal="center" wrapText="1"/>
    </xf>
    <xf numFmtId="44" fontId="1" fillId="0" borderId="0" xfId="1" applyFont="1" applyAlignment="1">
      <alignment horizontal="center" wrapText="1"/>
    </xf>
    <xf numFmtId="44" fontId="1" fillId="0" borderId="0" xfId="1" applyFont="1" applyAlignment="1">
      <alignment horizontal="right" wrapText="1"/>
    </xf>
    <xf numFmtId="0" fontId="5" fillId="0" borderId="0" xfId="0" applyFont="1" applyAlignment="1">
      <alignment horizontal="left" vertical="top" wrapText="1"/>
    </xf>
    <xf numFmtId="0" fontId="1" fillId="0" borderId="0" xfId="0" applyFont="1" applyAlignment="1">
      <alignment horizontal="right" vertical="center"/>
    </xf>
    <xf numFmtId="0" fontId="2" fillId="0" borderId="0" xfId="0" applyFont="1" applyAlignment="1">
      <alignment horizontal="left" vertical="center"/>
    </xf>
    <xf numFmtId="0" fontId="2" fillId="0" borderId="0" xfId="0" applyFont="1" applyAlignment="1">
      <alignment horizontal="right" vertical="center"/>
    </xf>
    <xf numFmtId="0" fontId="1" fillId="0" borderId="0" xfId="0" applyFont="1" applyAlignment="1">
      <alignment horizontal="justify" vertical="justify" wrapText="1"/>
    </xf>
    <xf numFmtId="0" fontId="8" fillId="0" borderId="0" xfId="0" applyFont="1" applyAlignment="1">
      <alignment horizontal="center" wrapText="1"/>
    </xf>
    <xf numFmtId="0" fontId="7" fillId="0" borderId="0" xfId="0" applyFont="1" applyAlignment="1">
      <alignment horizontal="center" wrapText="1"/>
    </xf>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center"/>
    </xf>
    <xf numFmtId="0" fontId="2" fillId="0" borderId="0" xfId="0" applyFont="1" applyAlignment="1">
      <alignment horizontal="center" vertical="top"/>
    </xf>
    <xf numFmtId="0" fontId="11" fillId="0" borderId="0" xfId="0" applyFont="1" applyAlignment="1">
      <alignment horizontal="left" vertical="center"/>
    </xf>
    <xf numFmtId="0" fontId="11" fillId="0" borderId="0" xfId="0" applyFont="1" applyAlignment="1">
      <alignment horizontal="left" vertical="center" wrapText="1"/>
    </xf>
    <xf numFmtId="0" fontId="10" fillId="0" borderId="0" xfId="0" applyFont="1" applyAlignment="1">
      <alignment horizontal="justify" vertical="top"/>
    </xf>
    <xf numFmtId="0" fontId="11" fillId="0" borderId="0" xfId="0" applyFont="1" applyAlignment="1">
      <alignment horizontal="right" vertical="center"/>
    </xf>
    <xf numFmtId="0" fontId="10" fillId="0" borderId="0" xfId="0" applyFont="1" applyAlignment="1">
      <alignment horizontal="right" vertical="center"/>
    </xf>
    <xf numFmtId="0" fontId="10" fillId="0" borderId="0" xfId="0" applyFont="1" applyAlignment="1">
      <alignment horizontal="left" vertical="center"/>
    </xf>
    <xf numFmtId="0" fontId="10" fillId="0" borderId="0" xfId="0" applyFont="1" applyAlignment="1">
      <alignment horizontal="left"/>
    </xf>
    <xf numFmtId="0" fontId="10" fillId="0" borderId="0" xfId="0" applyFont="1" applyAlignment="1">
      <alignment horizontal="justify" vertical="center" wrapText="1"/>
    </xf>
    <xf numFmtId="0" fontId="11" fillId="0" borderId="0" xfId="0" applyFont="1" applyAlignment="1">
      <alignment horizontal="center" vertical="center"/>
    </xf>
    <xf numFmtId="0" fontId="10" fillId="0" borderId="0" xfId="0" applyFont="1" applyAlignment="1">
      <alignment horizontal="justify" vertical="top" wrapText="1"/>
    </xf>
    <xf numFmtId="0" fontId="10" fillId="0" borderId="0" xfId="0" applyFont="1" applyAlignment="1">
      <alignment horizontal="left" vertical="center" wrapText="1"/>
    </xf>
  </cellXfs>
  <cellStyles count="62">
    <cellStyle name="Moneda" xfId="1" builtinId="4"/>
    <cellStyle name="Moneda 10" xfId="27" xr:uid="{002213BB-C187-42DE-B89C-A22717742341}"/>
    <cellStyle name="Moneda 11" xfId="43" xr:uid="{3913A73A-95F5-43EE-B20D-EE53CB09819D}"/>
    <cellStyle name="Moneda 12" xfId="26" xr:uid="{A6CD6D53-4AB0-4973-B4E6-DCB6F442B789}"/>
    <cellStyle name="Moneda 13" xfId="45" xr:uid="{C473325D-A6D9-4671-B94E-E2DF9B7A7D8B}"/>
    <cellStyle name="Moneda 14" xfId="2" xr:uid="{69E00626-3D6A-4311-B96B-F41DE974E84C}"/>
    <cellStyle name="Moneda 2" xfId="4" xr:uid="{4DB4892A-CCD6-49D3-B756-F4389C48A279}"/>
    <cellStyle name="Moneda 2 2" xfId="7" xr:uid="{858ECC9C-92AA-4184-9144-37B2DA428875}"/>
    <cellStyle name="Moneda 2 2 2" xfId="13" xr:uid="{177B636A-03D6-40FB-ACFD-1C022E424FF6}"/>
    <cellStyle name="Moneda 2 2 2 2" xfId="25" xr:uid="{286B04E1-1281-45BC-BFC8-02E52CF27EF9}"/>
    <cellStyle name="Moneda 2 2 3" xfId="19" xr:uid="{A5957B4B-D300-4A40-A89F-E21A17F288E0}"/>
    <cellStyle name="Moneda 2 2 3 2" xfId="61" xr:uid="{DA44F733-7392-485E-9636-22E6F59F63FB}"/>
    <cellStyle name="Moneda 2 2 4" xfId="42" xr:uid="{2116D24F-D902-4948-B43A-95909D14F64D}"/>
    <cellStyle name="Moneda 2 2 5" xfId="32" xr:uid="{2C2EB10C-AA2C-4059-8E87-B8E10E97DF2B}"/>
    <cellStyle name="Moneda 2 2 6" xfId="50" xr:uid="{DCDC4C76-D055-4881-8803-C3878041A274}"/>
    <cellStyle name="Moneda 2 3" xfId="10" xr:uid="{14D89C31-DF14-4378-8321-25E9A4249CC2}"/>
    <cellStyle name="Moneda 2 3 2" xfId="22" xr:uid="{5B03DF59-0FDE-43A2-AAFE-65CD536E8AD4}"/>
    <cellStyle name="Moneda 2 4" xfId="16" xr:uid="{D03488D5-763E-4740-8485-81353B5A40F8}"/>
    <cellStyle name="Moneda 2 4 2" xfId="55" xr:uid="{F1F81A94-62BE-4EA9-A1FF-CC917919093E}"/>
    <cellStyle name="Moneda 2 5" xfId="35" xr:uid="{E08F1CBA-4A4C-4518-A23C-9E2C9AE20857}"/>
    <cellStyle name="Moneda 2 5 2" xfId="58" xr:uid="{08A014AD-C830-470C-99B9-23AE3EE082F9}"/>
    <cellStyle name="Moneda 2 6" xfId="38" xr:uid="{4D853AEC-0B9B-463A-93C4-DFD54F2EB489}"/>
    <cellStyle name="Moneda 2 7" xfId="29" xr:uid="{206E09A4-6974-4E8F-95BE-EA62F79AC6C6}"/>
    <cellStyle name="Moneda 2 8" xfId="44" xr:uid="{94619DCD-325A-440C-AB6F-F4B9B551E4E0}"/>
    <cellStyle name="Moneda 2 9" xfId="47" xr:uid="{971A0A6A-BA01-4633-A961-31CE1EF5F0FC}"/>
    <cellStyle name="Moneda 3" xfId="3" xr:uid="{49731B17-FE7A-4ED6-81D0-4739746E9F79}"/>
    <cellStyle name="Moneda 3 2" xfId="6" xr:uid="{B4E26EEF-90CD-439C-9915-BF525DC838E2}"/>
    <cellStyle name="Moneda 3 2 2" xfId="12" xr:uid="{7C87A0DB-543A-4C37-992E-44A0D5150B52}"/>
    <cellStyle name="Moneda 3 2 2 2" xfId="24" xr:uid="{DCA08BD6-712F-44BC-8D2D-FB2D22606A6A}"/>
    <cellStyle name="Moneda 3 2 3" xfId="18" xr:uid="{B5CD4A7E-67EC-4E3A-A3B9-E1EE5D3ABAD4}"/>
    <cellStyle name="Moneda 3 2 3 2" xfId="60" xr:uid="{116F1355-6D5A-4950-B289-F7CDBC7C5AB9}"/>
    <cellStyle name="Moneda 3 2 4" xfId="41" xr:uid="{C7DF7B82-41B3-4C6E-A800-9EC3498C4C38}"/>
    <cellStyle name="Moneda 3 2 5" xfId="31" xr:uid="{6F9F2ED2-7809-4476-889C-CA1C454C34EB}"/>
    <cellStyle name="Moneda 3 2 6" xfId="49" xr:uid="{63F709CF-AB1E-4332-BB2D-DE9F5E0EEB75}"/>
    <cellStyle name="Moneda 3 3" xfId="9" xr:uid="{37FB53C6-4915-43DA-B55C-B49AF650CCFB}"/>
    <cellStyle name="Moneda 3 3 2" xfId="21" xr:uid="{6087854B-AA4F-4E1C-B252-8F3340A5EEE7}"/>
    <cellStyle name="Moneda 3 4" xfId="15" xr:uid="{FCB89124-E1AA-4690-8360-D0748013D3D0}"/>
    <cellStyle name="Moneda 3 4 2" xfId="57" xr:uid="{8062F2D8-6C6F-4093-839C-9581D6787D3D}"/>
    <cellStyle name="Moneda 3 5" xfId="37" xr:uid="{D55F0B69-3675-4F5F-96C8-A614CDC4246E}"/>
    <cellStyle name="Moneda 3 6" xfId="28" xr:uid="{EA562444-D370-4A58-B6FB-7E0ED6774478}"/>
    <cellStyle name="Moneda 3 7" xfId="46" xr:uid="{638B35AF-31AC-4D95-9B3A-7FF771FEA6CE}"/>
    <cellStyle name="Moneda 4" xfId="5" xr:uid="{11DEF21C-8CE7-4F92-80B9-805EC8C8C882}"/>
    <cellStyle name="Moneda 4 2" xfId="11" xr:uid="{91E371ED-607E-4792-9760-BF5BDC7CDF88}"/>
    <cellStyle name="Moneda 4 2 2" xfId="23" xr:uid="{9A524170-476F-46DC-B332-27B109A2F51F}"/>
    <cellStyle name="Moneda 4 3" xfId="17" xr:uid="{5266234D-DDB4-4E29-9FB8-F68B08AB66A4}"/>
    <cellStyle name="Moneda 4 3 2" xfId="59" xr:uid="{E184CB0D-2957-4BD2-B59A-8A21357A28E4}"/>
    <cellStyle name="Moneda 4 4" xfId="39" xr:uid="{6A7531AB-5392-49EC-B45B-A9E0B3F564DB}"/>
    <cellStyle name="Moneda 4 5" xfId="30" xr:uid="{66F4F708-0C9D-4732-8132-0F30B307E0EC}"/>
    <cellStyle name="Moneda 4 6" xfId="48" xr:uid="{8DFDE3BA-09FA-405B-8C5E-56EF7762A87F}"/>
    <cellStyle name="Moneda 5" xfId="8" xr:uid="{618DB64A-627C-4059-BFEC-59630AD29471}"/>
    <cellStyle name="Moneda 5 2" xfId="20" xr:uid="{F0AAD377-971E-4BB7-957A-027753D6603D}"/>
    <cellStyle name="Moneda 5 2 2" xfId="53" xr:uid="{A0F8962A-49DE-490E-B032-A7DEF9E2D0D3}"/>
    <cellStyle name="Moneda 5 3" xfId="40" xr:uid="{6119BC42-F5CC-4621-8A3B-6D18A030AE41}"/>
    <cellStyle name="Moneda 5 4" xfId="51" xr:uid="{FA0847A7-E738-4800-A5C8-9659E74C5397}"/>
    <cellStyle name="Moneda 6" xfId="14" xr:uid="{19A579AA-6DBF-47A5-A153-E87EBF3C6727}"/>
    <cellStyle name="Moneda 6 2" xfId="52" xr:uid="{C6551B43-3BCE-4A47-85D5-C908D954C0DE}"/>
    <cellStyle name="Moneda 7" xfId="33" xr:uid="{CD931B6F-A285-41AC-BD4E-3701CAFBFB97}"/>
    <cellStyle name="Moneda 7 2" xfId="54" xr:uid="{B6213BAA-3F72-4BEA-A728-D56C4AAF2DF6}"/>
    <cellStyle name="Moneda 8" xfId="34" xr:uid="{982D7B99-2E9D-4068-980F-9A7A81EF6F41}"/>
    <cellStyle name="Moneda 8 2" xfId="56" xr:uid="{832D20FD-24B9-457C-A158-BB5F2C471A7E}"/>
    <cellStyle name="Moneda 9" xfId="36" xr:uid="{ED78745B-46A1-4EE8-AD59-3FFEB9F11B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310406</xdr:colOff>
      <xdr:row>1</xdr:row>
      <xdr:rowOff>9525</xdr:rowOff>
    </xdr:from>
    <xdr:to>
      <xdr:col>5</xdr:col>
      <xdr:colOff>819150</xdr:colOff>
      <xdr:row>4</xdr:row>
      <xdr:rowOff>187325</xdr:rowOff>
    </xdr:to>
    <xdr:pic>
      <xdr:nvPicPr>
        <xdr:cNvPr id="4" name="Imagen 3">
          <a:extLst>
            <a:ext uri="{FF2B5EF4-FFF2-40B4-BE49-F238E27FC236}">
              <a16:creationId xmlns:a16="http://schemas.microsoft.com/office/drawing/2014/main" id="{2E4755E3-2F6F-0BEA-8724-106ACBE897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30056" y="200025"/>
          <a:ext cx="2242294" cy="74930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6"/>
  <sheetViews>
    <sheetView topLeftCell="A7" zoomScale="80" zoomScaleNormal="80" workbookViewId="0">
      <selection activeCell="F9" sqref="F9"/>
    </sheetView>
  </sheetViews>
  <sheetFormatPr baseColWidth="10" defaultRowHeight="15" x14ac:dyDescent="0.25"/>
  <cols>
    <col min="1" max="1" width="46.7109375" customWidth="1"/>
    <col min="2" max="2" width="12.42578125" customWidth="1"/>
    <col min="4" max="4" width="11.5703125" customWidth="1"/>
    <col min="5" max="5" width="15.42578125" customWidth="1"/>
    <col min="7" max="7" width="12.28515625" bestFit="1" customWidth="1"/>
  </cols>
  <sheetData>
    <row r="1" spans="1:8" x14ac:dyDescent="0.25">
      <c r="A1" s="22"/>
      <c r="B1" s="22"/>
      <c r="C1" s="22"/>
      <c r="D1" s="22"/>
      <c r="E1" s="22"/>
    </row>
    <row r="2" spans="1:8" x14ac:dyDescent="0.25">
      <c r="A2" s="70" t="s">
        <v>38</v>
      </c>
      <c r="B2" s="70"/>
      <c r="C2" s="70"/>
      <c r="D2" s="70"/>
      <c r="E2" s="70"/>
      <c r="F2" s="7"/>
    </row>
    <row r="3" spans="1:8" x14ac:dyDescent="0.25">
      <c r="A3" s="30" t="s">
        <v>43</v>
      </c>
      <c r="B3" s="30"/>
      <c r="C3" s="22"/>
      <c r="D3" s="22"/>
      <c r="E3" s="22"/>
    </row>
    <row r="4" spans="1:8" x14ac:dyDescent="0.25">
      <c r="A4" s="30" t="s">
        <v>0</v>
      </c>
      <c r="B4" s="30"/>
      <c r="C4" s="22"/>
      <c r="D4" s="22"/>
      <c r="E4" s="22"/>
    </row>
    <row r="5" spans="1:8" x14ac:dyDescent="0.25">
      <c r="A5" s="30" t="s">
        <v>1</v>
      </c>
      <c r="B5" s="30"/>
      <c r="C5" s="22"/>
      <c r="D5" s="22"/>
      <c r="E5" s="22"/>
    </row>
    <row r="6" spans="1:8" x14ac:dyDescent="0.25">
      <c r="A6" s="69" t="s">
        <v>41</v>
      </c>
      <c r="B6" s="69"/>
      <c r="C6" s="69"/>
      <c r="D6" s="69"/>
      <c r="E6" s="69"/>
      <c r="F6" s="1"/>
      <c r="G6" s="1"/>
      <c r="H6" s="1"/>
    </row>
    <row r="7" spans="1:8" x14ac:dyDescent="0.25">
      <c r="A7" s="31"/>
      <c r="B7" s="31"/>
      <c r="C7" s="22"/>
      <c r="D7" s="22"/>
      <c r="E7" s="22"/>
    </row>
    <row r="8" spans="1:8" x14ac:dyDescent="0.25">
      <c r="A8" s="31"/>
      <c r="B8" s="31"/>
      <c r="C8" s="22"/>
      <c r="D8" s="22"/>
      <c r="E8" s="22"/>
    </row>
    <row r="9" spans="1:8" x14ac:dyDescent="0.25">
      <c r="A9" s="66" t="s">
        <v>32</v>
      </c>
      <c r="B9" s="66"/>
      <c r="C9" s="66"/>
      <c r="D9" s="66"/>
      <c r="E9" s="66"/>
    </row>
    <row r="10" spans="1:8" x14ac:dyDescent="0.25">
      <c r="A10" s="32" t="s">
        <v>45</v>
      </c>
      <c r="B10" s="32"/>
      <c r="C10" s="23"/>
      <c r="D10" s="23"/>
      <c r="E10" s="23"/>
    </row>
    <row r="11" spans="1:8" x14ac:dyDescent="0.25">
      <c r="A11" s="33" t="s">
        <v>2</v>
      </c>
      <c r="B11" s="33"/>
      <c r="C11" s="23"/>
      <c r="D11" s="23"/>
      <c r="E11" s="23"/>
    </row>
    <row r="12" spans="1:8" ht="30" customHeight="1" x14ac:dyDescent="0.25">
      <c r="A12" s="68" t="s">
        <v>34</v>
      </c>
      <c r="B12" s="68"/>
      <c r="C12" s="68"/>
      <c r="D12" s="68"/>
      <c r="E12" s="68"/>
      <c r="F12" s="3"/>
      <c r="G12" s="3"/>
      <c r="H12" s="3"/>
    </row>
    <row r="13" spans="1:8" ht="21.75" customHeight="1" x14ac:dyDescent="0.25">
      <c r="A13" s="32" t="s">
        <v>21</v>
      </c>
      <c r="B13" s="32" t="s">
        <v>29</v>
      </c>
      <c r="C13" s="32" t="s">
        <v>19</v>
      </c>
      <c r="D13" s="32" t="s">
        <v>35</v>
      </c>
      <c r="E13" s="32" t="s">
        <v>20</v>
      </c>
      <c r="F13" s="2"/>
      <c r="G13" s="2"/>
      <c r="H13" s="2"/>
    </row>
    <row r="14" spans="1:8" ht="204" customHeight="1" x14ac:dyDescent="0.25">
      <c r="A14" s="34" t="s">
        <v>36</v>
      </c>
      <c r="B14" s="24" t="s">
        <v>22</v>
      </c>
      <c r="C14" s="35">
        <v>300</v>
      </c>
      <c r="D14" s="36">
        <v>204.98</v>
      </c>
      <c r="E14" s="36">
        <f>C14*D14</f>
        <v>61494</v>
      </c>
      <c r="F14" s="5"/>
    </row>
    <row r="15" spans="1:8" x14ac:dyDescent="0.25">
      <c r="A15" s="37"/>
      <c r="B15" s="37"/>
      <c r="C15" s="38" t="s">
        <v>31</v>
      </c>
      <c r="D15" s="36"/>
      <c r="E15" s="36"/>
      <c r="F15" s="10"/>
    </row>
    <row r="16" spans="1:8" x14ac:dyDescent="0.25">
      <c r="A16" s="37"/>
      <c r="B16" s="37"/>
      <c r="C16" s="23"/>
      <c r="D16" s="37" t="s">
        <v>3</v>
      </c>
      <c r="E16" s="39">
        <f>SUM(E14:E15)</f>
        <v>61494</v>
      </c>
      <c r="F16" s="5"/>
      <c r="G16" s="11"/>
    </row>
    <row r="17" spans="1:7" x14ac:dyDescent="0.25">
      <c r="A17" s="37"/>
      <c r="B17" s="37"/>
      <c r="C17" s="37"/>
      <c r="D17" s="37" t="s">
        <v>4</v>
      </c>
      <c r="E17" s="39">
        <f>E16*16%</f>
        <v>9839.0400000000009</v>
      </c>
      <c r="F17" s="11"/>
      <c r="G17" s="11"/>
    </row>
    <row r="18" spans="1:7" ht="12" customHeight="1" x14ac:dyDescent="0.25">
      <c r="A18" s="37"/>
      <c r="B18" s="37"/>
      <c r="C18" s="29"/>
      <c r="D18" s="37" t="s">
        <v>5</v>
      </c>
      <c r="E18" s="39">
        <f>SUM(E16:E17)</f>
        <v>71333.040000000008</v>
      </c>
      <c r="F18" s="5"/>
      <c r="G18" s="11"/>
    </row>
    <row r="19" spans="1:7" ht="12" customHeight="1" x14ac:dyDescent="0.25">
      <c r="A19" s="37"/>
      <c r="B19" s="37"/>
      <c r="C19" s="29"/>
      <c r="D19" s="37"/>
      <c r="E19" s="39"/>
      <c r="F19" s="5"/>
      <c r="G19" s="11"/>
    </row>
    <row r="20" spans="1:7" ht="12" customHeight="1" x14ac:dyDescent="0.25">
      <c r="A20" s="37"/>
      <c r="B20" s="37"/>
      <c r="C20" s="29"/>
      <c r="D20" s="37"/>
      <c r="E20" s="39"/>
      <c r="F20" s="5"/>
      <c r="G20" s="11"/>
    </row>
    <row r="21" spans="1:7" x14ac:dyDescent="0.25">
      <c r="A21" s="66" t="s">
        <v>32</v>
      </c>
      <c r="B21" s="66"/>
      <c r="C21" s="66"/>
      <c r="D21" s="66"/>
      <c r="E21" s="66"/>
      <c r="F21" s="5"/>
    </row>
    <row r="22" spans="1:7" x14ac:dyDescent="0.25">
      <c r="A22" s="71" t="s">
        <v>42</v>
      </c>
      <c r="B22" s="71"/>
      <c r="C22" s="71"/>
      <c r="D22" s="71"/>
      <c r="E22" s="71"/>
    </row>
    <row r="23" spans="1:7" ht="27" customHeight="1" x14ac:dyDescent="0.25">
      <c r="A23" s="67" t="s">
        <v>39</v>
      </c>
      <c r="B23" s="67"/>
      <c r="C23" s="67"/>
      <c r="D23" s="67"/>
      <c r="E23" s="67"/>
    </row>
    <row r="24" spans="1:7" x14ac:dyDescent="0.25">
      <c r="A24" s="74" t="s">
        <v>6</v>
      </c>
      <c r="B24" s="74"/>
      <c r="C24" s="74"/>
      <c r="D24" s="74"/>
      <c r="E24" s="74"/>
    </row>
    <row r="25" spans="1:7" ht="57.75" customHeight="1" x14ac:dyDescent="0.25">
      <c r="A25" s="73" t="s">
        <v>37</v>
      </c>
      <c r="B25" s="73"/>
      <c r="C25" s="73"/>
      <c r="D25" s="73"/>
      <c r="E25" s="73"/>
      <c r="F25" s="5"/>
    </row>
    <row r="26" spans="1:7" x14ac:dyDescent="0.25">
      <c r="A26" s="74" t="s">
        <v>7</v>
      </c>
      <c r="B26" s="74"/>
      <c r="C26" s="74"/>
      <c r="D26" s="74"/>
      <c r="E26" s="74"/>
    </row>
    <row r="27" spans="1:7" ht="33.75" customHeight="1" x14ac:dyDescent="0.25">
      <c r="A27" s="73" t="s">
        <v>8</v>
      </c>
      <c r="B27" s="73"/>
      <c r="C27" s="73"/>
      <c r="D27" s="73"/>
      <c r="E27" s="73"/>
    </row>
    <row r="28" spans="1:7" ht="43.5" customHeight="1" x14ac:dyDescent="0.25">
      <c r="A28" s="75" t="s">
        <v>9</v>
      </c>
      <c r="B28" s="75"/>
      <c r="C28" s="75"/>
      <c r="D28" s="75"/>
      <c r="E28" s="75"/>
    </row>
    <row r="29" spans="1:7" ht="49.5" customHeight="1" x14ac:dyDescent="0.25">
      <c r="A29" s="75" t="s">
        <v>10</v>
      </c>
      <c r="B29" s="75"/>
      <c r="C29" s="75"/>
      <c r="D29" s="75"/>
      <c r="E29" s="75"/>
    </row>
    <row r="30" spans="1:7" ht="21" customHeight="1" x14ac:dyDescent="0.25">
      <c r="A30" s="75" t="s">
        <v>11</v>
      </c>
      <c r="B30" s="75"/>
      <c r="C30" s="75"/>
      <c r="D30" s="75"/>
      <c r="E30" s="75"/>
    </row>
    <row r="31" spans="1:7" ht="77.25" customHeight="1" x14ac:dyDescent="0.25">
      <c r="A31" s="73" t="s">
        <v>12</v>
      </c>
      <c r="B31" s="73"/>
      <c r="C31" s="73"/>
      <c r="D31" s="73"/>
      <c r="E31" s="73"/>
    </row>
    <row r="32" spans="1:7" ht="19.5" customHeight="1" x14ac:dyDescent="0.25">
      <c r="A32" s="73" t="s">
        <v>13</v>
      </c>
      <c r="B32" s="73"/>
      <c r="C32" s="73"/>
      <c r="D32" s="73"/>
      <c r="E32" s="73"/>
    </row>
    <row r="33" spans="1:5" ht="49.5" customHeight="1" x14ac:dyDescent="0.25">
      <c r="A33" s="73" t="s">
        <v>14</v>
      </c>
      <c r="B33" s="73"/>
      <c r="C33" s="73"/>
      <c r="D33" s="73"/>
      <c r="E33" s="73"/>
    </row>
    <row r="34" spans="1:5" ht="24" customHeight="1" x14ac:dyDescent="0.25">
      <c r="A34" s="76" t="s">
        <v>15</v>
      </c>
      <c r="B34" s="76"/>
      <c r="C34" s="76"/>
      <c r="D34" s="76"/>
      <c r="E34" s="76"/>
    </row>
    <row r="35" spans="1:5" ht="67.5" customHeight="1" x14ac:dyDescent="0.25">
      <c r="A35" s="75" t="s">
        <v>16</v>
      </c>
      <c r="B35" s="75"/>
      <c r="C35" s="75"/>
      <c r="D35" s="75"/>
      <c r="E35" s="75"/>
    </row>
    <row r="36" spans="1:5" ht="15" customHeight="1" x14ac:dyDescent="0.25">
      <c r="A36" s="73" t="s">
        <v>17</v>
      </c>
      <c r="B36" s="73"/>
      <c r="C36" s="73"/>
      <c r="D36" s="73"/>
      <c r="E36" s="73"/>
    </row>
    <row r="37" spans="1:5" x14ac:dyDescent="0.25">
      <c r="A37" s="33" t="s">
        <v>18</v>
      </c>
      <c r="B37" s="33"/>
      <c r="C37" s="23"/>
      <c r="D37" s="23"/>
      <c r="E37" s="23"/>
    </row>
    <row r="38" spans="1:5" x14ac:dyDescent="0.25">
      <c r="A38" s="40" t="s">
        <v>23</v>
      </c>
      <c r="B38" s="40"/>
      <c r="C38" s="72" t="s">
        <v>30</v>
      </c>
      <c r="D38" s="72"/>
      <c r="E38" s="72"/>
    </row>
    <row r="39" spans="1:5" x14ac:dyDescent="0.25">
      <c r="A39" s="33"/>
      <c r="B39" s="33"/>
      <c r="C39" s="23"/>
      <c r="D39" s="23"/>
      <c r="E39" s="23"/>
    </row>
    <row r="40" spans="1:5" x14ac:dyDescent="0.25">
      <c r="A40" s="33"/>
      <c r="B40" s="33"/>
      <c r="C40" s="23"/>
      <c r="D40" s="23"/>
      <c r="E40" s="23"/>
    </row>
    <row r="41" spans="1:5" x14ac:dyDescent="0.25">
      <c r="A41" s="41" t="s">
        <v>40</v>
      </c>
      <c r="B41" s="41"/>
      <c r="C41" s="23"/>
      <c r="D41" s="23"/>
      <c r="E41" s="23"/>
    </row>
    <row r="42" spans="1:5" x14ac:dyDescent="0.25">
      <c r="A42" s="42" t="s">
        <v>44</v>
      </c>
      <c r="B42" s="43"/>
      <c r="C42" s="22" t="s">
        <v>33</v>
      </c>
      <c r="D42" s="22"/>
      <c r="E42" s="22"/>
    </row>
    <row r="43" spans="1:5" x14ac:dyDescent="0.25">
      <c r="A43" s="25"/>
      <c r="B43" s="26"/>
      <c r="C43" s="22"/>
      <c r="D43" s="22"/>
      <c r="E43" s="22"/>
    </row>
    <row r="44" spans="1:5" x14ac:dyDescent="0.25">
      <c r="A44" s="26"/>
      <c r="B44" s="26"/>
      <c r="C44" s="23"/>
      <c r="D44" s="23"/>
      <c r="E44" s="23"/>
    </row>
    <row r="45" spans="1:5" x14ac:dyDescent="0.25">
      <c r="A45" s="27"/>
      <c r="B45" s="27"/>
      <c r="C45" s="23"/>
      <c r="D45" s="23"/>
      <c r="E45" s="23"/>
    </row>
    <row r="46" spans="1:5" x14ac:dyDescent="0.25">
      <c r="A46" s="6"/>
      <c r="B46" s="6"/>
      <c r="C46" s="23"/>
      <c r="D46" s="23"/>
      <c r="E46" s="23"/>
    </row>
  </sheetData>
  <mergeCells count="21">
    <mergeCell ref="C38:E38"/>
    <mergeCell ref="A36:E36"/>
    <mergeCell ref="A24:E24"/>
    <mergeCell ref="A25:E25"/>
    <mergeCell ref="A27:E27"/>
    <mergeCell ref="A28:E28"/>
    <mergeCell ref="A31:E31"/>
    <mergeCell ref="A32:E32"/>
    <mergeCell ref="A33:E33"/>
    <mergeCell ref="A35:E35"/>
    <mergeCell ref="A29:E29"/>
    <mergeCell ref="A30:E30"/>
    <mergeCell ref="A26:E26"/>
    <mergeCell ref="A34:E34"/>
    <mergeCell ref="A21:E21"/>
    <mergeCell ref="A23:E23"/>
    <mergeCell ref="A12:E12"/>
    <mergeCell ref="A6:E6"/>
    <mergeCell ref="A2:E2"/>
    <mergeCell ref="A9:E9"/>
    <mergeCell ref="A22:E22"/>
  </mergeCells>
  <pageMargins left="0.23622047244094491" right="0.23622047244094491" top="0.74803149606299213" bottom="0.74803149606299213" header="0.31496062992125984" footer="0.31496062992125984"/>
  <pageSetup paperSize="9" orientation="portrait" r:id="rId1"/>
  <headerFooter>
    <oddHeader>&amp;R&amp;G</oddHeader>
    <oddFooter>&amp;C&amp;G</oddFooter>
  </headerFooter>
  <rowBreaks count="1" manualBreakCount="1">
    <brk id="20" max="16383" man="1"/>
  </rowBreaks>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O60"/>
  <sheetViews>
    <sheetView tabSelected="1" topLeftCell="A15" zoomScaleNormal="100" zoomScalePageLayoutView="50" workbookViewId="0">
      <selection activeCell="D24" sqref="D24"/>
    </sheetView>
  </sheetViews>
  <sheetFormatPr baseColWidth="10" defaultRowHeight="15" x14ac:dyDescent="0.25"/>
  <cols>
    <col min="1" max="1" width="5.85546875" style="14" customWidth="1"/>
    <col min="2" max="2" width="52.140625" customWidth="1"/>
    <col min="3" max="3" width="14.28515625" customWidth="1"/>
    <col min="4" max="4" width="11.42578125" customWidth="1"/>
    <col min="5" max="5" width="14.5703125" customWidth="1"/>
    <col min="6" max="6" width="12.42578125" customWidth="1"/>
  </cols>
  <sheetData>
    <row r="4" spans="2:6" x14ac:dyDescent="0.25">
      <c r="B4" s="19"/>
      <c r="C4" s="19"/>
      <c r="D4" s="19"/>
      <c r="E4" s="19"/>
      <c r="F4" s="19"/>
    </row>
    <row r="5" spans="2:6" x14ac:dyDescent="0.25">
      <c r="B5" s="19"/>
      <c r="C5" s="19"/>
      <c r="D5" s="19"/>
      <c r="E5" s="19"/>
      <c r="F5" s="19"/>
    </row>
    <row r="6" spans="2:6" x14ac:dyDescent="0.25">
      <c r="B6" s="19"/>
      <c r="C6" s="19"/>
      <c r="D6" s="19"/>
      <c r="E6" s="19"/>
      <c r="F6" s="19"/>
    </row>
    <row r="7" spans="2:6" x14ac:dyDescent="0.25">
      <c r="B7" s="19"/>
      <c r="C7" s="19"/>
      <c r="D7" s="19"/>
      <c r="E7" s="19"/>
      <c r="F7" s="19"/>
    </row>
    <row r="8" spans="2:6" x14ac:dyDescent="0.25">
      <c r="B8" s="19"/>
      <c r="C8" s="19"/>
      <c r="D8" s="19"/>
      <c r="E8" s="19"/>
      <c r="F8" s="19"/>
    </row>
    <row r="9" spans="2:6" x14ac:dyDescent="0.25">
      <c r="B9" s="19"/>
      <c r="C9" s="19"/>
      <c r="D9" s="19"/>
      <c r="E9" s="19"/>
      <c r="F9" s="19"/>
    </row>
    <row r="10" spans="2:6" x14ac:dyDescent="0.25">
      <c r="B10" s="56" t="s">
        <v>59</v>
      </c>
      <c r="C10" s="56"/>
      <c r="D10" s="56"/>
      <c r="E10" s="56"/>
      <c r="F10" s="56"/>
    </row>
    <row r="11" spans="2:6" x14ac:dyDescent="0.25">
      <c r="B11" s="45"/>
      <c r="C11" s="45"/>
      <c r="D11" s="45"/>
      <c r="E11" s="45"/>
      <c r="F11" s="45"/>
    </row>
    <row r="12" spans="2:6" x14ac:dyDescent="0.25">
      <c r="B12" s="1" t="s">
        <v>53</v>
      </c>
      <c r="C12" s="1"/>
      <c r="D12" s="19"/>
      <c r="E12" s="19"/>
      <c r="F12" s="19"/>
    </row>
    <row r="13" spans="2:6" x14ac:dyDescent="0.25">
      <c r="B13" s="1" t="s">
        <v>0</v>
      </c>
      <c r="C13" s="1"/>
      <c r="D13" s="19"/>
      <c r="E13" s="19"/>
      <c r="F13" s="19"/>
    </row>
    <row r="14" spans="2:6" x14ac:dyDescent="0.25">
      <c r="B14" s="58" t="s">
        <v>54</v>
      </c>
      <c r="C14" s="58"/>
      <c r="D14" s="58"/>
      <c r="E14" s="58"/>
      <c r="F14" s="58"/>
    </row>
    <row r="15" spans="2:6" x14ac:dyDescent="0.25">
      <c r="B15" s="16"/>
      <c r="C15" s="16"/>
      <c r="D15" s="16"/>
      <c r="E15" s="16"/>
      <c r="F15" s="16"/>
    </row>
    <row r="16" spans="2:6" x14ac:dyDescent="0.25">
      <c r="B16" s="16"/>
      <c r="C16" s="16"/>
      <c r="D16" s="16"/>
      <c r="E16" s="16"/>
      <c r="F16" s="16"/>
    </row>
    <row r="17" spans="2:10" x14ac:dyDescent="0.25">
      <c r="B17" s="57" t="s">
        <v>55</v>
      </c>
      <c r="C17" s="57"/>
      <c r="D17" s="57"/>
      <c r="E17" s="57"/>
      <c r="F17" s="57"/>
    </row>
    <row r="18" spans="2:10" x14ac:dyDescent="0.25">
      <c r="B18" s="8" t="s">
        <v>60</v>
      </c>
      <c r="C18" s="8"/>
      <c r="D18" s="20"/>
      <c r="E18" s="20"/>
      <c r="F18" s="20"/>
    </row>
    <row r="19" spans="2:10" ht="12.75" customHeight="1" x14ac:dyDescent="0.25">
      <c r="B19" s="9" t="s">
        <v>2</v>
      </c>
      <c r="C19" s="9"/>
      <c r="D19" s="20"/>
      <c r="E19" s="20"/>
      <c r="F19" s="20"/>
    </row>
    <row r="20" spans="2:10" ht="17.25" customHeight="1" x14ac:dyDescent="0.25">
      <c r="B20" s="59" t="s">
        <v>56</v>
      </c>
      <c r="C20" s="59"/>
      <c r="D20" s="59"/>
      <c r="E20" s="59"/>
      <c r="F20" s="59"/>
    </row>
    <row r="21" spans="2:10" ht="17.25" customHeight="1" x14ac:dyDescent="0.25">
      <c r="B21" s="8" t="s">
        <v>21</v>
      </c>
      <c r="C21" s="8"/>
      <c r="D21" s="17" t="s">
        <v>19</v>
      </c>
      <c r="E21" s="17" t="s">
        <v>25</v>
      </c>
      <c r="F21" s="16" t="s">
        <v>20</v>
      </c>
    </row>
    <row r="22" spans="2:10" ht="22.5" customHeight="1" x14ac:dyDescent="0.25">
      <c r="B22" s="8"/>
      <c r="C22" s="8"/>
      <c r="D22" s="16"/>
      <c r="E22" s="16"/>
      <c r="F22" s="16"/>
    </row>
    <row r="23" spans="2:10" ht="13.5" customHeight="1" x14ac:dyDescent="0.25">
      <c r="B23" s="51" t="s">
        <v>57</v>
      </c>
      <c r="C23" s="52" t="s">
        <v>58</v>
      </c>
      <c r="D23" s="5">
        <v>2</v>
      </c>
      <c r="E23" s="53">
        <v>2706.29</v>
      </c>
      <c r="F23" s="54">
        <f t="shared" ref="F23" si="0">D23*E23</f>
        <v>5412.58</v>
      </c>
    </row>
    <row r="24" spans="2:10" x14ac:dyDescent="0.25">
      <c r="B24" s="51"/>
      <c r="C24" s="52"/>
      <c r="D24" s="5"/>
      <c r="E24" s="53"/>
      <c r="F24" s="54"/>
    </row>
    <row r="25" spans="2:10" x14ac:dyDescent="0.25">
      <c r="B25" s="55"/>
      <c r="C25" s="5"/>
      <c r="D25" s="5"/>
      <c r="E25" s="53"/>
      <c r="F25" s="54"/>
    </row>
    <row r="26" spans="2:10" x14ac:dyDescent="0.25">
      <c r="B26" s="55"/>
      <c r="C26" s="5"/>
      <c r="D26" s="5"/>
      <c r="E26" s="53"/>
      <c r="F26" s="54"/>
    </row>
    <row r="27" spans="2:10" x14ac:dyDescent="0.25">
      <c r="B27" s="55"/>
      <c r="C27" s="5"/>
      <c r="D27" s="5"/>
      <c r="E27" s="53"/>
      <c r="F27" s="54"/>
      <c r="J27" s="44"/>
    </row>
    <row r="28" spans="2:10" x14ac:dyDescent="0.25">
      <c r="B28" s="4"/>
      <c r="C28" s="4"/>
      <c r="D28" s="4"/>
      <c r="E28" s="4" t="s">
        <v>3</v>
      </c>
      <c r="F28" s="11">
        <f>SUM(F23:F25)</f>
        <v>5412.58</v>
      </c>
      <c r="H28" s="11"/>
    </row>
    <row r="29" spans="2:10" x14ac:dyDescent="0.25">
      <c r="B29" s="4"/>
      <c r="C29" s="4"/>
      <c r="D29" s="15"/>
      <c r="E29" s="4" t="s">
        <v>4</v>
      </c>
      <c r="F29" s="11">
        <f>F28*0.16</f>
        <v>866.01279999999997</v>
      </c>
    </row>
    <row r="30" spans="2:10" x14ac:dyDescent="0.25">
      <c r="B30" s="4"/>
      <c r="C30" s="4"/>
      <c r="D30" s="15"/>
      <c r="E30" s="4" t="s">
        <v>5</v>
      </c>
      <c r="F30" s="11">
        <f>SUM(F28:F29)</f>
        <v>6278.5928000000004</v>
      </c>
    </row>
    <row r="31" spans="2:10" x14ac:dyDescent="0.25">
      <c r="B31" s="4"/>
      <c r="C31" s="4"/>
      <c r="D31" s="15"/>
      <c r="E31" s="4"/>
      <c r="F31" s="11"/>
    </row>
    <row r="32" spans="2:10" ht="27" customHeight="1" x14ac:dyDescent="0.25">
      <c r="B32" s="1" t="s">
        <v>24</v>
      </c>
      <c r="C32" s="1"/>
      <c r="D32" s="19"/>
      <c r="E32" s="19"/>
      <c r="F32" s="19"/>
    </row>
    <row r="33" spans="2:8" ht="19.5" customHeight="1" x14ac:dyDescent="0.25">
      <c r="B33" s="59" t="s">
        <v>26</v>
      </c>
      <c r="C33" s="59"/>
      <c r="D33" s="59"/>
      <c r="E33" s="59"/>
      <c r="F33" s="59"/>
    </row>
    <row r="34" spans="2:8" ht="17.25" customHeight="1" x14ac:dyDescent="0.25">
      <c r="B34" s="59" t="s">
        <v>27</v>
      </c>
      <c r="C34" s="59"/>
      <c r="D34" s="59"/>
      <c r="E34" s="59"/>
      <c r="F34" s="59"/>
    </row>
    <row r="35" spans="2:8" ht="15" customHeight="1" x14ac:dyDescent="0.25">
      <c r="B35" s="59" t="s">
        <v>46</v>
      </c>
      <c r="C35" s="59"/>
      <c r="D35" s="59"/>
      <c r="E35" s="59"/>
      <c r="F35" s="59"/>
    </row>
    <row r="36" spans="2:8" ht="76.5" customHeight="1" x14ac:dyDescent="0.25">
      <c r="B36" s="59" t="s">
        <v>28</v>
      </c>
      <c r="C36" s="59"/>
      <c r="D36" s="59"/>
      <c r="E36" s="59"/>
      <c r="F36" s="59"/>
    </row>
    <row r="37" spans="2:8" ht="26.25" customHeight="1" x14ac:dyDescent="0.25">
      <c r="B37" s="59" t="s">
        <v>47</v>
      </c>
      <c r="C37" s="59"/>
      <c r="D37" s="59"/>
      <c r="E37" s="59"/>
      <c r="F37" s="59"/>
    </row>
    <row r="38" spans="2:8" ht="20.25" customHeight="1" x14ac:dyDescent="0.25">
      <c r="B38" s="28"/>
      <c r="C38" s="28"/>
      <c r="D38" s="28"/>
      <c r="E38" s="28"/>
      <c r="F38" s="28"/>
    </row>
    <row r="39" spans="2:8" ht="20.25" customHeight="1" x14ac:dyDescent="0.25">
      <c r="B39" s="28"/>
      <c r="C39" s="28"/>
      <c r="D39" s="28"/>
      <c r="E39" s="28"/>
      <c r="F39" s="28"/>
    </row>
    <row r="40" spans="2:8" ht="20.25" customHeight="1" x14ac:dyDescent="0.25">
      <c r="B40" s="19"/>
      <c r="C40" s="19"/>
      <c r="D40" s="19"/>
      <c r="E40" s="19"/>
      <c r="F40" s="19"/>
    </row>
    <row r="41" spans="2:8" ht="20.25" customHeight="1" x14ac:dyDescent="0.25">
      <c r="B41" s="17" t="s">
        <v>48</v>
      </c>
      <c r="C41" s="46"/>
      <c r="D41" s="64" t="s">
        <v>49</v>
      </c>
      <c r="E41" s="64"/>
      <c r="F41" s="64"/>
    </row>
    <row r="42" spans="2:8" x14ac:dyDescent="0.25">
      <c r="B42" s="9"/>
      <c r="C42" s="9"/>
      <c r="D42" s="20"/>
      <c r="E42" s="20"/>
      <c r="F42" s="20"/>
      <c r="H42" s="13"/>
    </row>
    <row r="43" spans="2:8" x14ac:dyDescent="0.25">
      <c r="B43" s="9"/>
      <c r="C43" s="9"/>
      <c r="D43" s="20"/>
      <c r="E43" s="20"/>
      <c r="F43" s="20"/>
    </row>
    <row r="44" spans="2:8" x14ac:dyDescent="0.25">
      <c r="B44" s="47" t="s">
        <v>50</v>
      </c>
      <c r="C44" s="47"/>
      <c r="D44" s="47"/>
      <c r="E44" s="47"/>
      <c r="F44" s="47"/>
    </row>
    <row r="45" spans="2:8" x14ac:dyDescent="0.25">
      <c r="B45" s="48" t="s">
        <v>51</v>
      </c>
      <c r="C45" s="49"/>
      <c r="D45" s="65" t="s">
        <v>52</v>
      </c>
      <c r="E45" s="65"/>
      <c r="F45" s="65"/>
    </row>
    <row r="46" spans="2:8" x14ac:dyDescent="0.25">
      <c r="B46" s="21"/>
      <c r="C46" s="50"/>
      <c r="D46" s="50"/>
      <c r="E46" s="50"/>
      <c r="F46" s="50"/>
    </row>
    <row r="47" spans="2:8" x14ac:dyDescent="0.25">
      <c r="B47" s="21"/>
      <c r="C47" s="62"/>
      <c r="D47" s="63"/>
      <c r="E47" s="63"/>
      <c r="F47" s="63"/>
    </row>
    <row r="48" spans="2:8" x14ac:dyDescent="0.25">
      <c r="B48" s="12"/>
      <c r="C48" s="12"/>
      <c r="D48" s="20"/>
      <c r="E48" s="20"/>
      <c r="F48" s="20"/>
    </row>
    <row r="49" spans="2:15" x14ac:dyDescent="0.25">
      <c r="B49" s="12"/>
      <c r="C49" s="12"/>
      <c r="D49" s="20"/>
      <c r="E49" s="20"/>
      <c r="F49" s="20"/>
    </row>
    <row r="50" spans="2:15" x14ac:dyDescent="0.25">
      <c r="B50" s="12"/>
      <c r="C50" s="12"/>
      <c r="D50" s="20"/>
      <c r="E50" s="20"/>
      <c r="F50" s="20"/>
    </row>
    <row r="51" spans="2:15" x14ac:dyDescent="0.25">
      <c r="B51" s="12"/>
      <c r="C51" s="12"/>
      <c r="D51" s="20"/>
      <c r="E51" s="20"/>
      <c r="F51" s="20"/>
    </row>
    <row r="52" spans="2:15" x14ac:dyDescent="0.25">
      <c r="B52" s="12"/>
      <c r="C52" s="12"/>
      <c r="D52" s="20"/>
      <c r="E52" s="20"/>
      <c r="F52" s="20"/>
    </row>
    <row r="53" spans="2:15" x14ac:dyDescent="0.25">
      <c r="B53" s="60"/>
      <c r="C53" s="60"/>
      <c r="D53" s="61"/>
      <c r="E53" s="61"/>
      <c r="F53" s="61"/>
      <c r="G53" s="18"/>
      <c r="H53" s="18"/>
      <c r="I53" s="18"/>
      <c r="J53" s="18"/>
      <c r="K53" s="18"/>
      <c r="L53" s="18"/>
      <c r="M53" s="18"/>
      <c r="N53" s="18"/>
      <c r="O53" s="18"/>
    </row>
    <row r="54" spans="2:15" x14ac:dyDescent="0.25">
      <c r="B54" s="61"/>
      <c r="C54" s="61"/>
      <c r="D54" s="61"/>
      <c r="E54" s="61"/>
      <c r="F54" s="61"/>
      <c r="G54" s="18"/>
      <c r="H54" s="18"/>
      <c r="I54" s="18"/>
      <c r="J54" s="18"/>
      <c r="K54" s="18"/>
      <c r="L54" s="18"/>
      <c r="M54" s="18"/>
      <c r="N54" s="18"/>
      <c r="O54" s="18"/>
    </row>
    <row r="55" spans="2:15" x14ac:dyDescent="0.25">
      <c r="B55" s="61"/>
      <c r="C55" s="61"/>
      <c r="D55" s="61"/>
      <c r="E55" s="61"/>
      <c r="F55" s="61"/>
      <c r="G55" s="18"/>
      <c r="H55" s="18"/>
      <c r="I55" s="18"/>
      <c r="J55" s="18"/>
      <c r="K55" s="18"/>
      <c r="L55" s="18"/>
      <c r="M55" s="18"/>
      <c r="N55" s="18"/>
      <c r="O55" s="18"/>
    </row>
    <row r="56" spans="2:15" x14ac:dyDescent="0.25">
      <c r="B56" s="61"/>
      <c r="C56" s="61"/>
      <c r="D56" s="61"/>
      <c r="E56" s="61"/>
      <c r="F56" s="61"/>
      <c r="G56" s="18"/>
      <c r="H56" s="18"/>
      <c r="I56" s="18"/>
      <c r="J56" s="18"/>
      <c r="K56" s="18"/>
      <c r="L56" s="18"/>
      <c r="M56" s="18"/>
      <c r="N56" s="18"/>
      <c r="O56" s="18"/>
    </row>
    <row r="57" spans="2:15" x14ac:dyDescent="0.25">
      <c r="B57" s="18"/>
      <c r="C57" s="18"/>
      <c r="D57" s="18"/>
      <c r="E57" s="18"/>
      <c r="F57" s="18"/>
      <c r="G57" s="18"/>
      <c r="H57" s="18"/>
      <c r="I57" s="18"/>
      <c r="J57" s="18"/>
      <c r="K57" s="18"/>
      <c r="L57" s="18"/>
      <c r="M57" s="18"/>
      <c r="N57" s="18"/>
      <c r="O57" s="18"/>
    </row>
    <row r="58" spans="2:15" x14ac:dyDescent="0.25">
      <c r="B58" s="18"/>
      <c r="C58" s="18"/>
      <c r="D58" s="18"/>
      <c r="E58" s="18"/>
      <c r="F58" s="18"/>
      <c r="G58" s="18"/>
      <c r="H58" s="18"/>
      <c r="I58" s="18"/>
      <c r="J58" s="18"/>
      <c r="K58" s="18"/>
      <c r="L58" s="18"/>
      <c r="M58" s="18"/>
      <c r="N58" s="18"/>
      <c r="O58" s="18"/>
    </row>
    <row r="59" spans="2:15" x14ac:dyDescent="0.25">
      <c r="B59" s="18"/>
      <c r="C59" s="18"/>
      <c r="D59" s="18"/>
      <c r="E59" s="18"/>
      <c r="F59" s="18"/>
      <c r="G59" s="18"/>
      <c r="H59" s="18"/>
      <c r="I59" s="18"/>
      <c r="J59" s="18"/>
      <c r="K59" s="18"/>
      <c r="L59" s="18"/>
      <c r="M59" s="18"/>
      <c r="N59" s="18"/>
      <c r="O59" s="18"/>
    </row>
    <row r="60" spans="2:15" x14ac:dyDescent="0.25">
      <c r="B60" s="18"/>
      <c r="C60" s="18"/>
      <c r="D60" s="18"/>
      <c r="E60" s="18"/>
      <c r="F60" s="18"/>
      <c r="G60" s="18"/>
      <c r="H60" s="18"/>
      <c r="I60" s="18"/>
      <c r="J60" s="18"/>
      <c r="K60" s="18"/>
      <c r="L60" s="18"/>
      <c r="M60" s="18"/>
      <c r="N60" s="18"/>
      <c r="O60" s="18"/>
    </row>
  </sheetData>
  <mergeCells count="13">
    <mergeCell ref="B10:F10"/>
    <mergeCell ref="B17:F17"/>
    <mergeCell ref="B14:F14"/>
    <mergeCell ref="B20:F20"/>
    <mergeCell ref="B53:F56"/>
    <mergeCell ref="B33:F33"/>
    <mergeCell ref="B34:F34"/>
    <mergeCell ref="B35:F35"/>
    <mergeCell ref="B36:F36"/>
    <mergeCell ref="C47:F47"/>
    <mergeCell ref="B37:F37"/>
    <mergeCell ref="D41:F41"/>
    <mergeCell ref="D45:F45"/>
  </mergeCells>
  <pageMargins left="0.7" right="0.7" top="0.75" bottom="0.75" header="0.3" footer="0.3"/>
  <pageSetup paperSize="9" scale="7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SUMINISTRO Y APLICACION</vt:lpstr>
      <vt:lpstr>SUMINISTRO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chisa</dc:creator>
  <cp:lastModifiedBy>ventas chisa</cp:lastModifiedBy>
  <cp:lastPrinted>2026-09-15T15:48:23Z</cp:lastPrinted>
  <dcterms:created xsi:type="dcterms:W3CDTF">2020-12-14T19:54:01Z</dcterms:created>
  <dcterms:modified xsi:type="dcterms:W3CDTF">2026-09-15T15:48:50Z</dcterms:modified>
</cp:coreProperties>
</file>