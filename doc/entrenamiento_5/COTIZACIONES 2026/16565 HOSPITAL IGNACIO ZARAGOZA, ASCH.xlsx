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0B102B6F-806E-4939-B39E-A58D5D731365}"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6" i="1" l="1"/>
  <c r="F30" i="1" s="1"/>
  <c r="F16" i="3" l="1"/>
  <c r="F20" i="3" l="1"/>
  <c r="F17" i="3"/>
  <c r="F21" i="3" l="1"/>
  <c r="F19" i="3"/>
  <c r="F18" i="3"/>
  <c r="F26" i="3" l="1"/>
  <c r="F31" i="1"/>
  <c r="F32" i="1" s="1"/>
  <c r="F27" i="3" l="1"/>
  <c r="F28" i="3" s="1"/>
</calcChain>
</file>

<file path=xl/sharedStrings.xml><?xml version="1.0" encoding="utf-8"?>
<sst xmlns="http://schemas.openxmlformats.org/spreadsheetml/2006/main" count="80" uniqueCount="65">
  <si>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</si>
  <si>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</si>
  <si>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</si>
  <si>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</si>
  <si>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IMPORTE:</t>
  </si>
  <si>
    <t>16% I.V.A.</t>
  </si>
  <si>
    <t>T O T A L</t>
  </si>
  <si>
    <t>FORMA DE PAGO</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</si>
  <si>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</si>
  <si>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</si>
  <si>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</si>
  <si>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</si>
  <si>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</si>
  <si>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</si>
  <si>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</si>
  <si>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</si>
  <si>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</si>
  <si>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</si>
  <si>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</si>
  <si>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</si>
  <si>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</si>
  <si>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</si>
  <si>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t>M2</t>
  </si>
  <si>
    <t>ACEPTO</t>
  </si>
  <si>
    <t xml:space="preserve">PRESENTAMOS A SU AMABLE CONSIDERACIÓN EL PRESUPUESTO DE SUMINISTRO DE LOS SIGUIENTES MATERIALES: </t>
  </si>
  <si>
    <t xml:space="preserve">NOTAS: </t>
  </si>
  <si>
    <t xml:space="preserve">  CAROLINA GALVAN</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</si>
  <si>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</si>
  <si>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</si>
  <si>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</si>
  <si>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</si>
  <si>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</si>
  <si>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</si>
  <si>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</si>
  <si>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</si>
  <si>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</si>
  <si>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</si>
  <si>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</si>
  <si>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CUBETA</t>
  </si>
  <si>
    <t>1.- ARENA SILICA MALLA 250-300 (REN 25 M2)</t>
  </si>
  <si>
    <t>2.- SELLADOR INICIAL 4648 (REN 90 M2)</t>
  </si>
  <si>
    <t>3.- PRAIMER GLASS REF. S.M.A. (REN 90 M2)</t>
  </si>
  <si>
    <t>4.- CHISAGLASS REF. S.M.A. (REN 55 M2)</t>
  </si>
  <si>
    <t>3.- VITROGLASS ECOLOGICO (REN 180 M2)</t>
  </si>
  <si>
    <t>OBRA: HOSPITAL JUAREZ CDMX</t>
  </si>
  <si>
    <t xml:space="preserve">               C. GRISELL GALLEGOS</t>
  </si>
  <si>
    <t>C. GRISELL GALLEGOS</t>
  </si>
  <si>
    <t>CIUDAD DE MEXICO A 5 DE DICIEMBRE DEL 2022</t>
  </si>
  <si>
    <t>PRES. REF. 14670-S/2022</t>
  </si>
  <si>
    <t>1.- MORTERO PLASTICO (REN 16 M2)</t>
  </si>
  <si>
    <r>
      <t>INICIAMOS LOS TRABAJOS PREVIA ENTREGA  DE PAGO TOTAL ANTICIPADO  A LOS</t>
    </r>
    <r>
      <rPr>
        <b/>
        <sz val="9"/>
        <color theme="1"/>
        <rFont val="Times New Roman"/>
        <family val="1"/>
      </rPr>
      <t xml:space="preserve"> 15 DIAS HABILES PARA OBRAS FORANEAS</t>
    </r>
    <r>
      <rPr>
        <sz val="9"/>
        <color theme="1"/>
        <rFont val="Times New Roman"/>
        <family val="1"/>
      </rPr>
      <t xml:space="preserve"> Y EN 5 DIAS HABILES EN OBRAS EN LA CDMX, SIEMPRE Y CUANDO EL ACABADO DE LOS MUROS SEA DE MEZCLA FINO Y LIBRE DE DETALLES DE ALBAÑILERIA Y/O TABLAROCA, EN DICHOS TIEMPOS SE CONSIDERA LA FABRICACION DEL MATERIAL Y EL TRASLADO DE MATERIALES A EL LUGAR DE LOS TRABAJOS.</t>
    </r>
  </si>
  <si>
    <r>
      <t>EN CASO DE SER ACEPTADO EL PRESENTE PRESUPUESTO REQUERIMOS</t>
    </r>
    <r>
      <rPr>
        <b/>
        <sz val="9"/>
        <color theme="1"/>
        <rFont val="Times New Roman"/>
        <family val="1"/>
      </rPr>
      <t xml:space="preserve"> PAGO TOTAL ANTICIPADO</t>
    </r>
    <r>
      <rPr>
        <sz val="9"/>
        <color theme="1"/>
        <rFont val="Times New Roman"/>
        <family val="1"/>
      </rPr>
      <t>, EL CUAL SERA APLICADO A LA FABRICACIÓN, Y GASTOS DE ENVIÓ DE MATERIALES AL LUGAR DE LOS TRABAJOS: AL OTORGAR EL PAGO PARA LA EJECUCIÓN DE LOS TRABAJOS, SE CONSIDERA COMO ACEPTADO EL PRESUPUESTO EN TODOS SUS PUNTOS Y EL MISMO FUNGIRÁ COMO CONTRATO.</t>
    </r>
  </si>
  <si>
    <t xml:space="preserve">                 ATENTAMENTE</t>
  </si>
  <si>
    <r>
      <t xml:space="preserve">NOTA: </t>
    </r>
    <r>
      <rPr>
        <sz val="9"/>
        <color theme="1"/>
        <rFont val="Times New Roman"/>
        <family val="1"/>
      </rPr>
      <t xml:space="preserve">PARA LA EJECUCIÓN DE LOS VOLUMENES PLASMADOS EN ESTE PRESUPUESTO ES NECESARIO CONTAR CON UN MINIMO DEL </t>
    </r>
    <r>
      <rPr>
        <b/>
        <sz val="9"/>
        <color theme="1"/>
        <rFont val="Times New Roman"/>
        <family val="1"/>
      </rPr>
      <t>70% DEL AREA TOTAL</t>
    </r>
    <r>
      <rPr>
        <sz val="9"/>
        <color theme="1"/>
        <rFont val="Times New Roman"/>
        <family val="1"/>
      </rPr>
      <t xml:space="preserve">, ESTO CON LA FINALIDAD DE NO REALIZAR CARGOS POSTERIORES DE VIATICOS. SI SE DA EL CASO QUE POR CUESTIONES PROPIAS DE LA OBRA EL PERSONAL DE CHISA RECUBIMIENTOS TIENE QUE REGRESAR EN DISTINTAS OCASIONES, SE HARÁN LOS CARGOS CORRESPONDIENTES DE VIATICOS (PASAJES, COMIDAS Y HOSPEDAJES) LAS VECES QUE SEAN NECESARIOS PARA LA EJECUCIÓN DE LOS TRABAJOS. </t>
    </r>
  </si>
  <si>
    <t xml:space="preserve">CONSTRUCTORA: ASCH, S.A DE C.V </t>
  </si>
  <si>
    <t xml:space="preserve">  </t>
  </si>
  <si>
    <t xml:space="preserve">                  ____________________________________                                                                   _______________________________________</t>
  </si>
  <si>
    <t xml:space="preserve">                       AT´N: LIC. GABRIELA REYES </t>
  </si>
  <si>
    <t>HOSPITAL DE ALTA ESPECIALIDAD "GRAL. IGNACIO ZARAGOZA"</t>
  </si>
  <si>
    <t>PRES. REF. 16565/2026MS</t>
  </si>
  <si>
    <t>CIUDAD DE MEXICO A 12 DE JUNIO DEL 2025</t>
  </si>
  <si>
    <t xml:space="preserve">                      LIC. GABRIELA REYES                                                                                         CHISA RECUBRIMIENTOS, S.A. DE C.V</t>
  </si>
  <si>
    <t xml:space="preserve">                                                                                                                         N O T A S:</t>
  </si>
  <si>
    <r>
      <t xml:space="preserve">FORMA DE PAGO Y CONSIDERACIONES GENERALES CORRESPONDIENTES AL PRESUPUESTO </t>
    </r>
    <r>
      <rPr>
        <b/>
        <sz val="9"/>
        <color theme="1"/>
        <rFont val="Times New Roman"/>
        <family val="1"/>
      </rPr>
      <t>REF. 16565/2026MS.</t>
    </r>
  </si>
  <si>
    <r>
      <t>1.-</t>
    </r>
    <r>
      <rPr>
        <b/>
        <u/>
        <sz val="9"/>
        <color theme="1"/>
        <rFont val="Times New Roman"/>
        <family val="1"/>
      </rPr>
      <t>SUMINISTRO Y COLOCACION DE RECUBRIMIENTO EN PISO Y ZOCLO, HOMOGENIO ANTIESTATICO, CALANDRADO Y COMPACTO BACTERIOESTATICO Y FUGIESTATICO MARCA GERFLOR MIPOLAM ELEGANCE</t>
    </r>
    <r>
      <rPr>
        <sz val="9"/>
        <color theme="1"/>
        <rFont val="Times New Roman"/>
        <family val="1"/>
      </rPr>
      <t xml:space="preserve">, VINILICO EN ROLLO MEDIDAS 2.00 X 20.00 X 2 MM DE ESPESOR , COLOCACION CON JUNTAS TERMOFUSIONADAS, DEBE CUMPLIR CON LAS ESPECIFICACIONES: SUPERFICIE CON TRATAMIENTO EVERCARE ,ACTIVIDAD ANTIBACTERIAL SEGUN ISO 22196 &gt; 99%:TIPO DE PISO "EN 649", CLASIFICACIÒN DE USO"EN 685, RANGO 34-43", ESPESOR TOTAL "EN 428, RANGO 2mm", PESO "EN 430, RANGO 3250g/m2", FORMATO DE PRESENTACIÒN "EN 426, 20ML LARGO Y 2 M ANCHO",REACCIÒN AL FUEGO,"EN 13501-1,Bfl-s1". GRUPO DE ABRASION, "EN 660-2, GRUPO T, RANGO ≤ 2mm3", RESISTENCIA QUIMICA, EN 423, RANGO: BUENO",INCLUYE: PREPARACION DE LA SUPERFICIE, LIMPIEZA PREVIA Y COLOCACION SOBRE SUPERFICIE NIVELADA Y LISA, LIBRE DE MATERIALES SUELTOS, POLVO O GRASA, ,COLOCACION TERMOFUSIONADO, TRAZO Y NIVELACION,FLETE, ACARREO Y ELEVACIÓN DE TODOS LOS MATERIALES HASTA EL LUGAR DE SU UTILIZACIÓN, CORTES, REMATES, DESPIECE DE ACUERDO A PROYECTO, LIMPIEZA Y RETIRO DE SOBRANTE FUERA DE LA OBRA, SUMINISTRO DE MATERIALES, MANO DE OBRA, HERRAMIENTA, EQUIPO, P.U.O.T.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</si>
</sst>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11"/>
      <color theme="1"/>
      <name val="Times New Roman"/>
      <family val="1"/>
    </font>
    <font>
      <sz val="8"/>
      <color theme="1"/>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6" fillId="0" borderId="0" applyFont="0" applyFill="0" applyBorder="0" applyAlignment="0" applyProtection="0"/>
    <xf numFmtId="44" fontId="6" fillId="0" borderId="0" applyFont="0" applyFill="0" applyBorder="0" applyAlignment="0" applyProtection="0"/>
  </cellStyleXfs>
  <cellXfs count="72">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5" fillId="0" borderId="0" xfId="0" applyFont="1" applyAlignment="1">
      <alignment horizontal="justify" vertical="center"/>
    </xf>
    <xf numFmtId="0" fontId="4" fillId="0" borderId="0" xfId="0" applyFont="1" applyAlignment="1">
      <alignment horizontal="right" vertical="top" wrapText="1"/>
    </xf>
    <xf numFmtId="0" fontId="1" fillId="0" borderId="0" xfId="0" applyFont="1" applyAlignment="1">
      <alignment horizontal="right"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44" fontId="10" fillId="0" borderId="0" xfId="1" applyFont="1" applyAlignment="1">
      <alignment horizontal="right" wrapText="1"/>
    </xf>
    <xf numFmtId="4" fontId="0" fillId="0" borderId="0" xfId="0" applyNumberFormat="1" applyAlignment="1">
      <alignment horizontal="center" wrapText="1"/>
    </xf>
    <xf numFmtId="44" fontId="6" fillId="0" borderId="0" xfId="1" applyFont="1" applyAlignment="1">
      <alignment horizontal="right" vertical="center" wrapText="1"/>
    </xf>
    <xf numFmtId="0" fontId="0" fillId="0" borderId="0" xfId="0" applyAlignment="1">
      <alignment horizontal="justify" vertical="center" wrapText="1"/>
    </xf>
    <xf numFmtId="0" fontId="4" fillId="0" borderId="0" xfId="0" applyFont="1" applyAlignment="1">
      <alignment horizontal="justify" vertical="center"/>
    </xf>
    <xf numFmtId="0" fontId="2" fillId="0" borderId="0" xfId="0" applyFont="1" applyAlignment="1">
      <alignment horizontal="center" vertical="center"/>
    </xf>
    <xf numFmtId="0" fontId="3" fillId="0" borderId="0" xfId="0" applyFont="1" applyAlignment="1">
      <alignment vertical="center"/>
    </xf>
    <xf numFmtId="0" fontId="11" fillId="0" borderId="0" xfId="0" applyFont="1"/>
    <xf numFmtId="0" fontId="3" fillId="0" borderId="0" xfId="0" applyFont="1"/>
    <xf numFmtId="44" fontId="6" fillId="0" borderId="0" xfId="1" applyFont="1" applyAlignment="1">
      <alignment horizontal="center" vertical="center" wrapText="1"/>
    </xf>
    <xf numFmtId="44" fontId="6" fillId="0" borderId="0" xfId="1" applyFont="1" applyAlignment="1">
      <alignment wrapText="1"/>
    </xf>
    <xf numFmtId="44" fontId="6" fillId="0" borderId="0" xfId="1" applyFont="1" applyAlignment="1">
      <alignment horizontal="right" wrapText="1"/>
    </xf>
    <xf numFmtId="0" fontId="1" fillId="0" borderId="0" xfId="0" applyFont="1" applyAlignment="1">
      <alignment horizontal="left" vertical="top" indent="8"/>
    </xf>
    <xf numFmtId="0" fontId="2" fillId="0" borderId="0" xfId="0" applyFont="1" applyAlignment="1">
      <alignment horizontal="justify" vertical="center" wrapText="1"/>
    </xf>
    <xf numFmtId="0" fontId="0" fillId="0" borderId="0" xfId="0"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vertical="center"/>
    </xf>
    <xf numFmtId="0" fontId="1" fillId="0" borderId="0" xfId="0" applyFont="1" applyAlignment="1">
      <alignment horizontal="justify" vertical="top" wrapText="1"/>
    </xf>
    <xf numFmtId="0" fontId="1" fillId="0" borderId="0" xfId="0" applyFont="1" applyAlignment="1">
      <alignment horizontal="right" vertical="center"/>
    </xf>
    <xf numFmtId="0" fontId="0" fillId="0" borderId="0" xfId="0" applyAlignment="1">
      <alignment horizontal="right" vertical="center"/>
    </xf>
    <xf numFmtId="0" fontId="1" fillId="0" borderId="0" xfId="0" applyFont="1" applyAlignment="1">
      <alignment horizontal="left" vertical="center"/>
    </xf>
    <xf numFmtId="0" fontId="2" fillId="0" borderId="0" xfId="0" applyFont="1" applyAlignment="1">
      <alignment horizontal="justify" vertical="center" wrapText="1"/>
    </xf>
    <xf numFmtId="0" fontId="0" fillId="0" borderId="0" xfId="0" applyAlignment="1">
      <alignment horizontal="justify" vertical="center" wrapText="1"/>
    </xf>
    <xf numFmtId="0" fontId="2" fillId="0" borderId="0" xfId="0" applyFont="1" applyAlignment="1">
      <alignment horizontal="right" vertical="center"/>
    </xf>
    <xf numFmtId="0" fontId="0" fillId="0" borderId="0" xfId="0"/>
    <xf numFmtId="0" fontId="1" fillId="0" borderId="0" xfId="0" applyFont="1" applyAlignment="1">
      <alignment horizontal="left"/>
    </xf>
    <xf numFmtId="0" fontId="1" fillId="0" borderId="0" xfId="0" applyFont="1" applyAlignment="1">
      <alignment horizontal="justify" vertical="center" wrapText="1"/>
    </xf>
    <xf numFmtId="0" fontId="2" fillId="0" borderId="0" xfId="0" applyFont="1" applyAlignment="1">
      <alignment horizontal="center" vertical="center"/>
    </xf>
    <xf numFmtId="0" fontId="2" fillId="0" borderId="0" xfId="0" applyFont="1" applyAlignment="1">
      <alignment horizontal="justify" vertical="top" wrapText="1"/>
    </xf>
    <xf numFmtId="0" fontId="2" fillId="0" borderId="0" xfId="0" applyFont="1" applyAlignment="1">
      <alignment vertical="center"/>
    </xf>
    <xf numFmtId="0" fontId="1"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vertical="top"/>
    </xf>
    <xf numFmtId="164" fontId="1" fillId="0" borderId="0" xfId="0" applyNumberFormat="1" applyFont="1" applyAlignment="1">
      <alignment horizontal="center"/>
    </xf>
  </cellXfs>
  <cellStyles count="3">
    <cellStyle name="Moneda" xfId="1" builtinId="4"/>
    <cellStyle name="Moneda 2 2 5" xfId="2" xr:uid="{AB5354D7-293B-4847-A60A-AC3C6EC6DC8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7:I69"/>
  <sheetViews>
    <sheetView tabSelected="1" topLeftCell="A28" zoomScaleNormal="100" workbookViewId="0">
      <selection activeCell="A40" sqref="A40:XFD43"/>
    </sheetView>
  </sheetViews>
  <sheetFormatPr baseColWidth="10" defaultRowHeight="15" x14ac:dyDescent="0.25"/>
  <cols>
    <col min="1" max="1" width="5.28515625" customWidth="1"/>
    <col min="2" max="2" width="53.7109375" customWidth="1"/>
    <col min="3" max="4" width="12.28515625" customWidth="1"/>
    <col min="5" max="5" width="10.7109375" customWidth="1"/>
    <col min="6" max="6" width="15.140625" customWidth="1"/>
    <col min="8" max="8" width="12.28515625" bestFit="1" customWidth="1"/>
  </cols>
  <sheetData>
    <row r="7" spans="2:9" x14ac:dyDescent="0.25">
      <c r="B7" s="54" t="s">
        <v>60</v>
      </c>
      <c r="C7" s="55"/>
      <c r="D7" s="55"/>
      <c r="E7" s="55"/>
      <c r="F7" s="55"/>
      <c r="G7" s="7"/>
    </row>
    <row r="8" spans="2:9" x14ac:dyDescent="0.25">
      <c r="B8" s="1"/>
      <c r="C8" s="1"/>
    </row>
    <row r="9" spans="2:9" x14ac:dyDescent="0.25">
      <c r="B9" s="44"/>
      <c r="C9" s="43"/>
      <c r="D9" s="43"/>
    </row>
    <row r="10" spans="2:9" x14ac:dyDescent="0.25">
      <c r="B10" s="44"/>
      <c r="C10" s="43"/>
      <c r="D10" s="43"/>
    </row>
    <row r="11" spans="2:9" x14ac:dyDescent="0.25">
      <c r="B11" s="42"/>
      <c r="C11" s="43"/>
      <c r="D11" s="43"/>
    </row>
    <row r="12" spans="2:9" x14ac:dyDescent="0.25">
      <c r="B12" s="1"/>
      <c r="C12" s="1"/>
    </row>
    <row r="13" spans="2:9" x14ac:dyDescent="0.25">
      <c r="B13" s="1" t="s">
        <v>54</v>
      </c>
      <c r="C13" s="1"/>
    </row>
    <row r="14" spans="2:9" x14ac:dyDescent="0.25">
      <c r="B14" s="1" t="s">
        <v>0</v>
      </c>
      <c r="C14" s="1"/>
    </row>
    <row r="15" spans="2:9" x14ac:dyDescent="0.25">
      <c r="B15" s="2" t="s">
        <v>1</v>
      </c>
      <c r="C15" s="2"/>
      <c r="D15" s="2"/>
      <c r="E15" s="2"/>
      <c r="F15" s="2"/>
      <c r="G15" s="1"/>
      <c r="H15" s="1"/>
      <c r="I15" s="1"/>
    </row>
    <row r="16" spans="2:9" x14ac:dyDescent="0.25">
      <c r="B16" s="59" t="s">
        <v>57</v>
      </c>
      <c r="C16" s="60"/>
      <c r="D16" s="60"/>
      <c r="E16" s="60"/>
      <c r="F16" s="60"/>
    </row>
    <row r="17" spans="2:9" x14ac:dyDescent="0.25">
      <c r="B17" s="28"/>
      <c r="C17" s="28"/>
      <c r="D17" s="28"/>
      <c r="E17" s="28"/>
      <c r="F17" s="28"/>
    </row>
    <row r="18" spans="2:9" x14ac:dyDescent="0.25">
      <c r="B18" s="28"/>
      <c r="C18" s="28"/>
      <c r="D18" s="28"/>
      <c r="E18" s="28"/>
      <c r="F18" s="28"/>
    </row>
    <row r="19" spans="2:9" x14ac:dyDescent="0.25">
      <c r="B19" s="11" t="s">
        <v>58</v>
      </c>
      <c r="C19" s="11"/>
      <c r="D19" s="10"/>
      <c r="E19" s="10"/>
      <c r="F19" s="10"/>
    </row>
    <row r="20" spans="2:9" x14ac:dyDescent="0.25">
      <c r="B20" s="11" t="s">
        <v>59</v>
      </c>
      <c r="C20" s="11"/>
      <c r="D20" s="10"/>
      <c r="E20" s="10"/>
      <c r="F20" s="10"/>
    </row>
    <row r="21" spans="2:9" x14ac:dyDescent="0.25">
      <c r="B21" s="12" t="s">
        <v>2</v>
      </c>
      <c r="C21" s="12"/>
      <c r="D21" s="10"/>
      <c r="E21" s="10"/>
      <c r="F21" s="10"/>
    </row>
    <row r="22" spans="2:9" ht="30" customHeight="1" x14ac:dyDescent="0.25">
      <c r="B22" s="53" t="s">
        <v>3</v>
      </c>
      <c r="C22" s="53"/>
      <c r="D22" s="53"/>
      <c r="E22" s="53"/>
      <c r="F22" s="53"/>
      <c r="G22" s="4"/>
      <c r="H22" s="4"/>
      <c r="I22" s="4"/>
    </row>
    <row r="23" spans="2:9" ht="15.75" customHeight="1" x14ac:dyDescent="0.25">
      <c r="B23" s="27"/>
      <c r="C23" s="27"/>
      <c r="D23" s="27"/>
      <c r="E23" s="27"/>
      <c r="F23" s="27"/>
      <c r="G23" s="4"/>
      <c r="H23" s="4"/>
      <c r="I23" s="4"/>
    </row>
    <row r="24" spans="2:9" x14ac:dyDescent="0.25">
      <c r="B24" s="41" t="s">
        <v>21</v>
      </c>
      <c r="C24" s="41" t="s">
        <v>37</v>
      </c>
      <c r="D24" s="41" t="s">
        <v>19</v>
      </c>
      <c r="E24" s="41" t="s">
        <v>28</v>
      </c>
      <c r="F24" s="41" t="s">
        <v>20</v>
      </c>
      <c r="G24" s="3"/>
      <c r="H24" s="3"/>
      <c r="I24" s="3"/>
    </row>
    <row r="25" spans="2:9" x14ac:dyDescent="0.25">
      <c r="B25" s="11"/>
      <c r="C25" s="41"/>
      <c r="D25" s="41"/>
      <c r="E25" s="41"/>
      <c r="F25" s="41"/>
      <c r="G25" s="3"/>
      <c r="H25" s="3"/>
      <c r="I25" s="3"/>
    </row>
    <row r="26" spans="2:9" ht="282" customHeight="1" x14ac:dyDescent="0.25">
      <c r="B26" s="51" t="s">
        <v>64</v>
      </c>
      <c r="C26" s="22" t="s">
        <v>22</v>
      </c>
      <c r="D26" s="37">
        <v>516.30999999999995</v>
      </c>
      <c r="E26" s="71">
        <v>1219.46</v>
      </c>
      <c r="F26" s="47">
        <f>E26*D26</f>
        <v>629619.3925999999</v>
      </c>
      <c r="G26" s="13"/>
    </row>
    <row r="27" spans="2:9" ht="20.25" customHeight="1" x14ac:dyDescent="0.25">
      <c r="B27" s="40"/>
      <c r="C27" s="22"/>
      <c r="D27" s="37"/>
      <c r="E27" s="47"/>
      <c r="F27" s="47"/>
      <c r="G27" s="13"/>
    </row>
    <row r="28" spans="2:9" ht="20.25" customHeight="1" x14ac:dyDescent="0.25">
      <c r="B28" s="40"/>
      <c r="C28" s="22"/>
      <c r="D28" s="37"/>
      <c r="E28" s="47"/>
      <c r="F28" s="47"/>
      <c r="G28" s="13"/>
    </row>
    <row r="29" spans="2:9" ht="20.25" customHeight="1" x14ac:dyDescent="0.25">
      <c r="B29" s="40"/>
      <c r="C29" s="22"/>
      <c r="D29" s="37" t="s">
        <v>55</v>
      </c>
      <c r="E29" s="46"/>
      <c r="F29" s="36"/>
      <c r="G29" s="6"/>
      <c r="H29" s="21"/>
    </row>
    <row r="30" spans="2:9" ht="19.5" customHeight="1" x14ac:dyDescent="0.25">
      <c r="B30" s="5"/>
      <c r="C30" s="5"/>
      <c r="D30" s="10"/>
      <c r="E30" s="39" t="s">
        <v>4</v>
      </c>
      <c r="F30" s="45">
        <f>SUM(F26:F27)</f>
        <v>629619.3925999999</v>
      </c>
      <c r="G30" s="21"/>
      <c r="H30" s="21"/>
    </row>
    <row r="31" spans="2:9" ht="19.5" customHeight="1" x14ac:dyDescent="0.25">
      <c r="B31" s="5"/>
      <c r="C31" s="5"/>
      <c r="D31" s="5"/>
      <c r="E31" s="39" t="s">
        <v>5</v>
      </c>
      <c r="F31" s="45">
        <f>F30*16%</f>
        <v>100739.10281599998</v>
      </c>
      <c r="G31" s="6"/>
      <c r="H31" s="21"/>
    </row>
    <row r="32" spans="2:9" ht="19.5" customHeight="1" x14ac:dyDescent="0.25">
      <c r="B32" s="5"/>
      <c r="C32" s="5"/>
      <c r="D32" s="14"/>
      <c r="E32" s="39" t="s">
        <v>6</v>
      </c>
      <c r="F32" s="45">
        <f>SUM(F30:F31)</f>
        <v>730358.4954159999</v>
      </c>
      <c r="G32" s="6"/>
      <c r="H32" s="21"/>
    </row>
    <row r="33" spans="2:8" x14ac:dyDescent="0.25">
      <c r="B33" s="5"/>
      <c r="C33" s="5"/>
      <c r="D33" s="14"/>
      <c r="E33" s="39"/>
      <c r="F33" s="38"/>
      <c r="G33" s="6"/>
      <c r="H33" s="21"/>
    </row>
    <row r="34" spans="2:8" x14ac:dyDescent="0.25">
      <c r="B34" s="5"/>
      <c r="C34" s="5"/>
      <c r="D34" s="14"/>
      <c r="E34" s="39"/>
      <c r="F34" s="38"/>
      <c r="G34" s="6"/>
      <c r="H34" s="21"/>
    </row>
    <row r="35" spans="2:8" x14ac:dyDescent="0.25">
      <c r="B35" s="5"/>
      <c r="C35" s="5"/>
      <c r="D35" s="14"/>
      <c r="E35" s="39"/>
      <c r="F35" s="38"/>
      <c r="G35" s="6"/>
      <c r="H35" s="21"/>
    </row>
    <row r="36" spans="2:8" x14ac:dyDescent="0.25">
      <c r="B36" s="5"/>
      <c r="C36" s="5"/>
      <c r="D36" s="14"/>
      <c r="E36" s="39"/>
      <c r="F36" s="38"/>
      <c r="G36" s="6"/>
      <c r="H36" s="21"/>
    </row>
    <row r="37" spans="2:8" x14ac:dyDescent="0.25">
      <c r="B37" s="5"/>
      <c r="C37" s="5"/>
      <c r="D37" s="14"/>
      <c r="E37" s="39"/>
      <c r="F37" s="38"/>
      <c r="G37" s="6"/>
      <c r="H37" s="21"/>
    </row>
    <row r="38" spans="2:8" x14ac:dyDescent="0.25">
      <c r="B38" s="5"/>
      <c r="C38" s="5"/>
      <c r="D38" s="14"/>
      <c r="E38" s="39"/>
      <c r="F38" s="38"/>
      <c r="G38" s="6"/>
      <c r="H38" s="21"/>
    </row>
    <row r="39" spans="2:8" x14ac:dyDescent="0.25">
      <c r="B39" s="5"/>
      <c r="C39" s="5"/>
      <c r="D39" s="14"/>
      <c r="E39" s="39"/>
      <c r="F39" s="38"/>
      <c r="G39" s="6"/>
      <c r="H39" s="21"/>
    </row>
    <row r="40" spans="2:8" ht="58.5" customHeight="1" x14ac:dyDescent="0.25">
      <c r="B40" s="5"/>
      <c r="C40" s="5"/>
      <c r="D40" s="14"/>
      <c r="E40" s="39"/>
      <c r="F40" s="38"/>
      <c r="G40" s="6"/>
      <c r="H40" s="21"/>
    </row>
    <row r="41" spans="2:8" ht="66.75" customHeight="1" x14ac:dyDescent="0.25">
      <c r="B41" s="57" t="s">
        <v>53</v>
      </c>
      <c r="C41" s="58"/>
      <c r="D41" s="58"/>
      <c r="E41" s="58"/>
      <c r="F41" s="58"/>
      <c r="G41" s="50"/>
    </row>
    <row r="42" spans="2:8" ht="21.75" customHeight="1" x14ac:dyDescent="0.25">
      <c r="B42" s="49"/>
      <c r="C42" s="39"/>
      <c r="D42" s="39"/>
      <c r="E42" s="39"/>
      <c r="F42" s="39"/>
      <c r="G42" s="50"/>
    </row>
    <row r="43" spans="2:8" x14ac:dyDescent="0.25">
      <c r="B43" s="56" t="s">
        <v>63</v>
      </c>
      <c r="C43" s="56"/>
      <c r="D43" s="56"/>
      <c r="E43" s="56"/>
      <c r="F43" s="56"/>
    </row>
    <row r="44" spans="2:8" x14ac:dyDescent="0.25">
      <c r="B44" s="52" t="s">
        <v>58</v>
      </c>
      <c r="C44" s="52"/>
      <c r="D44" s="52"/>
      <c r="E44" s="52"/>
      <c r="F44" s="52"/>
    </row>
    <row r="45" spans="2:8" x14ac:dyDescent="0.25">
      <c r="B45" s="1"/>
      <c r="C45" s="28"/>
      <c r="D45" s="28"/>
      <c r="E45" s="28"/>
      <c r="F45" s="28"/>
    </row>
    <row r="46" spans="2:8" ht="23.25" customHeight="1" x14ac:dyDescent="0.25">
      <c r="B46" s="63" t="s">
        <v>7</v>
      </c>
      <c r="C46" s="63"/>
      <c r="D46" s="63"/>
      <c r="E46" s="63"/>
      <c r="F46" s="63"/>
      <c r="G46" s="6"/>
    </row>
    <row r="47" spans="2:8" ht="41.25" customHeight="1" x14ac:dyDescent="0.25">
      <c r="B47" s="62" t="s">
        <v>51</v>
      </c>
      <c r="C47" s="62"/>
      <c r="D47" s="62"/>
      <c r="E47" s="62"/>
      <c r="F47" s="62"/>
    </row>
    <row r="48" spans="2:8" ht="24.75" customHeight="1" x14ac:dyDescent="0.25">
      <c r="B48" s="65" t="s">
        <v>62</v>
      </c>
      <c r="C48" s="65"/>
      <c r="D48" s="65"/>
      <c r="E48" s="65"/>
      <c r="F48" s="65"/>
    </row>
    <row r="49" spans="2:6" ht="29.25" customHeight="1" x14ac:dyDescent="0.25">
      <c r="B49" s="62" t="s">
        <v>8</v>
      </c>
      <c r="C49" s="62"/>
      <c r="D49" s="62"/>
      <c r="E49" s="62"/>
      <c r="F49" s="62"/>
    </row>
    <row r="50" spans="2:6" ht="39" customHeight="1" x14ac:dyDescent="0.25">
      <c r="B50" s="53" t="s">
        <v>9</v>
      </c>
      <c r="C50" s="53"/>
      <c r="D50" s="53"/>
      <c r="E50" s="53"/>
      <c r="F50" s="53"/>
    </row>
    <row r="51" spans="2:6" ht="50.25" customHeight="1" x14ac:dyDescent="0.25">
      <c r="B51" s="64" t="s">
        <v>10</v>
      </c>
      <c r="C51" s="64"/>
      <c r="D51" s="64"/>
      <c r="E51" s="64"/>
      <c r="F51" s="64"/>
    </row>
    <row r="52" spans="2:6" ht="25.5" customHeight="1" x14ac:dyDescent="0.25">
      <c r="B52" s="53" t="s">
        <v>11</v>
      </c>
      <c r="C52" s="53"/>
      <c r="D52" s="53"/>
      <c r="E52" s="53"/>
      <c r="F52" s="53"/>
    </row>
    <row r="53" spans="2:6" ht="63" customHeight="1" x14ac:dyDescent="0.25">
      <c r="B53" s="62" t="s">
        <v>12</v>
      </c>
      <c r="C53" s="62"/>
      <c r="D53" s="62"/>
      <c r="E53" s="62"/>
      <c r="F53" s="62"/>
    </row>
    <row r="54" spans="2:6" ht="15.75" customHeight="1" x14ac:dyDescent="0.25">
      <c r="B54" s="62" t="s">
        <v>13</v>
      </c>
      <c r="C54" s="62"/>
      <c r="D54" s="62"/>
      <c r="E54" s="62"/>
      <c r="F54" s="62"/>
    </row>
    <row r="55" spans="2:6" ht="47.25" customHeight="1" x14ac:dyDescent="0.25">
      <c r="B55" s="62" t="s">
        <v>50</v>
      </c>
      <c r="C55" s="62"/>
      <c r="D55" s="62"/>
      <c r="E55" s="62"/>
      <c r="F55" s="62"/>
    </row>
    <row r="56" spans="2:6" ht="25.5" customHeight="1" x14ac:dyDescent="0.25">
      <c r="B56" s="62" t="s">
        <v>14</v>
      </c>
      <c r="C56" s="62"/>
      <c r="D56" s="62"/>
      <c r="E56" s="62"/>
      <c r="F56" s="62"/>
    </row>
    <row r="57" spans="2:6" ht="59.25" customHeight="1" x14ac:dyDescent="0.25">
      <c r="B57" s="53" t="s">
        <v>15</v>
      </c>
      <c r="C57" s="53"/>
      <c r="D57" s="53"/>
      <c r="E57" s="53"/>
      <c r="F57" s="53"/>
    </row>
    <row r="58" spans="2:6" ht="12" customHeight="1" x14ac:dyDescent="0.25">
      <c r="B58" s="62" t="s">
        <v>16</v>
      </c>
      <c r="C58" s="62"/>
      <c r="D58" s="62"/>
      <c r="E58" s="62"/>
      <c r="F58" s="62"/>
    </row>
    <row r="59" spans="2:6" x14ac:dyDescent="0.25">
      <c r="B59" s="5"/>
      <c r="C59" s="5"/>
      <c r="D59" s="5"/>
      <c r="E59" s="5"/>
      <c r="F59" s="5"/>
    </row>
    <row r="60" spans="2:6" x14ac:dyDescent="0.25">
      <c r="B60" s="5"/>
      <c r="C60" s="5"/>
      <c r="D60" s="5"/>
      <c r="E60" s="5"/>
      <c r="F60" s="5"/>
    </row>
    <row r="61" spans="2:6" x14ac:dyDescent="0.25">
      <c r="B61" s="12" t="s">
        <v>17</v>
      </c>
      <c r="C61" s="12"/>
      <c r="D61" s="10"/>
      <c r="E61" s="10"/>
      <c r="F61" s="10"/>
    </row>
    <row r="62" spans="2:6" x14ac:dyDescent="0.25">
      <c r="B62" s="12" t="s">
        <v>18</v>
      </c>
      <c r="C62" s="12"/>
      <c r="D62" s="10"/>
      <c r="E62" s="10"/>
      <c r="F62" s="10"/>
    </row>
    <row r="63" spans="2:6" x14ac:dyDescent="0.25">
      <c r="B63" s="48" t="s">
        <v>23</v>
      </c>
      <c r="C63" s="8"/>
      <c r="D63" s="61" t="s">
        <v>52</v>
      </c>
      <c r="E63" s="61"/>
      <c r="F63" s="61"/>
    </row>
    <row r="64" spans="2:6" x14ac:dyDescent="0.25">
      <c r="B64" s="15"/>
      <c r="C64" s="15"/>
      <c r="D64" s="10"/>
      <c r="E64" s="10"/>
      <c r="F64" s="10"/>
    </row>
    <row r="65" spans="2:6" x14ac:dyDescent="0.25">
      <c r="B65" s="12"/>
      <c r="C65" s="12"/>
      <c r="D65" s="10"/>
      <c r="E65" s="10"/>
      <c r="F65" s="10"/>
    </row>
    <row r="66" spans="2:6" x14ac:dyDescent="0.25">
      <c r="B66" s="23" t="s">
        <v>56</v>
      </c>
      <c r="C66" s="23"/>
      <c r="D66" s="10"/>
      <c r="E66" s="10"/>
      <c r="F66" s="10"/>
    </row>
    <row r="67" spans="2:6" x14ac:dyDescent="0.25">
      <c r="B67" s="24" t="s">
        <v>61</v>
      </c>
      <c r="C67" s="24"/>
      <c r="D67" s="31"/>
      <c r="E67" s="31"/>
      <c r="F67" s="31"/>
    </row>
    <row r="68" spans="2:6" x14ac:dyDescent="0.25">
      <c r="B68" s="24"/>
      <c r="C68" s="24"/>
      <c r="D68" s="10"/>
      <c r="E68" s="10"/>
      <c r="F68" s="10"/>
    </row>
    <row r="69" spans="2:6" x14ac:dyDescent="0.25">
      <c r="B69" s="22"/>
      <c r="C69" s="22"/>
      <c r="D69" s="10"/>
      <c r="E69" s="10"/>
      <c r="F69" s="10"/>
    </row>
  </sheetData>
  <mergeCells count="20">
    <mergeCell ref="D63:F63"/>
    <mergeCell ref="B58:F58"/>
    <mergeCell ref="B46:F46"/>
    <mergeCell ref="B47:F47"/>
    <mergeCell ref="B49:F49"/>
    <mergeCell ref="B50:F50"/>
    <mergeCell ref="B53:F53"/>
    <mergeCell ref="B54:F54"/>
    <mergeCell ref="B55:F55"/>
    <mergeCell ref="B57:F57"/>
    <mergeCell ref="B51:F51"/>
    <mergeCell ref="B52:F52"/>
    <mergeCell ref="B48:F48"/>
    <mergeCell ref="B56:F56"/>
    <mergeCell ref="B44:F44"/>
    <mergeCell ref="B22:F22"/>
    <mergeCell ref="B7:F7"/>
    <mergeCell ref="B43:F43"/>
    <mergeCell ref="B41:F41"/>
    <mergeCell ref="B16:F16"/>
  </mergeCells>
  <pageMargins left="0.25" right="0.25" top="0.75" bottom="0.75" header="0.3" footer="0.3"/>
  <pageSetup paperSize="9" scale="83" orientation="portrait" horizontalDpi="4294967293" r:id="rId1"/>
  <headerFooter>
    <oddHeader>&amp;R&amp;G</oddHeader>
    <oddFooter>&amp;C&amp;G</oddFooter>
  </headerFooter>
  <ignoredErrors>
    <ignoredError sqref="F31" formula="1"/>
  </ignoredError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0"/>
  <sheetViews>
    <sheetView topLeftCell="A4" zoomScaleNormal="100" zoomScalePageLayoutView="50" workbookViewId="0">
      <selection activeCell="D22" sqref="D22"/>
    </sheetView>
  </sheetViews>
  <sheetFormatPr baseColWidth="10" defaultRowHeight="15" x14ac:dyDescent="0.25"/>
  <cols>
    <col min="1" max="1" width="5.85546875" style="26" customWidth="1"/>
    <col min="2" max="2" width="52.140625" customWidth="1"/>
    <col min="3" max="3" width="14.28515625" customWidth="1"/>
    <col min="4" max="4" width="11.42578125" customWidth="1"/>
    <col min="5" max="5" width="9.85546875" bestFit="1" customWidth="1"/>
    <col min="6" max="6" width="11.28515625" customWidth="1"/>
  </cols>
  <sheetData>
    <row r="4" spans="2:6" x14ac:dyDescent="0.25">
      <c r="B4" s="30"/>
      <c r="C4" s="30"/>
      <c r="D4" s="30"/>
      <c r="E4" s="30"/>
      <c r="F4" s="30"/>
    </row>
    <row r="5" spans="2:6" x14ac:dyDescent="0.25">
      <c r="B5" s="30"/>
      <c r="C5" s="30"/>
      <c r="D5" s="30"/>
      <c r="E5" s="30"/>
      <c r="F5" s="30"/>
    </row>
    <row r="6" spans="2:6" x14ac:dyDescent="0.25">
      <c r="B6" s="54" t="s">
        <v>47</v>
      </c>
      <c r="C6" s="54"/>
      <c r="D6" s="54"/>
      <c r="E6" s="54"/>
      <c r="F6" s="54"/>
    </row>
    <row r="7" spans="2:6" x14ac:dyDescent="0.25">
      <c r="B7" s="1"/>
      <c r="C7" s="1"/>
      <c r="D7" s="30"/>
      <c r="E7" s="30"/>
      <c r="F7" s="30"/>
    </row>
    <row r="8" spans="2:6" x14ac:dyDescent="0.25">
      <c r="B8" s="1" t="s">
        <v>0</v>
      </c>
      <c r="C8" s="1"/>
      <c r="D8" s="30"/>
      <c r="E8" s="30"/>
      <c r="F8" s="30"/>
    </row>
    <row r="9" spans="2:6" x14ac:dyDescent="0.25">
      <c r="B9" s="59" t="s">
        <v>46</v>
      </c>
      <c r="C9" s="59"/>
      <c r="D9" s="59"/>
      <c r="E9" s="59"/>
      <c r="F9" s="59"/>
    </row>
    <row r="10" spans="2:6" x14ac:dyDescent="0.25">
      <c r="B10" s="52" t="s">
        <v>44</v>
      </c>
      <c r="C10" s="52"/>
      <c r="D10" s="52"/>
      <c r="E10" s="52"/>
      <c r="F10" s="52"/>
    </row>
    <row r="11" spans="2:6" ht="12.75" customHeight="1" x14ac:dyDescent="0.25">
      <c r="B11" s="11" t="s">
        <v>48</v>
      </c>
      <c r="C11" s="11"/>
      <c r="D11" s="31"/>
      <c r="E11" s="31"/>
      <c r="F11" s="31"/>
    </row>
    <row r="12" spans="2:6" ht="13.5" customHeight="1" x14ac:dyDescent="0.25">
      <c r="B12" s="12" t="s">
        <v>2</v>
      </c>
      <c r="C12" s="12"/>
      <c r="D12" s="31"/>
      <c r="E12" s="31"/>
      <c r="F12" s="31"/>
    </row>
    <row r="13" spans="2:6" ht="21.75" customHeight="1" x14ac:dyDescent="0.25">
      <c r="B13" s="66" t="s">
        <v>24</v>
      </c>
      <c r="C13" s="66"/>
      <c r="D13" s="66"/>
      <c r="E13" s="66"/>
      <c r="F13" s="66"/>
    </row>
    <row r="14" spans="2:6" x14ac:dyDescent="0.25">
      <c r="B14" s="11" t="s">
        <v>21</v>
      </c>
      <c r="C14" s="11"/>
      <c r="D14" s="28" t="s">
        <v>19</v>
      </c>
      <c r="E14" s="28" t="s">
        <v>28</v>
      </c>
      <c r="F14" s="2" t="s">
        <v>20</v>
      </c>
    </row>
    <row r="15" spans="2:6" x14ac:dyDescent="0.25">
      <c r="B15" s="11"/>
      <c r="C15" s="11"/>
      <c r="D15" s="2"/>
      <c r="E15" s="2"/>
      <c r="F15" s="2"/>
    </row>
    <row r="16" spans="2:6" x14ac:dyDescent="0.25">
      <c r="B16" s="9" t="s">
        <v>49</v>
      </c>
      <c r="C16" s="33" t="s">
        <v>38</v>
      </c>
      <c r="D16" s="35">
        <v>18</v>
      </c>
      <c r="E16" s="32">
        <v>931.85</v>
      </c>
      <c r="F16" s="20">
        <f>D16*E16</f>
        <v>16773.3</v>
      </c>
    </row>
    <row r="17" spans="2:6" x14ac:dyDescent="0.25">
      <c r="B17" s="9" t="s">
        <v>39</v>
      </c>
      <c r="C17" s="33" t="s">
        <v>38</v>
      </c>
      <c r="D17" s="35">
        <v>13</v>
      </c>
      <c r="E17" s="32">
        <v>918.78</v>
      </c>
      <c r="F17" s="20">
        <f>D17*E17</f>
        <v>11944.14</v>
      </c>
    </row>
    <row r="18" spans="2:6" x14ac:dyDescent="0.25">
      <c r="B18" s="9" t="s">
        <v>40</v>
      </c>
      <c r="C18" s="33" t="s">
        <v>38</v>
      </c>
      <c r="D18" s="35">
        <v>3</v>
      </c>
      <c r="E18" s="32">
        <v>701</v>
      </c>
      <c r="F18" s="20">
        <f>D18*E18</f>
        <v>2103</v>
      </c>
    </row>
    <row r="19" spans="2:6" x14ac:dyDescent="0.25">
      <c r="B19" s="9" t="s">
        <v>41</v>
      </c>
      <c r="C19" s="33" t="s">
        <v>38</v>
      </c>
      <c r="D19" s="6">
        <v>3</v>
      </c>
      <c r="E19" s="32">
        <v>794.75</v>
      </c>
      <c r="F19" s="20">
        <f t="shared" ref="F19:F21" si="0">D19*E19</f>
        <v>2384.25</v>
      </c>
    </row>
    <row r="20" spans="2:6" x14ac:dyDescent="0.25">
      <c r="B20" s="9" t="s">
        <v>42</v>
      </c>
      <c r="C20" s="33" t="s">
        <v>38</v>
      </c>
      <c r="D20" s="6">
        <v>5</v>
      </c>
      <c r="E20" s="32">
        <v>4190</v>
      </c>
      <c r="F20" s="20">
        <f t="shared" ref="F20" si="1">D20*E20</f>
        <v>20950</v>
      </c>
    </row>
    <row r="21" spans="2:6" x14ac:dyDescent="0.25">
      <c r="B21" s="9" t="s">
        <v>43</v>
      </c>
      <c r="C21" s="33" t="s">
        <v>38</v>
      </c>
      <c r="D21" s="6">
        <v>2</v>
      </c>
      <c r="E21" s="32">
        <v>3883</v>
      </c>
      <c r="F21" s="20">
        <f t="shared" si="0"/>
        <v>7766</v>
      </c>
    </row>
    <row r="22" spans="2:6" x14ac:dyDescent="0.25">
      <c r="B22" s="16"/>
      <c r="C22" s="33"/>
      <c r="D22" s="18"/>
      <c r="E22" s="20"/>
      <c r="F22" s="20"/>
    </row>
    <row r="23" spans="2:6" x14ac:dyDescent="0.25">
      <c r="B23" s="9"/>
      <c r="C23" s="9"/>
      <c r="D23" s="17"/>
      <c r="E23" s="30"/>
      <c r="F23" s="30"/>
    </row>
    <row r="24" spans="2:6" x14ac:dyDescent="0.25">
      <c r="B24" s="16"/>
      <c r="C24" s="16"/>
      <c r="D24" s="18"/>
      <c r="E24" s="20"/>
      <c r="F24" s="20"/>
    </row>
    <row r="25" spans="2:6" x14ac:dyDescent="0.25">
      <c r="B25" s="5"/>
      <c r="C25" s="5"/>
      <c r="D25" s="18"/>
      <c r="E25" s="19"/>
      <c r="F25" s="20"/>
    </row>
    <row r="26" spans="2:6" x14ac:dyDescent="0.25">
      <c r="B26" s="5"/>
      <c r="C26" s="5"/>
      <c r="D26" s="31"/>
      <c r="E26" s="5" t="s">
        <v>4</v>
      </c>
      <c r="F26" s="21">
        <f>SUM(F16:F25)</f>
        <v>61920.69</v>
      </c>
    </row>
    <row r="27" spans="2:6" x14ac:dyDescent="0.25">
      <c r="B27" s="5"/>
      <c r="C27" s="5"/>
      <c r="D27" s="5"/>
      <c r="E27" s="5" t="s">
        <v>5</v>
      </c>
      <c r="F27" s="21">
        <f>F26*16%</f>
        <v>9907.3104000000003</v>
      </c>
    </row>
    <row r="28" spans="2:6" x14ac:dyDescent="0.25">
      <c r="B28" s="5"/>
      <c r="C28" s="5"/>
      <c r="D28" s="27"/>
      <c r="E28" s="5" t="s">
        <v>6</v>
      </c>
      <c r="F28" s="21">
        <f>SUM(F26:F27)</f>
        <v>71828.000400000004</v>
      </c>
    </row>
    <row r="29" spans="2:6" x14ac:dyDescent="0.25">
      <c r="B29" s="5"/>
      <c r="C29" s="5"/>
      <c r="D29" s="27"/>
      <c r="E29" s="5"/>
      <c r="F29" s="21"/>
    </row>
    <row r="30" spans="2:6" x14ac:dyDescent="0.25">
      <c r="B30" s="1" t="s">
        <v>25</v>
      </c>
      <c r="C30" s="1"/>
      <c r="D30" s="30"/>
      <c r="E30" s="30"/>
      <c r="F30" s="30"/>
    </row>
    <row r="31" spans="2:6" ht="28.5" customHeight="1" x14ac:dyDescent="0.25">
      <c r="B31" s="66" t="s">
        <v>29</v>
      </c>
      <c r="C31" s="66"/>
      <c r="D31" s="66"/>
      <c r="E31" s="66"/>
      <c r="F31" s="66"/>
    </row>
    <row r="32" spans="2:6" ht="17.25" customHeight="1" x14ac:dyDescent="0.25">
      <c r="B32" s="66" t="s">
        <v>30</v>
      </c>
      <c r="C32" s="66"/>
      <c r="D32" s="66"/>
      <c r="E32" s="66"/>
      <c r="F32" s="66"/>
    </row>
    <row r="33" spans="2:15" ht="15" customHeight="1" x14ac:dyDescent="0.25">
      <c r="B33" s="66" t="s">
        <v>31</v>
      </c>
      <c r="C33" s="66"/>
      <c r="D33" s="66"/>
      <c r="E33" s="66"/>
      <c r="F33" s="66"/>
    </row>
    <row r="34" spans="2:15" ht="18" customHeight="1" x14ac:dyDescent="0.25">
      <c r="B34" s="66" t="s">
        <v>32</v>
      </c>
      <c r="C34" s="66"/>
      <c r="D34" s="66"/>
      <c r="E34" s="66"/>
      <c r="F34" s="66"/>
    </row>
    <row r="35" spans="2:15" ht="96.75" customHeight="1" x14ac:dyDescent="0.25">
      <c r="B35" s="66" t="s">
        <v>33</v>
      </c>
      <c r="C35" s="66"/>
      <c r="D35" s="66"/>
      <c r="E35" s="66"/>
      <c r="F35" s="66"/>
    </row>
    <row r="36" spans="2:15" x14ac:dyDescent="0.25">
      <c r="B36" s="30"/>
      <c r="C36" s="30"/>
      <c r="D36" s="30"/>
      <c r="E36" s="30"/>
      <c r="F36" s="30"/>
      <c r="H36" s="25"/>
    </row>
    <row r="37" spans="2:15" x14ac:dyDescent="0.25">
      <c r="B37" s="7" t="s">
        <v>34</v>
      </c>
      <c r="C37" s="7"/>
      <c r="D37" s="69" t="s">
        <v>35</v>
      </c>
      <c r="E37" s="69"/>
      <c r="F37" s="69"/>
    </row>
    <row r="38" spans="2:15" x14ac:dyDescent="0.25">
      <c r="B38" s="12"/>
      <c r="C38" s="12"/>
      <c r="D38" s="31"/>
      <c r="E38" s="31"/>
      <c r="F38" s="31"/>
    </row>
    <row r="39" spans="2:15" x14ac:dyDescent="0.25">
      <c r="B39" s="12"/>
      <c r="C39" s="12"/>
      <c r="D39" s="31"/>
      <c r="E39" s="31"/>
      <c r="F39" s="31"/>
    </row>
    <row r="40" spans="2:15" x14ac:dyDescent="0.25">
      <c r="B40" s="23" t="s">
        <v>36</v>
      </c>
      <c r="C40" s="23"/>
      <c r="D40" s="31"/>
      <c r="E40" s="31"/>
      <c r="F40" s="31"/>
    </row>
    <row r="41" spans="2:15" x14ac:dyDescent="0.25">
      <c r="B41" s="34" t="s">
        <v>45</v>
      </c>
      <c r="C41" s="34"/>
      <c r="D41" s="70" t="s">
        <v>26</v>
      </c>
      <c r="E41" s="70"/>
      <c r="F41" s="70"/>
    </row>
    <row r="42" spans="2:15" x14ac:dyDescent="0.25">
      <c r="B42" s="24"/>
      <c r="C42" s="24"/>
      <c r="D42" s="31"/>
      <c r="E42" s="31"/>
      <c r="F42" s="31"/>
    </row>
    <row r="43" spans="2:15" x14ac:dyDescent="0.25">
      <c r="B43" s="67" t="s">
        <v>27</v>
      </c>
      <c r="C43" s="67"/>
      <c r="D43" s="68"/>
      <c r="E43" s="68"/>
      <c r="F43" s="68"/>
      <c r="G43" s="29"/>
      <c r="H43" s="29"/>
      <c r="I43" s="29"/>
      <c r="J43" s="29"/>
      <c r="K43" s="29"/>
      <c r="L43" s="29"/>
      <c r="M43" s="29"/>
      <c r="N43" s="29"/>
      <c r="O43" s="29"/>
    </row>
    <row r="44" spans="2:15" x14ac:dyDescent="0.25">
      <c r="B44" s="68"/>
      <c r="C44" s="68"/>
      <c r="D44" s="68"/>
      <c r="E44" s="68"/>
      <c r="F44" s="68"/>
      <c r="G44" s="29"/>
      <c r="H44" s="29"/>
      <c r="I44" s="29"/>
      <c r="J44" s="29"/>
      <c r="K44" s="29"/>
      <c r="L44" s="29"/>
      <c r="M44" s="29"/>
      <c r="N44" s="29"/>
      <c r="O44" s="29"/>
    </row>
    <row r="45" spans="2:15" x14ac:dyDescent="0.25">
      <c r="B45" s="68"/>
      <c r="C45" s="68"/>
      <c r="D45" s="68"/>
      <c r="E45" s="68"/>
      <c r="F45" s="68"/>
      <c r="G45" s="29"/>
      <c r="H45" s="29"/>
      <c r="I45" s="29"/>
      <c r="J45" s="29"/>
      <c r="K45" s="29"/>
      <c r="L45" s="29"/>
      <c r="M45" s="29"/>
      <c r="N45" s="29"/>
      <c r="O45" s="29"/>
    </row>
    <row r="46" spans="2:15" x14ac:dyDescent="0.25">
      <c r="B46" s="68"/>
      <c r="C46" s="68"/>
      <c r="D46" s="68"/>
      <c r="E46" s="68"/>
      <c r="F46" s="68"/>
      <c r="G46" s="29"/>
      <c r="H46" s="29"/>
      <c r="I46" s="29"/>
      <c r="J46" s="29"/>
      <c r="K46" s="29"/>
      <c r="L46" s="29"/>
      <c r="M46" s="29"/>
      <c r="N46" s="29"/>
      <c r="O46" s="29"/>
    </row>
    <row r="47" spans="2:15" x14ac:dyDescent="0.25">
      <c r="B47" s="29"/>
      <c r="C47" s="29"/>
      <c r="D47" s="29"/>
      <c r="E47" s="29"/>
      <c r="F47" s="29"/>
      <c r="G47" s="29"/>
      <c r="H47" s="29"/>
      <c r="I47" s="29"/>
      <c r="J47" s="29"/>
      <c r="K47" s="29"/>
      <c r="L47" s="29"/>
      <c r="M47" s="29"/>
      <c r="N47" s="29"/>
      <c r="O47" s="29"/>
    </row>
    <row r="48" spans="2:15" x14ac:dyDescent="0.25">
      <c r="B48" s="29"/>
      <c r="C48" s="29"/>
      <c r="D48" s="29"/>
      <c r="E48" s="29"/>
      <c r="F48" s="29"/>
      <c r="G48" s="29"/>
      <c r="H48" s="29"/>
      <c r="I48" s="29"/>
      <c r="J48" s="29"/>
      <c r="K48" s="29"/>
      <c r="L48" s="29"/>
      <c r="M48" s="29"/>
      <c r="N48" s="29"/>
      <c r="O48" s="29"/>
    </row>
    <row r="49" spans="2:15" x14ac:dyDescent="0.25">
      <c r="B49" s="29"/>
      <c r="C49" s="29"/>
      <c r="D49" s="29"/>
      <c r="E49" s="29"/>
      <c r="F49" s="29"/>
      <c r="G49" s="29"/>
      <c r="H49" s="29"/>
      <c r="I49" s="29"/>
      <c r="J49" s="29"/>
      <c r="K49" s="29"/>
      <c r="L49" s="29"/>
      <c r="M49" s="29"/>
      <c r="N49" s="29"/>
      <c r="O49" s="29"/>
    </row>
    <row r="50" spans="2:15" x14ac:dyDescent="0.25">
      <c r="B50" s="29"/>
      <c r="C50" s="29"/>
      <c r="D50" s="29"/>
      <c r="E50" s="29"/>
      <c r="F50" s="29"/>
      <c r="G50" s="29"/>
      <c r="H50" s="29"/>
      <c r="I50" s="29"/>
      <c r="J50" s="29"/>
      <c r="K50" s="29"/>
      <c r="L50" s="29"/>
      <c r="M50" s="29"/>
      <c r="N50" s="29"/>
      <c r="O50" s="29"/>
    </row>
  </sheetData>
  <mergeCells count="12">
    <mergeCell ref="B43:F46"/>
    <mergeCell ref="D37:F37"/>
    <mergeCell ref="D41:F41"/>
    <mergeCell ref="B31:F31"/>
    <mergeCell ref="B32:F32"/>
    <mergeCell ref="B33:F33"/>
    <mergeCell ref="B34:F34"/>
    <mergeCell ref="B6:F6"/>
    <mergeCell ref="B9:F9"/>
    <mergeCell ref="B10:F10"/>
    <mergeCell ref="B13:F13"/>
    <mergeCell ref="B35:F35"/>
  </mergeCells>
  <pageMargins left="0.7" right="0.7" top="0.75" bottom="0.75" header="0.3" footer="0.3"/>
  <pageSetup paperSize="9" scale="83"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2026-06-12T20:13:03Z</cp:lastPrinted>
  <dcterms:created xsi:type="dcterms:W3CDTF">2020-12-14T19:54:01Z</dcterms:created>
  <dcterms:modified xsi:type="dcterms:W3CDTF">2026-06-12T20:21:58Z</dcterms:modified>
</cp:coreProperties>
</file>