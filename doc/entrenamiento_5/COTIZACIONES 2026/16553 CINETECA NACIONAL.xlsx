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41AD3181-986B-40A0-BC8E-09BF0D6E1ABF}" xr6:coauthVersionLast="47" xr6:coauthVersionMax="47" xr10:uidLastSave="{00000000-0000-0000-0000-000000000000}"/>
  <bookViews>
    <workbookView xWindow="-120" yWindow="-120" windowWidth="20730" windowHeight="11160" xr2:uid="{D8F896B9-938A-413F-A827-4A04F29DD20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9" i="1" l="1"/>
  <c r="J88" i="1"/>
  <c r="J87" i="1"/>
  <c r="K77" i="1"/>
  <c r="I77" i="1"/>
  <c r="I84" i="1"/>
  <c r="I83" i="1"/>
  <c r="I82" i="1"/>
  <c r="I81" i="1"/>
  <c r="I80" i="1"/>
  <c r="I79" i="1"/>
  <c r="I78" i="1"/>
  <c r="I74" i="1"/>
  <c r="I76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J77" i="1" l="1"/>
  <c r="J83" i="1"/>
  <c r="J80" i="1"/>
  <c r="J79" i="1"/>
  <c r="K79" i="1"/>
  <c r="J81" i="1"/>
  <c r="J78" i="1"/>
  <c r="K78" i="1" s="1"/>
  <c r="K80" i="1" s="1"/>
  <c r="J84" i="1"/>
  <c r="J82" i="1"/>
  <c r="J74" i="1"/>
  <c r="J76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52" i="1"/>
  <c r="J51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K7" i="1" s="1"/>
  <c r="K8" i="1" s="1"/>
  <c r="K81" i="1" l="1"/>
  <c r="K83" i="1" s="1"/>
  <c r="K82" i="1"/>
  <c r="K84" i="1" s="1"/>
  <c r="K9" i="1"/>
  <c r="K10" i="1" s="1"/>
  <c r="K11" i="1" l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6" i="1" s="1"/>
</calcChain>
</file>

<file path=xl/sharedStrings.xml><?xml version="1.0" encoding="utf-8"?>
<sst xmlns="http://schemas.openxmlformats.org/spreadsheetml/2006/main" count="230" uniqueCount="134">
  <si>
    <t>Flexómetro de 5 mts uso Rudo</t>
  </si>
  <si>
    <t>FH-5M</t>
  </si>
  <si>
    <t>Pza</t>
  </si>
  <si>
    <t>Porta herramienta de carnaza de 13 compartimientos</t>
  </si>
  <si>
    <t>POHE-8CX</t>
  </si>
  <si>
    <t>Cutter profesional para navaja de 18 mm</t>
  </si>
  <si>
    <t>CUT-6X</t>
  </si>
  <si>
    <t>Pinza para Mecánico 10"</t>
  </si>
  <si>
    <t>PCH-10X</t>
  </si>
  <si>
    <t>pza</t>
  </si>
  <si>
    <t>Cortador de vidrio profesional 6" con depósito para aceite</t>
  </si>
  <si>
    <t>CV-5DX</t>
  </si>
  <si>
    <t>Destapacaños 15m tipo barreno con manivela</t>
  </si>
  <si>
    <t>DECAB-150</t>
  </si>
  <si>
    <t>Cepillo para carpintero estriado 14"</t>
  </si>
  <si>
    <t>5C</t>
  </si>
  <si>
    <t>Prensa con ajuste rápido 36"</t>
  </si>
  <si>
    <t>PAR-236</t>
  </si>
  <si>
    <t>Serrucho 24"</t>
  </si>
  <si>
    <t>STX-24</t>
  </si>
  <si>
    <t>Flota de esponja 12" espesor 12" acabado áspero</t>
  </si>
  <si>
    <t>FL-12</t>
  </si>
  <si>
    <t>Amarrador de varillas</t>
  </si>
  <si>
    <t>AM-VA</t>
  </si>
  <si>
    <t>Cortador de tubo de cobre 3/16" a 2" cuchilla 18 mm</t>
  </si>
  <si>
    <t>COT-50</t>
  </si>
  <si>
    <t>Juego de avellanador</t>
  </si>
  <si>
    <t>JAV-7</t>
  </si>
  <si>
    <t>Lote</t>
  </si>
  <si>
    <t>Arco 12"</t>
  </si>
  <si>
    <t>ATT-12</t>
  </si>
  <si>
    <t>Caja de herramientas con llantas</t>
  </si>
  <si>
    <t>CHP-1925R</t>
  </si>
  <si>
    <t>Odómetro</t>
  </si>
  <si>
    <t>ODM-12</t>
  </si>
  <si>
    <t>Protector Facial</t>
  </si>
  <si>
    <t>PF-500</t>
  </si>
  <si>
    <t>Kit Contra Cáidas</t>
  </si>
  <si>
    <t>ARN-KIT-1</t>
  </si>
  <si>
    <t>Rodilleras para piso con Gel</t>
  </si>
  <si>
    <t>ROD-500</t>
  </si>
  <si>
    <t>Taladro Rotomartillo</t>
  </si>
  <si>
    <t>D25260KB3</t>
  </si>
  <si>
    <t>Taladro Inalámbrico</t>
  </si>
  <si>
    <t>Ded7781d1-b3</t>
  </si>
  <si>
    <t>Sierra Circular 1800W</t>
  </si>
  <si>
    <t>DW E575</t>
  </si>
  <si>
    <t>Sierra Caladora</t>
  </si>
  <si>
    <t>DW 300</t>
  </si>
  <si>
    <t>Lijadora Orbital</t>
  </si>
  <si>
    <t>DW E6411-B3</t>
  </si>
  <si>
    <t>Esmeril Angular</t>
  </si>
  <si>
    <t>DW E4120x-B3</t>
  </si>
  <si>
    <t>Esmeril de Banco</t>
  </si>
  <si>
    <t>Dw752B3</t>
  </si>
  <si>
    <t>Juego de desatornilladores combinados</t>
  </si>
  <si>
    <t>JBUD02</t>
  </si>
  <si>
    <t>Llave Inglesa Ajustable 12" (Perico)</t>
  </si>
  <si>
    <t>712S1</t>
  </si>
  <si>
    <t>Llave Inglesa Ajustable 15" (Perico)</t>
  </si>
  <si>
    <t>Llave Steelson 14"</t>
  </si>
  <si>
    <t>814HD</t>
  </si>
  <si>
    <t>Llave Steelson 18"</t>
  </si>
  <si>
    <t>8518A</t>
  </si>
  <si>
    <t>Pinzas de presión de nariz 9"</t>
  </si>
  <si>
    <t>PNLB9</t>
  </si>
  <si>
    <t>Pinza de presión recta 10"</t>
  </si>
  <si>
    <t>293R</t>
  </si>
  <si>
    <t>Juego de Dados y accesorios 3/4"</t>
  </si>
  <si>
    <t>-</t>
  </si>
  <si>
    <t>86A</t>
  </si>
  <si>
    <t>Juego de limas con mango bimaterial de 9 piezas</t>
  </si>
  <si>
    <t>Escalera de Fibra de vidrio extensión a 6</t>
  </si>
  <si>
    <t>H-1194</t>
  </si>
  <si>
    <t>Escalera de Fibra de vidrio extensión a 24</t>
  </si>
  <si>
    <t>H-4138</t>
  </si>
  <si>
    <t>Escalera de Fibra de vidrio extensión a 28</t>
  </si>
  <si>
    <t>H-5621</t>
  </si>
  <si>
    <t>Escalera Plegable de 3 escalones</t>
  </si>
  <si>
    <t>H-7892</t>
  </si>
  <si>
    <t>Compresor de Aire Electrónico 8 Litros</t>
  </si>
  <si>
    <t>Lijadora para extensión 9 x 23.4 x 8.5 cm</t>
  </si>
  <si>
    <t>Pinzas para electricista 7"</t>
  </si>
  <si>
    <t>D-201-7</t>
  </si>
  <si>
    <t>Pinzas de punta cónica 8"</t>
  </si>
  <si>
    <t>D-203-8</t>
  </si>
  <si>
    <t>Pinzas de corte diagonal 7"</t>
  </si>
  <si>
    <t>D-220-7</t>
  </si>
  <si>
    <t>Guía Jalacable de nylon 30 mts</t>
  </si>
  <si>
    <t>14-N30</t>
  </si>
  <si>
    <t>Cable THW - C10 Caja 100m Negro</t>
  </si>
  <si>
    <t>Rllo</t>
  </si>
  <si>
    <t>Cable THW - C10 Caja 100m Blanco</t>
  </si>
  <si>
    <t>Cable THW - C10 Caja 100m Verde</t>
  </si>
  <si>
    <t>Cable THW - C12 Caja 100m Negro</t>
  </si>
  <si>
    <t>Cable THW - C12 Caja 100m Blanco</t>
  </si>
  <si>
    <t>Cable THW - C12 Caja 100m Verde</t>
  </si>
  <si>
    <t>Cable Desnudo C12 100m</t>
  </si>
  <si>
    <t>Interruptor termomagnético 80 amp 3 polos 120/240v 100 a Atornillable</t>
  </si>
  <si>
    <t>Sensor de movimiento Infrarrojo 306° con triple sensor SM-360-TS</t>
  </si>
  <si>
    <t>Tubo rígido metálico Conduit de lipo Ligero EV 21MM (3/4") 300 CMS</t>
  </si>
  <si>
    <t>Conector recto de acero para tubo de pared delgada (ETM) con tornillo de fijación 21 mm</t>
  </si>
  <si>
    <t>Finder</t>
  </si>
  <si>
    <t>Probador de Tensión sin contacto tipo Lápiz</t>
  </si>
  <si>
    <t>NCVT-41R</t>
  </si>
  <si>
    <t>Lámpara de mano recargable</t>
  </si>
  <si>
    <t>LAM-290</t>
  </si>
  <si>
    <t>Linterna LED tipo Minero en con batería recargable</t>
  </si>
  <si>
    <t>LAM-240</t>
  </si>
  <si>
    <t>Manifould R410/22/404/134</t>
  </si>
  <si>
    <t>QS8N3SM</t>
  </si>
  <si>
    <t>Multímetro Industrial</t>
  </si>
  <si>
    <t>Temporizador Electrónico 30A, 120-277 Voltaje, Modo Operación: 7 Días Número de canales</t>
  </si>
  <si>
    <t>ELLO-30-15-led-E53, color negro (Salas 1a 8), Luminario de empotrar quince luces de 45x</t>
  </si>
  <si>
    <t>ELLO-10-5-LED-E3, Color negro (Dulcerías 1,2,5 6, y galerías 3 y4), Luminario de empotrar cinco luces de 15x4.5x5 cms,, incluye dimmer electrónico de 10w 120/227v, de 850 Lúmenes</t>
  </si>
  <si>
    <t>Luminaria LED de 100w 127 - 277 v 60hz 0.757-0.359 a 4000k, Uso exterior</t>
  </si>
  <si>
    <t>Bomba de Vacío 7CFM, 2 Etapas</t>
  </si>
  <si>
    <t>Soldadora Inversora de 200A</t>
  </si>
  <si>
    <t>Taladro de Columna de Piso 15"</t>
  </si>
  <si>
    <t>Careta eléctrónica para soldar variable de 9 a 13 sombras</t>
  </si>
  <si>
    <t>Máscara de Cara completa Reutilizable</t>
  </si>
  <si>
    <t>Par de Cartuchos con Filtro para pascara</t>
  </si>
  <si>
    <t>CONCEPTO</t>
  </si>
  <si>
    <t>MODELO</t>
  </si>
  <si>
    <t>CANTIDAD</t>
  </si>
  <si>
    <t>UNIDAD</t>
  </si>
  <si>
    <t>P.U.</t>
  </si>
  <si>
    <t>TOTAL</t>
  </si>
  <si>
    <t>ACUMULADO</t>
  </si>
  <si>
    <t>E32, Luminario con anuncio de salida de acrílico con leds de color verde de 3w a 120- 220 vy bateria recargable de 6 a 8 hrs mod H-9</t>
  </si>
  <si>
    <t>RMC-20-LED-24V-HCNW , Luminario para riel magnético con LED de 20w a 24 VDC, en color negro de 200 lumenes</t>
  </si>
  <si>
    <t>Interruptor de temporizador mecánico de alta resistencia, metal, resistente a manipulaciones, voltaje 120, 240, 277 v, clasificación NEMA 3R, interior, temporizador para luminarias del camino a Ac, Vasco de Quiroga . Mpd GE 46536</t>
  </si>
  <si>
    <t>IVA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</si>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</sst>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.5"/>
      <color rgb="FF000000"/>
      <name val="Arial"/>
      <family val="2"/>
    </font>
    <font>
      <sz val="8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8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8" fontId="3" fillId="0" borderId="2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8" fontId="3" fillId="0" borderId="3" xfId="0" applyNumberFormat="1" applyFont="1" applyBorder="1" applyAlignment="1">
      <alignment horizontal="center" vertical="center" wrapText="1"/>
    </xf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280C-DE70-4F96-9EC6-6A12612E66CE}">
  <dimension ref="B6:K89"/>
  <sheetViews>
    <sheetView tabSelected="1" topLeftCell="A43" workbookViewId="0">
      <selection activeCell="I87" sqref="I87:J89"/>
    </sheetView>
  </sheetViews>
  <sheetFormatPr baseColWidth="10" defaultRowHeight="15" x14ac:dyDescent="0.25"/>
  <cols>
    <col min="1" max="1" width="3.7109375" customWidth="1"/>
    <col min="2" max="2" width="5.7109375" customWidth="1"/>
    <col min="3" max="3" width="17" customWidth="1"/>
    <col min="4" max="4" width="10.7109375" customWidth="1"/>
    <col min="5" max="5" width="9.7109375" customWidth="1"/>
    <col min="6" max="6" width="8.5703125" customWidth="1"/>
    <col min="7" max="8" width="11.42578125" hidden="1" customWidth="1"/>
    <col min="9" max="9" width="11.85546875" customWidth="1"/>
    <col min="10" max="10" width="12.7109375" bestFit="1" customWidth="1"/>
    <col min="11" max="11" width="13.28515625" customWidth="1"/>
  </cols>
  <sheetData>
    <row r="6" spans="2:11" x14ac:dyDescent="0.25">
      <c r="C6" s="5" t="s">
        <v>122</v>
      </c>
      <c r="D6" s="5" t="s">
        <v>123</v>
      </c>
      <c r="E6" s="5" t="s">
        <v>124</v>
      </c>
      <c r="F6" s="5" t="s">
        <v>125</v>
      </c>
      <c r="G6" s="5"/>
      <c r="H6" s="5"/>
      <c r="I6" s="5" t="s">
        <v>126</v>
      </c>
      <c r="J6" s="5" t="s">
        <v>127</v>
      </c>
      <c r="K6" s="6" t="s">
        <v>128</v>
      </c>
    </row>
    <row r="7" spans="2:11" ht="32.25" customHeight="1" x14ac:dyDescent="0.25">
      <c r="B7" s="1">
        <v>1</v>
      </c>
      <c r="C7" s="2" t="s">
        <v>0</v>
      </c>
      <c r="D7" s="2" t="s">
        <v>1</v>
      </c>
      <c r="E7" s="2">
        <v>14</v>
      </c>
      <c r="F7" s="2" t="s">
        <v>2</v>
      </c>
      <c r="G7" s="3">
        <v>79.5</v>
      </c>
      <c r="H7" s="4">
        <v>0.35</v>
      </c>
      <c r="I7" s="3">
        <f>G7*(1+H7)</f>
        <v>107.325</v>
      </c>
      <c r="J7" s="3">
        <f>E7*I7</f>
        <v>1502.55</v>
      </c>
      <c r="K7" s="3">
        <f>J7</f>
        <v>1502.55</v>
      </c>
    </row>
    <row r="8" spans="2:11" ht="32.25" customHeight="1" x14ac:dyDescent="0.25">
      <c r="B8" s="1">
        <v>2</v>
      </c>
      <c r="C8" s="2" t="s">
        <v>3</v>
      </c>
      <c r="D8" s="2" t="s">
        <v>4</v>
      </c>
      <c r="E8" s="2">
        <v>14</v>
      </c>
      <c r="F8" s="2" t="s">
        <v>2</v>
      </c>
      <c r="G8" s="3">
        <v>450.5</v>
      </c>
      <c r="H8" s="4">
        <v>0.35</v>
      </c>
      <c r="I8" s="3">
        <f t="shared" ref="I8:I69" si="0">G8*(1+H8)</f>
        <v>608.17500000000007</v>
      </c>
      <c r="J8" s="3">
        <f t="shared" ref="J8:J69" si="1">E8*I8</f>
        <v>8514.4500000000007</v>
      </c>
      <c r="K8" s="3">
        <f>K7+J8</f>
        <v>10017</v>
      </c>
    </row>
    <row r="9" spans="2:11" ht="32.25" customHeight="1" x14ac:dyDescent="0.25">
      <c r="B9" s="1">
        <v>3</v>
      </c>
      <c r="C9" s="2" t="s">
        <v>5</v>
      </c>
      <c r="D9" s="2" t="s">
        <v>6</v>
      </c>
      <c r="E9" s="2">
        <v>14</v>
      </c>
      <c r="F9" s="2" t="s">
        <v>2</v>
      </c>
      <c r="G9" s="3">
        <v>51.94</v>
      </c>
      <c r="H9" s="4">
        <v>0.35</v>
      </c>
      <c r="I9" s="3">
        <f t="shared" si="0"/>
        <v>70.119</v>
      </c>
      <c r="J9" s="3">
        <f t="shared" si="1"/>
        <v>981.66599999999994</v>
      </c>
      <c r="K9" s="3">
        <f>K8+J9</f>
        <v>10998.665999999999</v>
      </c>
    </row>
    <row r="10" spans="2:11" ht="32.25" customHeight="1" x14ac:dyDescent="0.25">
      <c r="B10" s="1">
        <v>4</v>
      </c>
      <c r="C10" s="2" t="s">
        <v>7</v>
      </c>
      <c r="D10" s="2" t="s">
        <v>8</v>
      </c>
      <c r="E10" s="2">
        <v>14</v>
      </c>
      <c r="F10" s="2" t="s">
        <v>9</v>
      </c>
      <c r="G10" s="3">
        <v>143.1</v>
      </c>
      <c r="H10" s="4">
        <v>0.35</v>
      </c>
      <c r="I10" s="3">
        <f t="shared" si="0"/>
        <v>193.185</v>
      </c>
      <c r="J10" s="3">
        <f t="shared" si="1"/>
        <v>2704.59</v>
      </c>
      <c r="K10" s="3">
        <f t="shared" ref="K10:K73" si="2">K9+J10</f>
        <v>13703.255999999999</v>
      </c>
    </row>
    <row r="11" spans="2:11" ht="32.25" customHeight="1" x14ac:dyDescent="0.25">
      <c r="B11" s="1">
        <v>5</v>
      </c>
      <c r="C11" s="2" t="s">
        <v>10</v>
      </c>
      <c r="D11" s="2" t="s">
        <v>11</v>
      </c>
      <c r="E11" s="2">
        <v>6</v>
      </c>
      <c r="F11" s="2" t="s">
        <v>9</v>
      </c>
      <c r="G11" s="3">
        <v>79.510000000000005</v>
      </c>
      <c r="H11" s="4">
        <v>0.35</v>
      </c>
      <c r="I11" s="3">
        <f t="shared" si="0"/>
        <v>107.33850000000001</v>
      </c>
      <c r="J11" s="3">
        <f t="shared" si="1"/>
        <v>644.03100000000006</v>
      </c>
      <c r="K11" s="3">
        <f t="shared" si="2"/>
        <v>14347.287</v>
      </c>
    </row>
    <row r="12" spans="2:11" ht="32.25" customHeight="1" x14ac:dyDescent="0.25">
      <c r="B12" s="1">
        <v>6</v>
      </c>
      <c r="C12" s="2" t="s">
        <v>12</v>
      </c>
      <c r="D12" s="2" t="s">
        <v>13</v>
      </c>
      <c r="E12" s="2">
        <v>3</v>
      </c>
      <c r="F12" s="2" t="s">
        <v>9</v>
      </c>
      <c r="G12" s="3">
        <v>768.5</v>
      </c>
      <c r="H12" s="4">
        <v>0.35</v>
      </c>
      <c r="I12" s="3">
        <f t="shared" si="0"/>
        <v>1037.4750000000001</v>
      </c>
      <c r="J12" s="3">
        <f t="shared" si="1"/>
        <v>3112.4250000000002</v>
      </c>
      <c r="K12" s="3">
        <f t="shared" si="2"/>
        <v>17459.712</v>
      </c>
    </row>
    <row r="13" spans="2:11" ht="32.25" customHeight="1" x14ac:dyDescent="0.25">
      <c r="B13" s="1">
        <v>7</v>
      </c>
      <c r="C13" s="2" t="s">
        <v>14</v>
      </c>
      <c r="D13" s="2" t="s">
        <v>15</v>
      </c>
      <c r="E13" s="2">
        <v>7</v>
      </c>
      <c r="F13" s="2" t="s">
        <v>9</v>
      </c>
      <c r="G13" s="3">
        <v>948.7</v>
      </c>
      <c r="H13" s="4">
        <v>0.35</v>
      </c>
      <c r="I13" s="3">
        <f t="shared" si="0"/>
        <v>1280.7450000000001</v>
      </c>
      <c r="J13" s="3">
        <f t="shared" si="1"/>
        <v>8965.2150000000001</v>
      </c>
      <c r="K13" s="3">
        <f t="shared" si="2"/>
        <v>26424.927</v>
      </c>
    </row>
    <row r="14" spans="2:11" ht="32.25" customHeight="1" x14ac:dyDescent="0.25">
      <c r="B14" s="1">
        <v>8</v>
      </c>
      <c r="C14" s="2" t="s">
        <v>16</v>
      </c>
      <c r="D14" s="2" t="s">
        <v>17</v>
      </c>
      <c r="E14" s="2">
        <v>15</v>
      </c>
      <c r="F14" s="2" t="s">
        <v>9</v>
      </c>
      <c r="G14" s="3">
        <v>386.91</v>
      </c>
      <c r="H14" s="4">
        <v>0.35</v>
      </c>
      <c r="I14" s="3">
        <f t="shared" si="0"/>
        <v>522.32850000000008</v>
      </c>
      <c r="J14" s="3">
        <f t="shared" si="1"/>
        <v>7834.9275000000016</v>
      </c>
      <c r="K14" s="3">
        <f t="shared" si="2"/>
        <v>34259.854500000001</v>
      </c>
    </row>
    <row r="15" spans="2:11" ht="32.25" customHeight="1" x14ac:dyDescent="0.25">
      <c r="B15" s="1">
        <v>9</v>
      </c>
      <c r="C15" s="2" t="s">
        <v>18</v>
      </c>
      <c r="D15" s="2" t="s">
        <v>19</v>
      </c>
      <c r="E15" s="2">
        <v>6</v>
      </c>
      <c r="F15" s="2" t="s">
        <v>9</v>
      </c>
      <c r="G15" s="3">
        <v>153.69999999999999</v>
      </c>
      <c r="H15" s="4">
        <v>0.35</v>
      </c>
      <c r="I15" s="3">
        <f t="shared" si="0"/>
        <v>207.495</v>
      </c>
      <c r="J15" s="3">
        <f t="shared" si="1"/>
        <v>1244.97</v>
      </c>
      <c r="K15" s="3">
        <f t="shared" si="2"/>
        <v>35504.824500000002</v>
      </c>
    </row>
    <row r="16" spans="2:11" ht="32.25" customHeight="1" x14ac:dyDescent="0.25">
      <c r="B16" s="1">
        <v>10</v>
      </c>
      <c r="C16" s="2" t="s">
        <v>20</v>
      </c>
      <c r="D16" s="2" t="s">
        <v>21</v>
      </c>
      <c r="E16" s="2">
        <v>6</v>
      </c>
      <c r="F16" s="2" t="s">
        <v>9</v>
      </c>
      <c r="G16" s="3">
        <v>116.6</v>
      </c>
      <c r="H16" s="4">
        <v>0.35</v>
      </c>
      <c r="I16" s="3">
        <f t="shared" si="0"/>
        <v>157.41</v>
      </c>
      <c r="J16" s="3">
        <f t="shared" si="1"/>
        <v>944.46</v>
      </c>
      <c r="K16" s="3">
        <f t="shared" si="2"/>
        <v>36449.284500000002</v>
      </c>
    </row>
    <row r="17" spans="2:11" ht="32.25" customHeight="1" x14ac:dyDescent="0.25">
      <c r="B17" s="1">
        <v>11</v>
      </c>
      <c r="C17" s="2" t="s">
        <v>22</v>
      </c>
      <c r="D17" s="2" t="s">
        <v>23</v>
      </c>
      <c r="E17" s="2">
        <v>9</v>
      </c>
      <c r="F17" s="2" t="s">
        <v>9</v>
      </c>
      <c r="G17" s="3">
        <v>116.6</v>
      </c>
      <c r="H17" s="4">
        <v>0.35</v>
      </c>
      <c r="I17" s="3">
        <f t="shared" si="0"/>
        <v>157.41</v>
      </c>
      <c r="J17" s="3">
        <f t="shared" si="1"/>
        <v>1416.69</v>
      </c>
      <c r="K17" s="3">
        <f t="shared" si="2"/>
        <v>37865.974500000004</v>
      </c>
    </row>
    <row r="18" spans="2:11" ht="32.25" customHeight="1" x14ac:dyDescent="0.25">
      <c r="B18" s="1">
        <v>12</v>
      </c>
      <c r="C18" s="2" t="s">
        <v>24</v>
      </c>
      <c r="D18" s="2" t="s">
        <v>25</v>
      </c>
      <c r="E18" s="2">
        <v>3</v>
      </c>
      <c r="F18" s="2" t="s">
        <v>9</v>
      </c>
      <c r="G18" s="3">
        <v>291.5</v>
      </c>
      <c r="H18" s="4">
        <v>0.35</v>
      </c>
      <c r="I18" s="3">
        <f t="shared" si="0"/>
        <v>393.52500000000003</v>
      </c>
      <c r="J18" s="3">
        <f t="shared" si="1"/>
        <v>1180.575</v>
      </c>
      <c r="K18" s="3">
        <f t="shared" si="2"/>
        <v>39046.549500000001</v>
      </c>
    </row>
    <row r="19" spans="2:11" ht="32.25" customHeight="1" x14ac:dyDescent="0.25">
      <c r="B19" s="1">
        <v>13</v>
      </c>
      <c r="C19" s="2" t="s">
        <v>26</v>
      </c>
      <c r="D19" s="2" t="s">
        <v>27</v>
      </c>
      <c r="E19" s="2">
        <v>3</v>
      </c>
      <c r="F19" s="2" t="s">
        <v>28</v>
      </c>
      <c r="G19" s="3">
        <v>270.3</v>
      </c>
      <c r="H19" s="4">
        <v>0.35</v>
      </c>
      <c r="I19" s="3">
        <f t="shared" si="0"/>
        <v>364.90500000000003</v>
      </c>
      <c r="J19" s="3">
        <f t="shared" si="1"/>
        <v>1094.7150000000001</v>
      </c>
      <c r="K19" s="3">
        <f t="shared" si="2"/>
        <v>40141.264500000005</v>
      </c>
    </row>
    <row r="20" spans="2:11" ht="32.25" customHeight="1" x14ac:dyDescent="0.25">
      <c r="B20" s="1">
        <v>14</v>
      </c>
      <c r="C20" s="2" t="s">
        <v>29</v>
      </c>
      <c r="D20" s="2" t="s">
        <v>30</v>
      </c>
      <c r="E20" s="2">
        <v>6</v>
      </c>
      <c r="F20" s="2" t="s">
        <v>9</v>
      </c>
      <c r="G20" s="3">
        <v>147.34</v>
      </c>
      <c r="H20" s="4">
        <v>0.35</v>
      </c>
      <c r="I20" s="3">
        <f t="shared" si="0"/>
        <v>198.90900000000002</v>
      </c>
      <c r="J20" s="3">
        <f t="shared" si="1"/>
        <v>1193.4540000000002</v>
      </c>
      <c r="K20" s="3">
        <f t="shared" si="2"/>
        <v>41334.718500000003</v>
      </c>
    </row>
    <row r="21" spans="2:11" ht="32.25" customHeight="1" x14ac:dyDescent="0.25">
      <c r="B21" s="1">
        <v>15</v>
      </c>
      <c r="C21" s="2" t="s">
        <v>31</v>
      </c>
      <c r="D21" s="2" t="s">
        <v>32</v>
      </c>
      <c r="E21" s="2">
        <v>14</v>
      </c>
      <c r="F21" s="2" t="s">
        <v>9</v>
      </c>
      <c r="G21" s="3">
        <v>715.5</v>
      </c>
      <c r="H21" s="4">
        <v>0.35</v>
      </c>
      <c r="I21" s="3">
        <f t="shared" si="0"/>
        <v>965.92500000000007</v>
      </c>
      <c r="J21" s="3">
        <f t="shared" si="1"/>
        <v>13522.95</v>
      </c>
      <c r="K21" s="3">
        <f t="shared" si="2"/>
        <v>54857.6685</v>
      </c>
    </row>
    <row r="22" spans="2:11" ht="32.25" customHeight="1" x14ac:dyDescent="0.25">
      <c r="B22" s="1">
        <v>16</v>
      </c>
      <c r="C22" s="2" t="s">
        <v>33</v>
      </c>
      <c r="D22" s="2" t="s">
        <v>34</v>
      </c>
      <c r="E22" s="2">
        <v>3</v>
      </c>
      <c r="F22" s="2" t="s">
        <v>9</v>
      </c>
      <c r="G22" s="3">
        <v>1404.5</v>
      </c>
      <c r="H22" s="4">
        <v>0.35</v>
      </c>
      <c r="I22" s="3">
        <f t="shared" si="0"/>
        <v>1896.075</v>
      </c>
      <c r="J22" s="3">
        <f t="shared" si="1"/>
        <v>5688.2250000000004</v>
      </c>
      <c r="K22" s="3">
        <f t="shared" si="2"/>
        <v>60545.893499999998</v>
      </c>
    </row>
    <row r="23" spans="2:11" ht="32.25" customHeight="1" x14ac:dyDescent="0.25">
      <c r="B23" s="1">
        <v>17</v>
      </c>
      <c r="C23" s="2" t="s">
        <v>35</v>
      </c>
      <c r="D23" s="2" t="s">
        <v>36</v>
      </c>
      <c r="E23" s="2">
        <v>3</v>
      </c>
      <c r="F23" s="2" t="s">
        <v>9</v>
      </c>
      <c r="G23" s="3">
        <v>227.89</v>
      </c>
      <c r="H23" s="4">
        <v>0.35</v>
      </c>
      <c r="I23" s="3">
        <f t="shared" si="0"/>
        <v>307.6515</v>
      </c>
      <c r="J23" s="3">
        <f t="shared" si="1"/>
        <v>922.95450000000005</v>
      </c>
      <c r="K23" s="3">
        <f t="shared" si="2"/>
        <v>61468.847999999998</v>
      </c>
    </row>
    <row r="24" spans="2:11" ht="32.25" customHeight="1" x14ac:dyDescent="0.25">
      <c r="B24" s="1">
        <v>18</v>
      </c>
      <c r="C24" s="2" t="s">
        <v>37</v>
      </c>
      <c r="D24" s="2" t="s">
        <v>38</v>
      </c>
      <c r="E24" s="2">
        <v>8</v>
      </c>
      <c r="F24" s="2" t="s">
        <v>28</v>
      </c>
      <c r="G24" s="3">
        <v>821.5</v>
      </c>
      <c r="H24" s="4">
        <v>0.35</v>
      </c>
      <c r="I24" s="3">
        <f t="shared" si="0"/>
        <v>1109.0250000000001</v>
      </c>
      <c r="J24" s="3">
        <f t="shared" si="1"/>
        <v>8872.2000000000007</v>
      </c>
      <c r="K24" s="3">
        <f t="shared" si="2"/>
        <v>70341.047999999995</v>
      </c>
    </row>
    <row r="25" spans="2:11" ht="32.25" customHeight="1" x14ac:dyDescent="0.25">
      <c r="B25" s="1">
        <v>19</v>
      </c>
      <c r="C25" s="2" t="s">
        <v>39</v>
      </c>
      <c r="D25" s="2" t="s">
        <v>40</v>
      </c>
      <c r="E25" s="2">
        <v>6</v>
      </c>
      <c r="F25" s="2" t="s">
        <v>2</v>
      </c>
      <c r="G25" s="3">
        <v>312.7</v>
      </c>
      <c r="H25" s="4">
        <v>0.35</v>
      </c>
      <c r="I25" s="3">
        <f t="shared" si="0"/>
        <v>422.14500000000004</v>
      </c>
      <c r="J25" s="3">
        <f t="shared" si="1"/>
        <v>2532.8700000000003</v>
      </c>
      <c r="K25" s="3">
        <f t="shared" si="2"/>
        <v>72873.917999999991</v>
      </c>
    </row>
    <row r="26" spans="2:11" ht="32.25" customHeight="1" x14ac:dyDescent="0.25">
      <c r="B26" s="1">
        <v>20</v>
      </c>
      <c r="C26" s="2" t="s">
        <v>41</v>
      </c>
      <c r="D26" s="2" t="s">
        <v>42</v>
      </c>
      <c r="E26" s="2">
        <v>3</v>
      </c>
      <c r="F26" s="2" t="s">
        <v>2</v>
      </c>
      <c r="G26" s="3">
        <v>4613.12</v>
      </c>
      <c r="H26" s="4">
        <v>0.35</v>
      </c>
      <c r="I26" s="3">
        <f t="shared" si="0"/>
        <v>6227.7120000000004</v>
      </c>
      <c r="J26" s="3">
        <f t="shared" si="1"/>
        <v>18683.136000000002</v>
      </c>
      <c r="K26" s="3">
        <f t="shared" si="2"/>
        <v>91557.053999999989</v>
      </c>
    </row>
    <row r="27" spans="2:11" ht="32.25" customHeight="1" x14ac:dyDescent="0.25">
      <c r="B27" s="1">
        <v>21</v>
      </c>
      <c r="C27" s="2" t="s">
        <v>43</v>
      </c>
      <c r="D27" s="2" t="s">
        <v>44</v>
      </c>
      <c r="E27" s="2">
        <v>3</v>
      </c>
      <c r="F27" s="2" t="s">
        <v>2</v>
      </c>
      <c r="G27" s="3">
        <v>4226.22</v>
      </c>
      <c r="H27" s="4">
        <v>0.35</v>
      </c>
      <c r="I27" s="3">
        <f t="shared" si="0"/>
        <v>5705.3970000000008</v>
      </c>
      <c r="J27" s="3">
        <f t="shared" si="1"/>
        <v>17116.191000000003</v>
      </c>
      <c r="K27" s="3">
        <f t="shared" si="2"/>
        <v>108673.245</v>
      </c>
    </row>
    <row r="28" spans="2:11" ht="32.25" customHeight="1" x14ac:dyDescent="0.25">
      <c r="B28" s="1">
        <v>22</v>
      </c>
      <c r="C28" s="2" t="s">
        <v>45</v>
      </c>
      <c r="D28" s="2" t="s">
        <v>46</v>
      </c>
      <c r="E28" s="2">
        <v>3</v>
      </c>
      <c r="F28" s="2" t="s">
        <v>9</v>
      </c>
      <c r="G28" s="3">
        <v>5109.2</v>
      </c>
      <c r="H28" s="4">
        <v>0.35</v>
      </c>
      <c r="I28" s="3">
        <f t="shared" si="0"/>
        <v>6897.42</v>
      </c>
      <c r="J28" s="3">
        <f t="shared" si="1"/>
        <v>20692.260000000002</v>
      </c>
      <c r="K28" s="3">
        <f t="shared" si="2"/>
        <v>129365.505</v>
      </c>
    </row>
    <row r="29" spans="2:11" ht="32.25" customHeight="1" x14ac:dyDescent="0.25">
      <c r="B29" s="1">
        <v>23</v>
      </c>
      <c r="C29" s="2" t="s">
        <v>47</v>
      </c>
      <c r="D29" s="2" t="s">
        <v>48</v>
      </c>
      <c r="E29" s="2">
        <v>2</v>
      </c>
      <c r="F29" s="2" t="s">
        <v>9</v>
      </c>
      <c r="G29" s="3">
        <v>3112.16</v>
      </c>
      <c r="H29" s="4">
        <v>0.35</v>
      </c>
      <c r="I29" s="3">
        <f t="shared" si="0"/>
        <v>4201.4160000000002</v>
      </c>
      <c r="J29" s="3">
        <f t="shared" si="1"/>
        <v>8402.8320000000003</v>
      </c>
      <c r="K29" s="3">
        <f t="shared" si="2"/>
        <v>137768.337</v>
      </c>
    </row>
    <row r="30" spans="2:11" ht="32.25" customHeight="1" x14ac:dyDescent="0.25">
      <c r="B30" s="1">
        <v>24</v>
      </c>
      <c r="C30" s="2" t="s">
        <v>49</v>
      </c>
      <c r="D30" s="2" t="s">
        <v>50</v>
      </c>
      <c r="E30" s="2">
        <v>3</v>
      </c>
      <c r="F30" s="2" t="s">
        <v>9</v>
      </c>
      <c r="G30" s="3">
        <v>2713.6</v>
      </c>
      <c r="H30" s="4">
        <v>0.35</v>
      </c>
      <c r="I30" s="3">
        <f t="shared" si="0"/>
        <v>3663.36</v>
      </c>
      <c r="J30" s="3">
        <f t="shared" si="1"/>
        <v>10990.08</v>
      </c>
      <c r="K30" s="3">
        <f t="shared" si="2"/>
        <v>148758.41699999999</v>
      </c>
    </row>
    <row r="31" spans="2:11" ht="32.25" customHeight="1" x14ac:dyDescent="0.25">
      <c r="B31" s="1">
        <v>25</v>
      </c>
      <c r="C31" s="2" t="s">
        <v>51</v>
      </c>
      <c r="D31" s="2" t="s">
        <v>52</v>
      </c>
      <c r="E31" s="2">
        <v>6</v>
      </c>
      <c r="F31" s="2" t="s">
        <v>9</v>
      </c>
      <c r="G31" s="3">
        <v>3148.2</v>
      </c>
      <c r="H31" s="4">
        <v>0.35</v>
      </c>
      <c r="I31" s="3">
        <f t="shared" si="0"/>
        <v>4250.07</v>
      </c>
      <c r="J31" s="3">
        <f t="shared" si="1"/>
        <v>25500.42</v>
      </c>
      <c r="K31" s="3">
        <f t="shared" si="2"/>
        <v>174258.837</v>
      </c>
    </row>
    <row r="32" spans="2:11" ht="32.25" customHeight="1" x14ac:dyDescent="0.25">
      <c r="B32" s="1">
        <v>26</v>
      </c>
      <c r="C32" s="2" t="s">
        <v>53</v>
      </c>
      <c r="D32" s="2" t="s">
        <v>54</v>
      </c>
      <c r="E32" s="2">
        <v>1</v>
      </c>
      <c r="F32" s="2" t="s">
        <v>9</v>
      </c>
      <c r="G32" s="3">
        <v>3494.82</v>
      </c>
      <c r="H32" s="4">
        <v>0.35</v>
      </c>
      <c r="I32" s="3">
        <f t="shared" si="0"/>
        <v>4718.0070000000005</v>
      </c>
      <c r="J32" s="3">
        <f t="shared" si="1"/>
        <v>4718.0070000000005</v>
      </c>
      <c r="K32" s="3">
        <f t="shared" si="2"/>
        <v>178976.84400000001</v>
      </c>
    </row>
    <row r="33" spans="2:11" ht="32.25" customHeight="1" x14ac:dyDescent="0.25">
      <c r="B33" s="1">
        <v>27</v>
      </c>
      <c r="C33" s="2" t="s">
        <v>55</v>
      </c>
      <c r="D33" s="2" t="s">
        <v>56</v>
      </c>
      <c r="E33" s="2">
        <v>14</v>
      </c>
      <c r="F33" s="2" t="s">
        <v>28</v>
      </c>
      <c r="G33" s="3">
        <v>504.63</v>
      </c>
      <c r="H33" s="4">
        <v>0.35</v>
      </c>
      <c r="I33" s="3">
        <f t="shared" si="0"/>
        <v>681.25049999999999</v>
      </c>
      <c r="J33" s="3">
        <f t="shared" si="1"/>
        <v>9537.5069999999996</v>
      </c>
      <c r="K33" s="3">
        <f t="shared" si="2"/>
        <v>188514.35100000002</v>
      </c>
    </row>
    <row r="34" spans="2:11" ht="32.25" customHeight="1" x14ac:dyDescent="0.25">
      <c r="B34" s="1">
        <v>28</v>
      </c>
      <c r="C34" s="2" t="s">
        <v>57</v>
      </c>
      <c r="D34" s="2" t="s">
        <v>58</v>
      </c>
      <c r="E34" s="2">
        <v>8</v>
      </c>
      <c r="F34" s="2" t="s">
        <v>9</v>
      </c>
      <c r="G34" s="3">
        <v>397.41</v>
      </c>
      <c r="H34" s="4">
        <v>0.35</v>
      </c>
      <c r="I34" s="3">
        <f t="shared" si="0"/>
        <v>536.50350000000003</v>
      </c>
      <c r="J34" s="3">
        <f t="shared" si="1"/>
        <v>4292.0280000000002</v>
      </c>
      <c r="K34" s="3">
        <f t="shared" si="2"/>
        <v>192806.37900000002</v>
      </c>
    </row>
    <row r="35" spans="2:11" ht="32.25" customHeight="1" x14ac:dyDescent="0.25">
      <c r="B35" s="1">
        <v>29</v>
      </c>
      <c r="C35" s="2" t="s">
        <v>59</v>
      </c>
      <c r="D35" s="2" t="s">
        <v>58</v>
      </c>
      <c r="E35" s="2">
        <v>8</v>
      </c>
      <c r="F35" s="2" t="s">
        <v>9</v>
      </c>
      <c r="G35" s="3">
        <v>854.82</v>
      </c>
      <c r="H35" s="4">
        <v>0.35</v>
      </c>
      <c r="I35" s="3">
        <f t="shared" si="0"/>
        <v>1154.0070000000001</v>
      </c>
      <c r="J35" s="3">
        <f t="shared" si="1"/>
        <v>9232.0560000000005</v>
      </c>
      <c r="K35" s="3">
        <f t="shared" si="2"/>
        <v>202038.43500000003</v>
      </c>
    </row>
    <row r="36" spans="2:11" ht="32.25" customHeight="1" x14ac:dyDescent="0.25">
      <c r="B36" s="1">
        <v>30</v>
      </c>
      <c r="C36" s="2" t="s">
        <v>60</v>
      </c>
      <c r="D36" s="2" t="s">
        <v>61</v>
      </c>
      <c r="E36" s="2">
        <v>6</v>
      </c>
      <c r="F36" s="2" t="s">
        <v>9</v>
      </c>
      <c r="G36" s="3">
        <v>887.28</v>
      </c>
      <c r="H36" s="4">
        <v>0.35</v>
      </c>
      <c r="I36" s="3">
        <f t="shared" si="0"/>
        <v>1197.828</v>
      </c>
      <c r="J36" s="3">
        <f t="shared" si="1"/>
        <v>7186.9679999999998</v>
      </c>
      <c r="K36" s="3">
        <f t="shared" si="2"/>
        <v>209225.40300000002</v>
      </c>
    </row>
    <row r="37" spans="2:11" ht="32.25" customHeight="1" x14ac:dyDescent="0.25">
      <c r="B37" s="1">
        <v>31</v>
      </c>
      <c r="C37" s="2" t="s">
        <v>62</v>
      </c>
      <c r="D37" s="2" t="s">
        <v>63</v>
      </c>
      <c r="E37" s="2">
        <v>6</v>
      </c>
      <c r="F37" s="2" t="s">
        <v>9</v>
      </c>
      <c r="G37" s="3">
        <v>675.79</v>
      </c>
      <c r="H37" s="4">
        <v>0.35</v>
      </c>
      <c r="I37" s="3">
        <f t="shared" si="0"/>
        <v>912.31650000000002</v>
      </c>
      <c r="J37" s="3">
        <f t="shared" si="1"/>
        <v>5473.8990000000003</v>
      </c>
      <c r="K37" s="3">
        <f t="shared" si="2"/>
        <v>214699.30200000003</v>
      </c>
    </row>
    <row r="38" spans="2:11" ht="32.25" customHeight="1" x14ac:dyDescent="0.25">
      <c r="B38" s="1">
        <v>32</v>
      </c>
      <c r="C38" s="2" t="s">
        <v>64</v>
      </c>
      <c r="D38" s="2" t="s">
        <v>65</v>
      </c>
      <c r="E38" s="2">
        <v>6</v>
      </c>
      <c r="F38" s="2" t="s">
        <v>9</v>
      </c>
      <c r="G38" s="3">
        <v>887.28</v>
      </c>
      <c r="H38" s="4">
        <v>0.35</v>
      </c>
      <c r="I38" s="3">
        <f t="shared" si="0"/>
        <v>1197.828</v>
      </c>
      <c r="J38" s="3">
        <f t="shared" si="1"/>
        <v>7186.9679999999998</v>
      </c>
      <c r="K38" s="3">
        <f t="shared" si="2"/>
        <v>221886.27000000002</v>
      </c>
    </row>
    <row r="39" spans="2:11" ht="32.25" customHeight="1" x14ac:dyDescent="0.25">
      <c r="B39" s="1">
        <v>33</v>
      </c>
      <c r="C39" s="2" t="s">
        <v>66</v>
      </c>
      <c r="D39" s="2" t="s">
        <v>67</v>
      </c>
      <c r="E39" s="2">
        <v>6</v>
      </c>
      <c r="F39" s="2" t="s">
        <v>9</v>
      </c>
      <c r="G39" s="3">
        <v>854.82</v>
      </c>
      <c r="H39" s="4">
        <v>0.35</v>
      </c>
      <c r="I39" s="3">
        <f t="shared" si="0"/>
        <v>1154.0070000000001</v>
      </c>
      <c r="J39" s="3">
        <f t="shared" si="1"/>
        <v>6924.0420000000004</v>
      </c>
      <c r="K39" s="3">
        <f t="shared" si="2"/>
        <v>228810.31200000001</v>
      </c>
    </row>
    <row r="40" spans="2:11" ht="32.25" customHeight="1" x14ac:dyDescent="0.25">
      <c r="B40" s="1">
        <v>34</v>
      </c>
      <c r="C40" s="2" t="s">
        <v>68</v>
      </c>
      <c r="D40" s="2">
        <v>55104</v>
      </c>
      <c r="E40" s="2">
        <v>3</v>
      </c>
      <c r="F40" s="2" t="s">
        <v>9</v>
      </c>
      <c r="G40" s="3">
        <v>397.41</v>
      </c>
      <c r="H40" s="4">
        <v>0.35</v>
      </c>
      <c r="I40" s="3">
        <f t="shared" si="0"/>
        <v>536.50350000000003</v>
      </c>
      <c r="J40" s="3">
        <f t="shared" si="1"/>
        <v>1609.5105000000001</v>
      </c>
      <c r="K40" s="3">
        <f t="shared" si="2"/>
        <v>230419.82250000001</v>
      </c>
    </row>
    <row r="41" spans="2:11" ht="32.25" customHeight="1" x14ac:dyDescent="0.25">
      <c r="B41" s="1">
        <v>35</v>
      </c>
      <c r="C41" s="2" t="s">
        <v>69</v>
      </c>
      <c r="D41" s="2" t="s">
        <v>70</v>
      </c>
      <c r="E41" s="2">
        <v>6</v>
      </c>
      <c r="F41" s="2" t="s">
        <v>9</v>
      </c>
      <c r="G41" s="3">
        <v>504.63</v>
      </c>
      <c r="H41" s="4">
        <v>0.35</v>
      </c>
      <c r="I41" s="3">
        <f t="shared" si="0"/>
        <v>681.25049999999999</v>
      </c>
      <c r="J41" s="3">
        <f t="shared" si="1"/>
        <v>4087.5029999999997</v>
      </c>
      <c r="K41" s="3">
        <f t="shared" si="2"/>
        <v>234507.32550000001</v>
      </c>
    </row>
    <row r="42" spans="2:11" ht="32.25" customHeight="1" x14ac:dyDescent="0.25">
      <c r="B42" s="1">
        <v>36</v>
      </c>
      <c r="C42" s="2" t="s">
        <v>71</v>
      </c>
      <c r="D42" s="2">
        <v>195164</v>
      </c>
      <c r="E42" s="2">
        <v>6</v>
      </c>
      <c r="F42" s="2" t="s">
        <v>9</v>
      </c>
      <c r="G42" s="3">
        <v>5735.66</v>
      </c>
      <c r="H42" s="4">
        <v>0.35</v>
      </c>
      <c r="I42" s="3">
        <f t="shared" si="0"/>
        <v>7743.1410000000005</v>
      </c>
      <c r="J42" s="3">
        <f t="shared" si="1"/>
        <v>46458.846000000005</v>
      </c>
      <c r="K42" s="3">
        <f t="shared" si="2"/>
        <v>280966.1715</v>
      </c>
    </row>
    <row r="43" spans="2:11" ht="32.25" customHeight="1" x14ac:dyDescent="0.25">
      <c r="B43" s="1">
        <v>37</v>
      </c>
      <c r="C43" s="2" t="s">
        <v>72</v>
      </c>
      <c r="D43" s="2" t="s">
        <v>73</v>
      </c>
      <c r="E43" s="2">
        <v>3</v>
      </c>
      <c r="F43" s="2" t="s">
        <v>2</v>
      </c>
      <c r="G43" s="3">
        <v>9855.24</v>
      </c>
      <c r="H43" s="4">
        <v>0.35</v>
      </c>
      <c r="I43" s="3">
        <f t="shared" si="0"/>
        <v>13304.574000000001</v>
      </c>
      <c r="J43" s="3">
        <f t="shared" si="1"/>
        <v>39913.722000000002</v>
      </c>
      <c r="K43" s="3">
        <f t="shared" si="2"/>
        <v>320879.89350000001</v>
      </c>
    </row>
    <row r="44" spans="2:11" ht="32.25" customHeight="1" x14ac:dyDescent="0.25">
      <c r="B44" s="1">
        <v>38</v>
      </c>
      <c r="C44" s="2" t="s">
        <v>74</v>
      </c>
      <c r="D44" s="2" t="s">
        <v>75</v>
      </c>
      <c r="E44" s="2">
        <v>3</v>
      </c>
      <c r="F44" s="2" t="s">
        <v>2</v>
      </c>
      <c r="G44" s="3">
        <v>24865.59</v>
      </c>
      <c r="H44" s="4">
        <v>0.35</v>
      </c>
      <c r="I44" s="3">
        <f t="shared" si="0"/>
        <v>33568.546500000004</v>
      </c>
      <c r="J44" s="3">
        <f t="shared" si="1"/>
        <v>100705.63950000002</v>
      </c>
      <c r="K44" s="3">
        <f t="shared" si="2"/>
        <v>421585.53300000005</v>
      </c>
    </row>
    <row r="45" spans="2:11" ht="32.25" customHeight="1" x14ac:dyDescent="0.25">
      <c r="B45" s="1">
        <v>39</v>
      </c>
      <c r="C45" s="2" t="s">
        <v>76</v>
      </c>
      <c r="D45" s="2" t="s">
        <v>77</v>
      </c>
      <c r="E45" s="2">
        <v>3</v>
      </c>
      <c r="F45" s="2" t="s">
        <v>2</v>
      </c>
      <c r="G45" s="3">
        <v>15486.81</v>
      </c>
      <c r="H45" s="4">
        <v>0.35</v>
      </c>
      <c r="I45" s="3">
        <f t="shared" si="0"/>
        <v>20907.193500000001</v>
      </c>
      <c r="J45" s="3">
        <f t="shared" si="1"/>
        <v>62721.580500000004</v>
      </c>
      <c r="K45" s="3">
        <f t="shared" si="2"/>
        <v>484307.11350000004</v>
      </c>
    </row>
    <row r="46" spans="2:11" ht="32.25" customHeight="1" x14ac:dyDescent="0.25">
      <c r="B46" s="1">
        <v>40</v>
      </c>
      <c r="C46" s="2" t="s">
        <v>78</v>
      </c>
      <c r="D46" s="2" t="s">
        <v>79</v>
      </c>
      <c r="E46" s="2">
        <v>6</v>
      </c>
      <c r="F46" s="2" t="s">
        <v>2</v>
      </c>
      <c r="G46" s="3">
        <v>11911.75</v>
      </c>
      <c r="H46" s="4">
        <v>0.35</v>
      </c>
      <c r="I46" s="3">
        <f t="shared" si="0"/>
        <v>16080.862500000001</v>
      </c>
      <c r="J46" s="3">
        <f t="shared" si="1"/>
        <v>96485.175000000003</v>
      </c>
      <c r="K46" s="3">
        <f t="shared" si="2"/>
        <v>580792.28850000002</v>
      </c>
    </row>
    <row r="47" spans="2:11" ht="32.25" customHeight="1" x14ac:dyDescent="0.25">
      <c r="B47" s="1">
        <v>41</v>
      </c>
      <c r="C47" s="2" t="s">
        <v>80</v>
      </c>
      <c r="D47" s="2" t="s">
        <v>69</v>
      </c>
      <c r="E47" s="2">
        <v>3</v>
      </c>
      <c r="F47" s="2" t="s">
        <v>2</v>
      </c>
      <c r="G47" s="3">
        <v>3184.66</v>
      </c>
      <c r="H47" s="4">
        <v>0.35</v>
      </c>
      <c r="I47" s="3">
        <f t="shared" si="0"/>
        <v>4299.2910000000002</v>
      </c>
      <c r="J47" s="3">
        <f t="shared" si="1"/>
        <v>12897.873</v>
      </c>
      <c r="K47" s="3">
        <f t="shared" si="2"/>
        <v>593690.16150000005</v>
      </c>
    </row>
    <row r="48" spans="2:11" ht="32.25" customHeight="1" x14ac:dyDescent="0.25">
      <c r="B48" s="1">
        <v>42</v>
      </c>
      <c r="C48" s="2" t="s">
        <v>81</v>
      </c>
      <c r="D48" s="2" t="s">
        <v>69</v>
      </c>
      <c r="E48" s="2">
        <v>3</v>
      </c>
      <c r="F48" s="2" t="s">
        <v>2</v>
      </c>
      <c r="G48" s="3">
        <v>318</v>
      </c>
      <c r="H48" s="4">
        <v>0.35</v>
      </c>
      <c r="I48" s="3">
        <f t="shared" si="0"/>
        <v>429.3</v>
      </c>
      <c r="J48" s="3">
        <f t="shared" si="1"/>
        <v>1287.9000000000001</v>
      </c>
      <c r="K48" s="3">
        <f t="shared" si="2"/>
        <v>594978.06150000007</v>
      </c>
    </row>
    <row r="49" spans="2:11" ht="32.25" customHeight="1" x14ac:dyDescent="0.25">
      <c r="B49" s="1">
        <v>43</v>
      </c>
      <c r="C49" s="2" t="s">
        <v>82</v>
      </c>
      <c r="D49" s="2" t="s">
        <v>83</v>
      </c>
      <c r="E49" s="2">
        <v>14</v>
      </c>
      <c r="F49" s="2" t="s">
        <v>9</v>
      </c>
      <c r="G49" s="3">
        <v>869.2</v>
      </c>
      <c r="H49" s="4">
        <v>0.35</v>
      </c>
      <c r="I49" s="3">
        <f t="shared" si="0"/>
        <v>1173.42</v>
      </c>
      <c r="J49" s="3">
        <f t="shared" si="1"/>
        <v>16427.88</v>
      </c>
      <c r="K49" s="3">
        <f t="shared" si="2"/>
        <v>611405.94150000007</v>
      </c>
    </row>
    <row r="50" spans="2:11" ht="32.25" customHeight="1" x14ac:dyDescent="0.25">
      <c r="B50" s="1">
        <v>44</v>
      </c>
      <c r="C50" s="2" t="s">
        <v>84</v>
      </c>
      <c r="D50" s="2" t="s">
        <v>85</v>
      </c>
      <c r="E50" s="2">
        <v>14</v>
      </c>
      <c r="F50" s="2" t="s">
        <v>9</v>
      </c>
      <c r="G50" s="3">
        <v>848</v>
      </c>
      <c r="H50" s="4">
        <v>0.35</v>
      </c>
      <c r="I50" s="3">
        <f t="shared" si="0"/>
        <v>1144.8000000000002</v>
      </c>
      <c r="J50" s="3">
        <f t="shared" si="1"/>
        <v>16027.200000000003</v>
      </c>
      <c r="K50" s="3">
        <f t="shared" si="2"/>
        <v>627433.14150000003</v>
      </c>
    </row>
    <row r="51" spans="2:11" ht="32.25" customHeight="1" x14ac:dyDescent="0.25">
      <c r="B51" s="1">
        <v>45</v>
      </c>
      <c r="C51" s="2" t="s">
        <v>86</v>
      </c>
      <c r="D51" s="2" t="s">
        <v>87</v>
      </c>
      <c r="E51" s="2">
        <v>14</v>
      </c>
      <c r="F51" s="2" t="s">
        <v>9</v>
      </c>
      <c r="G51" s="3">
        <v>530</v>
      </c>
      <c r="H51" s="4">
        <v>0.35</v>
      </c>
      <c r="I51" s="3">
        <f t="shared" si="0"/>
        <v>715.5</v>
      </c>
      <c r="J51" s="3">
        <f t="shared" si="1"/>
        <v>10017</v>
      </c>
      <c r="K51" s="3">
        <f t="shared" si="2"/>
        <v>637450.14150000003</v>
      </c>
    </row>
    <row r="52" spans="2:11" ht="32.25" customHeight="1" x14ac:dyDescent="0.25">
      <c r="B52" s="1">
        <v>46</v>
      </c>
      <c r="C52" s="2" t="s">
        <v>88</v>
      </c>
      <c r="D52" s="2" t="s">
        <v>89</v>
      </c>
      <c r="E52" s="2">
        <v>6</v>
      </c>
      <c r="F52" s="2" t="s">
        <v>9</v>
      </c>
      <c r="G52" s="3">
        <v>1272</v>
      </c>
      <c r="H52" s="4">
        <v>0.35</v>
      </c>
      <c r="I52" s="3">
        <f t="shared" si="0"/>
        <v>1717.2</v>
      </c>
      <c r="J52" s="3">
        <f t="shared" si="1"/>
        <v>10303.200000000001</v>
      </c>
      <c r="K52" s="3">
        <f t="shared" si="2"/>
        <v>647753.34149999998</v>
      </c>
    </row>
    <row r="53" spans="2:11" ht="32.25" customHeight="1" x14ac:dyDescent="0.25">
      <c r="B53" s="1">
        <v>47</v>
      </c>
      <c r="C53" s="2" t="s">
        <v>90</v>
      </c>
      <c r="D53" s="2" t="s">
        <v>69</v>
      </c>
      <c r="E53" s="2">
        <v>5</v>
      </c>
      <c r="F53" s="2" t="s">
        <v>91</v>
      </c>
      <c r="G53" s="3">
        <v>2756.19</v>
      </c>
      <c r="H53" s="4">
        <v>0.35</v>
      </c>
      <c r="I53" s="3">
        <f t="shared" si="0"/>
        <v>3720.8565000000003</v>
      </c>
      <c r="J53" s="3">
        <f t="shared" si="1"/>
        <v>18604.282500000001</v>
      </c>
      <c r="K53" s="3">
        <f t="shared" si="2"/>
        <v>666357.62399999995</v>
      </c>
    </row>
    <row r="54" spans="2:11" ht="32.25" customHeight="1" x14ac:dyDescent="0.25">
      <c r="B54" s="1">
        <v>48</v>
      </c>
      <c r="C54" s="2" t="s">
        <v>92</v>
      </c>
      <c r="D54" s="2" t="s">
        <v>69</v>
      </c>
      <c r="E54" s="2">
        <v>5</v>
      </c>
      <c r="F54" s="2" t="s">
        <v>91</v>
      </c>
      <c r="G54" s="3">
        <v>2756.19</v>
      </c>
      <c r="H54" s="4">
        <v>0.35</v>
      </c>
      <c r="I54" s="3">
        <f t="shared" si="0"/>
        <v>3720.8565000000003</v>
      </c>
      <c r="J54" s="3">
        <f t="shared" si="1"/>
        <v>18604.282500000001</v>
      </c>
      <c r="K54" s="3">
        <f t="shared" si="2"/>
        <v>684961.90649999992</v>
      </c>
    </row>
    <row r="55" spans="2:11" ht="32.25" customHeight="1" x14ac:dyDescent="0.25">
      <c r="B55" s="1">
        <v>49</v>
      </c>
      <c r="C55" s="2" t="s">
        <v>93</v>
      </c>
      <c r="D55" s="2" t="s">
        <v>69</v>
      </c>
      <c r="E55" s="2">
        <v>5</v>
      </c>
      <c r="F55" s="2" t="s">
        <v>91</v>
      </c>
      <c r="G55" s="3">
        <v>2756.19</v>
      </c>
      <c r="H55" s="4">
        <v>0.35</v>
      </c>
      <c r="I55" s="3">
        <f t="shared" si="0"/>
        <v>3720.8565000000003</v>
      </c>
      <c r="J55" s="3">
        <f t="shared" si="1"/>
        <v>18604.282500000001</v>
      </c>
      <c r="K55" s="3">
        <f t="shared" si="2"/>
        <v>703566.1889999999</v>
      </c>
    </row>
    <row r="56" spans="2:11" ht="32.25" customHeight="1" x14ac:dyDescent="0.25">
      <c r="B56" s="1">
        <v>50</v>
      </c>
      <c r="C56" s="2" t="s">
        <v>94</v>
      </c>
      <c r="D56" s="2" t="s">
        <v>69</v>
      </c>
      <c r="E56" s="2">
        <v>10</v>
      </c>
      <c r="F56" s="2" t="s">
        <v>91</v>
      </c>
      <c r="G56" s="3">
        <v>1743.35</v>
      </c>
      <c r="H56" s="4">
        <v>0.35</v>
      </c>
      <c r="I56" s="3">
        <f t="shared" si="0"/>
        <v>2353.5225</v>
      </c>
      <c r="J56" s="3">
        <f t="shared" si="1"/>
        <v>23535.224999999999</v>
      </c>
      <c r="K56" s="3">
        <f t="shared" si="2"/>
        <v>727101.41399999987</v>
      </c>
    </row>
    <row r="57" spans="2:11" ht="32.25" customHeight="1" x14ac:dyDescent="0.25">
      <c r="B57" s="1">
        <v>51</v>
      </c>
      <c r="C57" s="2" t="s">
        <v>95</v>
      </c>
      <c r="D57" s="2" t="s">
        <v>69</v>
      </c>
      <c r="E57" s="2">
        <v>10</v>
      </c>
      <c r="F57" s="2" t="s">
        <v>91</v>
      </c>
      <c r="G57" s="3">
        <v>1743.35</v>
      </c>
      <c r="H57" s="4">
        <v>0.35</v>
      </c>
      <c r="I57" s="3">
        <f t="shared" si="0"/>
        <v>2353.5225</v>
      </c>
      <c r="J57" s="3">
        <f t="shared" si="1"/>
        <v>23535.224999999999</v>
      </c>
      <c r="K57" s="3">
        <f t="shared" si="2"/>
        <v>750636.63899999985</v>
      </c>
    </row>
    <row r="58" spans="2:11" ht="32.25" customHeight="1" x14ac:dyDescent="0.25">
      <c r="B58" s="1">
        <v>52</v>
      </c>
      <c r="C58" s="2" t="s">
        <v>96</v>
      </c>
      <c r="D58" s="2" t="s">
        <v>69</v>
      </c>
      <c r="E58" s="2">
        <v>10</v>
      </c>
      <c r="F58" s="2" t="s">
        <v>91</v>
      </c>
      <c r="G58" s="3">
        <v>1743.35</v>
      </c>
      <c r="H58" s="4">
        <v>0.35</v>
      </c>
      <c r="I58" s="3">
        <f t="shared" si="0"/>
        <v>2353.5225</v>
      </c>
      <c r="J58" s="3">
        <f t="shared" si="1"/>
        <v>23535.224999999999</v>
      </c>
      <c r="K58" s="3">
        <f t="shared" si="2"/>
        <v>774171.86399999983</v>
      </c>
    </row>
    <row r="59" spans="2:11" ht="32.25" customHeight="1" x14ac:dyDescent="0.25">
      <c r="B59" s="1">
        <v>53</v>
      </c>
      <c r="C59" s="2" t="s">
        <v>97</v>
      </c>
      <c r="D59" s="2" t="s">
        <v>69</v>
      </c>
      <c r="E59" s="2">
        <v>8</v>
      </c>
      <c r="F59" s="2" t="s">
        <v>91</v>
      </c>
      <c r="G59" s="3">
        <v>1171.5899999999999</v>
      </c>
      <c r="H59" s="4">
        <v>0.35</v>
      </c>
      <c r="I59" s="3">
        <f t="shared" si="0"/>
        <v>1581.6465000000001</v>
      </c>
      <c r="J59" s="3">
        <f t="shared" si="1"/>
        <v>12653.172</v>
      </c>
      <c r="K59" s="3">
        <f t="shared" si="2"/>
        <v>786825.03599999985</v>
      </c>
    </row>
    <row r="60" spans="2:11" ht="42" customHeight="1" x14ac:dyDescent="0.25">
      <c r="B60" s="1">
        <v>54</v>
      </c>
      <c r="C60" s="2" t="s">
        <v>98</v>
      </c>
      <c r="D60" s="2" t="s">
        <v>69</v>
      </c>
      <c r="E60" s="2">
        <v>2</v>
      </c>
      <c r="F60" s="2" t="s">
        <v>2</v>
      </c>
      <c r="G60" s="3">
        <v>3890.71</v>
      </c>
      <c r="H60" s="4">
        <v>0.35</v>
      </c>
      <c r="I60" s="3">
        <f t="shared" si="0"/>
        <v>5252.4585000000006</v>
      </c>
      <c r="J60" s="3">
        <f t="shared" si="1"/>
        <v>10504.917000000001</v>
      </c>
      <c r="K60" s="3">
        <f t="shared" si="2"/>
        <v>797329.95299999986</v>
      </c>
    </row>
    <row r="61" spans="2:11" ht="43.5" customHeight="1" x14ac:dyDescent="0.25">
      <c r="B61" s="1">
        <v>55</v>
      </c>
      <c r="C61" s="2" t="s">
        <v>98</v>
      </c>
      <c r="D61" s="2" t="s">
        <v>69</v>
      </c>
      <c r="E61" s="2">
        <v>4</v>
      </c>
      <c r="F61" s="2" t="s">
        <v>2</v>
      </c>
      <c r="G61" s="3">
        <v>1972.87</v>
      </c>
      <c r="H61" s="4">
        <v>0.35</v>
      </c>
      <c r="I61" s="3">
        <f t="shared" si="0"/>
        <v>2663.3744999999999</v>
      </c>
      <c r="J61" s="3">
        <f t="shared" si="1"/>
        <v>10653.498</v>
      </c>
      <c r="K61" s="3">
        <f t="shared" si="2"/>
        <v>807983.45099999988</v>
      </c>
    </row>
    <row r="62" spans="2:11" ht="32.25" customHeight="1" x14ac:dyDescent="0.25">
      <c r="B62" s="1">
        <v>56</v>
      </c>
      <c r="C62" s="2" t="s">
        <v>99</v>
      </c>
      <c r="D62" s="2" t="s">
        <v>69</v>
      </c>
      <c r="E62" s="2">
        <v>22</v>
      </c>
      <c r="F62" s="2" t="s">
        <v>2</v>
      </c>
      <c r="G62" s="3">
        <v>516.42999999999995</v>
      </c>
      <c r="H62" s="4">
        <v>0.35</v>
      </c>
      <c r="I62" s="3">
        <f t="shared" si="0"/>
        <v>697.18049999999994</v>
      </c>
      <c r="J62" s="3">
        <f t="shared" si="1"/>
        <v>15337.970999999998</v>
      </c>
      <c r="K62" s="3">
        <f t="shared" si="2"/>
        <v>823321.4219999999</v>
      </c>
    </row>
    <row r="63" spans="2:11" ht="69" customHeight="1" x14ac:dyDescent="0.25">
      <c r="B63" s="1">
        <v>57</v>
      </c>
      <c r="C63" s="2" t="s">
        <v>129</v>
      </c>
      <c r="D63" s="2" t="s">
        <v>69</v>
      </c>
      <c r="E63" s="2">
        <v>8</v>
      </c>
      <c r="F63" s="2" t="s">
        <v>2</v>
      </c>
      <c r="G63" s="3">
        <v>1273.6199999999999</v>
      </c>
      <c r="H63" s="4">
        <v>0.35</v>
      </c>
      <c r="I63" s="3">
        <f t="shared" si="0"/>
        <v>1719.3869999999999</v>
      </c>
      <c r="J63" s="3">
        <f t="shared" si="1"/>
        <v>13755.096</v>
      </c>
      <c r="K63" s="3">
        <f t="shared" si="2"/>
        <v>837076.51799999992</v>
      </c>
    </row>
    <row r="64" spans="2:11" ht="32.25" customHeight="1" x14ac:dyDescent="0.25">
      <c r="B64" s="1">
        <v>58</v>
      </c>
      <c r="C64" s="2" t="s">
        <v>100</v>
      </c>
      <c r="D64" s="2" t="s">
        <v>69</v>
      </c>
      <c r="E64" s="2">
        <v>30</v>
      </c>
      <c r="F64" s="2" t="s">
        <v>2</v>
      </c>
      <c r="G64" s="3">
        <v>134.81</v>
      </c>
      <c r="H64" s="4">
        <v>0.35</v>
      </c>
      <c r="I64" s="3">
        <f t="shared" si="0"/>
        <v>181.99350000000001</v>
      </c>
      <c r="J64" s="3">
        <f t="shared" si="1"/>
        <v>5459.8050000000003</v>
      </c>
      <c r="K64" s="3">
        <f t="shared" si="2"/>
        <v>842536.32299999997</v>
      </c>
    </row>
    <row r="65" spans="2:11" ht="32.25" customHeight="1" x14ac:dyDescent="0.25">
      <c r="B65" s="1">
        <v>59</v>
      </c>
      <c r="C65" s="2" t="s">
        <v>101</v>
      </c>
      <c r="D65" s="2" t="s">
        <v>69</v>
      </c>
      <c r="E65" s="2">
        <v>60</v>
      </c>
      <c r="F65" s="2" t="s">
        <v>2</v>
      </c>
      <c r="G65" s="3">
        <v>9.3000000000000007</v>
      </c>
      <c r="H65" s="4">
        <v>0.35</v>
      </c>
      <c r="I65" s="3">
        <f t="shared" si="0"/>
        <v>12.555000000000001</v>
      </c>
      <c r="J65" s="3">
        <f t="shared" si="1"/>
        <v>753.30000000000007</v>
      </c>
      <c r="K65" s="3">
        <f t="shared" si="2"/>
        <v>843289.62300000002</v>
      </c>
    </row>
    <row r="66" spans="2:11" ht="32.25" customHeight="1" x14ac:dyDescent="0.25">
      <c r="B66" s="1">
        <v>60</v>
      </c>
      <c r="C66" s="2" t="s">
        <v>102</v>
      </c>
      <c r="D66" s="2" t="s">
        <v>69</v>
      </c>
      <c r="E66" s="2">
        <v>1</v>
      </c>
      <c r="F66" s="2" t="s">
        <v>2</v>
      </c>
      <c r="G66" s="3">
        <v>1650.39</v>
      </c>
      <c r="H66" s="4">
        <v>0.35</v>
      </c>
      <c r="I66" s="3">
        <f t="shared" si="0"/>
        <v>2228.0265000000004</v>
      </c>
      <c r="J66" s="3">
        <f t="shared" si="1"/>
        <v>2228.0265000000004</v>
      </c>
      <c r="K66" s="3">
        <f t="shared" si="2"/>
        <v>845517.64950000006</v>
      </c>
    </row>
    <row r="67" spans="2:11" ht="32.25" customHeight="1" x14ac:dyDescent="0.25">
      <c r="B67" s="1">
        <v>61</v>
      </c>
      <c r="C67" s="2" t="s">
        <v>103</v>
      </c>
      <c r="D67" s="2" t="s">
        <v>104</v>
      </c>
      <c r="E67" s="2">
        <v>5</v>
      </c>
      <c r="F67" s="2" t="s">
        <v>9</v>
      </c>
      <c r="G67" s="3">
        <v>1060</v>
      </c>
      <c r="H67" s="4">
        <v>0.35</v>
      </c>
      <c r="I67" s="3">
        <f t="shared" si="0"/>
        <v>1431</v>
      </c>
      <c r="J67" s="3">
        <f t="shared" si="1"/>
        <v>7155</v>
      </c>
      <c r="K67" s="3">
        <f t="shared" si="2"/>
        <v>852672.64950000006</v>
      </c>
    </row>
    <row r="68" spans="2:11" ht="32.25" customHeight="1" x14ac:dyDescent="0.25">
      <c r="B68" s="1">
        <v>62</v>
      </c>
      <c r="C68" s="2" t="s">
        <v>105</v>
      </c>
      <c r="D68" s="2" t="s">
        <v>106</v>
      </c>
      <c r="E68" s="2">
        <v>8</v>
      </c>
      <c r="F68" s="2" t="s">
        <v>9</v>
      </c>
      <c r="G68" s="3">
        <v>265</v>
      </c>
      <c r="H68" s="4">
        <v>0.35</v>
      </c>
      <c r="I68" s="3">
        <f t="shared" si="0"/>
        <v>357.75</v>
      </c>
      <c r="J68" s="3">
        <f t="shared" si="1"/>
        <v>2862</v>
      </c>
      <c r="K68" s="3">
        <f t="shared" si="2"/>
        <v>855534.64950000006</v>
      </c>
    </row>
    <row r="69" spans="2:11" ht="32.25" customHeight="1" x14ac:dyDescent="0.25">
      <c r="B69" s="1">
        <v>63</v>
      </c>
      <c r="C69" s="2" t="s">
        <v>107</v>
      </c>
      <c r="D69" s="2" t="s">
        <v>108</v>
      </c>
      <c r="E69" s="2">
        <v>14</v>
      </c>
      <c r="F69" s="2" t="s">
        <v>9</v>
      </c>
      <c r="G69" s="3">
        <v>265</v>
      </c>
      <c r="H69" s="4">
        <v>0.35</v>
      </c>
      <c r="I69" s="3">
        <f t="shared" si="0"/>
        <v>357.75</v>
      </c>
      <c r="J69" s="3">
        <f t="shared" si="1"/>
        <v>5008.5</v>
      </c>
      <c r="K69" s="3">
        <f t="shared" si="2"/>
        <v>860543.14950000006</v>
      </c>
    </row>
    <row r="70" spans="2:11" ht="32.25" customHeight="1" x14ac:dyDescent="0.25">
      <c r="B70" s="1">
        <v>64</v>
      </c>
      <c r="C70" s="2" t="s">
        <v>109</v>
      </c>
      <c r="D70" s="2" t="s">
        <v>110</v>
      </c>
      <c r="E70" s="2">
        <v>3</v>
      </c>
      <c r="F70" s="2" t="s">
        <v>2</v>
      </c>
      <c r="G70" s="3">
        <v>2120</v>
      </c>
      <c r="H70" s="4">
        <v>0.35</v>
      </c>
      <c r="I70" s="3">
        <f t="shared" ref="I70:I76" si="3">G70*(1+H70)</f>
        <v>2862</v>
      </c>
      <c r="J70" s="3">
        <f t="shared" ref="J70:J76" si="4">E70*I70</f>
        <v>8586</v>
      </c>
      <c r="K70" s="3">
        <f t="shared" si="2"/>
        <v>869129.14950000006</v>
      </c>
    </row>
    <row r="71" spans="2:11" ht="32.25" customHeight="1" x14ac:dyDescent="0.25">
      <c r="B71" s="1">
        <v>65</v>
      </c>
      <c r="C71" s="2" t="s">
        <v>111</v>
      </c>
      <c r="D71" s="2">
        <v>323</v>
      </c>
      <c r="E71" s="2">
        <v>4</v>
      </c>
      <c r="F71" s="2" t="s">
        <v>2</v>
      </c>
      <c r="G71" s="3">
        <v>3710</v>
      </c>
      <c r="H71" s="4">
        <v>0.35</v>
      </c>
      <c r="I71" s="3">
        <f t="shared" si="3"/>
        <v>5008.5</v>
      </c>
      <c r="J71" s="3">
        <f t="shared" si="4"/>
        <v>20034</v>
      </c>
      <c r="K71" s="3">
        <f t="shared" si="2"/>
        <v>889163.14950000006</v>
      </c>
    </row>
    <row r="72" spans="2:11" ht="32.25" customHeight="1" x14ac:dyDescent="0.25">
      <c r="B72" s="1">
        <v>66</v>
      </c>
      <c r="C72" s="2" t="s">
        <v>112</v>
      </c>
      <c r="D72" s="2" t="s">
        <v>69</v>
      </c>
      <c r="E72" s="2">
        <v>5</v>
      </c>
      <c r="F72" s="2" t="s">
        <v>2</v>
      </c>
      <c r="G72" s="3">
        <v>9540</v>
      </c>
      <c r="H72" s="4">
        <v>0.35</v>
      </c>
      <c r="I72" s="3">
        <f t="shared" si="3"/>
        <v>12879</v>
      </c>
      <c r="J72" s="3">
        <f t="shared" si="4"/>
        <v>64395</v>
      </c>
      <c r="K72" s="3">
        <f t="shared" si="2"/>
        <v>953558.14950000006</v>
      </c>
    </row>
    <row r="73" spans="2:11" ht="32.25" customHeight="1" x14ac:dyDescent="0.25">
      <c r="B73" s="1">
        <v>67</v>
      </c>
      <c r="C73" s="2" t="s">
        <v>113</v>
      </c>
      <c r="D73" s="2" t="s">
        <v>69</v>
      </c>
      <c r="E73" s="2">
        <v>60</v>
      </c>
      <c r="F73" s="2" t="s">
        <v>2</v>
      </c>
      <c r="G73" s="3">
        <v>2520.19</v>
      </c>
      <c r="H73" s="4">
        <v>0.35</v>
      </c>
      <c r="I73" s="3">
        <f t="shared" si="3"/>
        <v>3402.2565000000004</v>
      </c>
      <c r="J73" s="3">
        <f t="shared" si="4"/>
        <v>204135.39</v>
      </c>
      <c r="K73" s="3">
        <f t="shared" si="2"/>
        <v>1157693.5395</v>
      </c>
    </row>
    <row r="74" spans="2:11" ht="32.25" customHeight="1" x14ac:dyDescent="0.25">
      <c r="B74" s="17">
        <v>68</v>
      </c>
      <c r="C74" s="18" t="s">
        <v>114</v>
      </c>
      <c r="D74" s="12" t="s">
        <v>69</v>
      </c>
      <c r="E74" s="14">
        <v>100</v>
      </c>
      <c r="F74" s="14" t="s">
        <v>2</v>
      </c>
      <c r="G74" s="2"/>
      <c r="H74" s="4"/>
      <c r="I74" s="16">
        <f>G75*(1+H75)</f>
        <v>1820.1105000000002</v>
      </c>
      <c r="J74" s="16">
        <f>E74*I74</f>
        <v>182011.05000000002</v>
      </c>
      <c r="K74" s="16">
        <f>K73+J74</f>
        <v>1339704.5895</v>
      </c>
    </row>
    <row r="75" spans="2:11" ht="46.5" customHeight="1" x14ac:dyDescent="0.25">
      <c r="B75" s="17"/>
      <c r="C75" s="18"/>
      <c r="D75" s="13"/>
      <c r="E75" s="15"/>
      <c r="F75" s="15"/>
      <c r="G75" s="3">
        <v>1348.23</v>
      </c>
      <c r="H75" s="4">
        <v>0.35</v>
      </c>
      <c r="I75" s="15"/>
      <c r="J75" s="15"/>
      <c r="K75" s="19"/>
    </row>
    <row r="76" spans="2:11" ht="60.75" customHeight="1" x14ac:dyDescent="0.25">
      <c r="B76" s="1">
        <v>69</v>
      </c>
      <c r="C76" s="2" t="s">
        <v>130</v>
      </c>
      <c r="D76" s="2" t="s">
        <v>69</v>
      </c>
      <c r="E76" s="2">
        <v>45</v>
      </c>
      <c r="F76" s="2" t="s">
        <v>2</v>
      </c>
      <c r="G76" s="3">
        <v>1795.81</v>
      </c>
      <c r="H76" s="4">
        <v>0.35</v>
      </c>
      <c r="I76" s="3">
        <f t="shared" si="3"/>
        <v>2424.3434999999999</v>
      </c>
      <c r="J76" s="3">
        <f t="shared" si="4"/>
        <v>109095.4575</v>
      </c>
      <c r="K76" s="3">
        <f>K74+J76</f>
        <v>1448800.047</v>
      </c>
    </row>
    <row r="77" spans="2:11" ht="85.5" customHeight="1" x14ac:dyDescent="0.25">
      <c r="B77" s="1">
        <v>70</v>
      </c>
      <c r="C77" s="11" t="s">
        <v>131</v>
      </c>
      <c r="D77" s="7"/>
      <c r="E77" s="9">
        <v>1</v>
      </c>
      <c r="F77" s="2" t="s">
        <v>2</v>
      </c>
      <c r="G77" s="3">
        <v>2120</v>
      </c>
      <c r="H77" s="4">
        <v>0.35</v>
      </c>
      <c r="I77" s="3">
        <f t="shared" ref="I77" si="5">G77*(1+H77)</f>
        <v>2862</v>
      </c>
      <c r="J77" s="3">
        <f t="shared" ref="J77" si="6">E77*I77</f>
        <v>2862</v>
      </c>
      <c r="K77" s="3">
        <f>K76+J77</f>
        <v>1451662.047</v>
      </c>
    </row>
    <row r="78" spans="2:11" ht="71.25" customHeight="1" x14ac:dyDescent="0.25">
      <c r="B78" s="1">
        <v>71</v>
      </c>
      <c r="C78" s="10" t="s">
        <v>115</v>
      </c>
      <c r="D78" s="7"/>
      <c r="E78" s="9">
        <v>5</v>
      </c>
      <c r="F78" s="2" t="s">
        <v>2</v>
      </c>
      <c r="G78" s="3">
        <v>1814.72</v>
      </c>
      <c r="H78" s="4">
        <v>0.35</v>
      </c>
      <c r="I78" s="3">
        <f t="shared" ref="I78:I84" si="7">G78*(1+H78)</f>
        <v>2449.8720000000003</v>
      </c>
      <c r="J78" s="3">
        <f t="shared" ref="J78:J84" si="8">E78*I78</f>
        <v>12249.36</v>
      </c>
      <c r="K78" s="3">
        <f t="shared" ref="K78:K84" si="9">K76+J78</f>
        <v>1461049.4070000001</v>
      </c>
    </row>
    <row r="79" spans="2:11" ht="71.25" customHeight="1" x14ac:dyDescent="0.25">
      <c r="B79" s="1">
        <v>72</v>
      </c>
      <c r="C79" s="8" t="s">
        <v>116</v>
      </c>
      <c r="D79" s="7"/>
      <c r="E79" s="9">
        <v>3</v>
      </c>
      <c r="F79" s="2" t="s">
        <v>2</v>
      </c>
      <c r="G79" s="3">
        <v>12720</v>
      </c>
      <c r="H79" s="4">
        <v>0.35</v>
      </c>
      <c r="I79" s="3">
        <f t="shared" si="7"/>
        <v>17172</v>
      </c>
      <c r="J79" s="3">
        <f t="shared" si="8"/>
        <v>51516</v>
      </c>
      <c r="K79" s="3">
        <f t="shared" si="9"/>
        <v>1503178.047</v>
      </c>
    </row>
    <row r="80" spans="2:11" ht="71.25" customHeight="1" x14ac:dyDescent="0.25">
      <c r="B80" s="1">
        <v>73</v>
      </c>
      <c r="C80" s="10" t="s">
        <v>117</v>
      </c>
      <c r="D80" s="7"/>
      <c r="E80" s="9">
        <v>3</v>
      </c>
      <c r="F80" s="2" t="s">
        <v>2</v>
      </c>
      <c r="G80" s="3">
        <v>9222</v>
      </c>
      <c r="H80" s="4">
        <v>0.35</v>
      </c>
      <c r="I80" s="3">
        <f t="shared" si="7"/>
        <v>12449.7</v>
      </c>
      <c r="J80" s="3">
        <f t="shared" si="8"/>
        <v>37349.100000000006</v>
      </c>
      <c r="K80" s="3">
        <f t="shared" si="9"/>
        <v>1498398.5070000002</v>
      </c>
    </row>
    <row r="81" spans="2:11" ht="71.25" customHeight="1" x14ac:dyDescent="0.25">
      <c r="B81" s="1">
        <v>74</v>
      </c>
      <c r="C81" s="10" t="s">
        <v>118</v>
      </c>
      <c r="D81" s="7"/>
      <c r="E81" s="9">
        <v>2</v>
      </c>
      <c r="F81" s="2" t="s">
        <v>2</v>
      </c>
      <c r="G81" s="3">
        <v>17384</v>
      </c>
      <c r="H81" s="4">
        <v>0.35</v>
      </c>
      <c r="I81" s="3">
        <f t="shared" si="7"/>
        <v>23468.400000000001</v>
      </c>
      <c r="J81" s="3">
        <f t="shared" si="8"/>
        <v>46936.800000000003</v>
      </c>
      <c r="K81" s="3">
        <f t="shared" si="9"/>
        <v>1550114.8470000001</v>
      </c>
    </row>
    <row r="82" spans="2:11" ht="91.5" customHeight="1" x14ac:dyDescent="0.25">
      <c r="B82" s="1">
        <v>75</v>
      </c>
      <c r="C82" s="10" t="s">
        <v>119</v>
      </c>
      <c r="D82" s="7"/>
      <c r="E82" s="9">
        <v>3</v>
      </c>
      <c r="F82" s="2" t="s">
        <v>2</v>
      </c>
      <c r="G82" s="3">
        <v>1081.2</v>
      </c>
      <c r="H82" s="4">
        <v>0.35</v>
      </c>
      <c r="I82" s="3">
        <f t="shared" si="7"/>
        <v>1459.6200000000001</v>
      </c>
      <c r="J82" s="3">
        <f t="shared" si="8"/>
        <v>4378.8600000000006</v>
      </c>
      <c r="K82" s="3">
        <f t="shared" si="9"/>
        <v>1502777.3670000003</v>
      </c>
    </row>
    <row r="83" spans="2:11" ht="100.5" customHeight="1" x14ac:dyDescent="0.25">
      <c r="B83" s="1">
        <v>76</v>
      </c>
      <c r="C83" s="10" t="s">
        <v>120</v>
      </c>
      <c r="D83" s="7"/>
      <c r="E83" s="9">
        <v>14</v>
      </c>
      <c r="F83" s="2" t="s">
        <v>2</v>
      </c>
      <c r="G83" s="3">
        <v>5394.34</v>
      </c>
      <c r="H83" s="4">
        <v>0.35</v>
      </c>
      <c r="I83" s="3">
        <f t="shared" si="7"/>
        <v>7282.3590000000004</v>
      </c>
      <c r="J83" s="3">
        <f t="shared" si="8"/>
        <v>101953.02600000001</v>
      </c>
      <c r="K83" s="3">
        <f t="shared" si="9"/>
        <v>1652067.8730000001</v>
      </c>
    </row>
    <row r="84" spans="2:11" ht="71.25" customHeight="1" x14ac:dyDescent="0.25">
      <c r="B84" s="1">
        <v>77</v>
      </c>
      <c r="C84" s="10" t="s">
        <v>121</v>
      </c>
      <c r="D84" s="7"/>
      <c r="E84" s="9">
        <v>14</v>
      </c>
      <c r="F84" s="2" t="s">
        <v>2</v>
      </c>
      <c r="G84" s="3">
        <v>466.4</v>
      </c>
      <c r="H84" s="4">
        <v>0.35</v>
      </c>
      <c r="I84" s="3">
        <f t="shared" si="7"/>
        <v>629.64</v>
      </c>
      <c r="J84" s="3">
        <f t="shared" si="8"/>
        <v>8814.9599999999991</v>
      </c>
      <c r="K84" s="3">
        <f t="shared" si="9"/>
        <v>1511592.3270000003</v>
      </c>
    </row>
    <row r="85" spans="2:11" ht="71.25" customHeight="1" x14ac:dyDescent="0.25">
      <c r="B85" s="1">
        <v>78</v>
      </c>
      <c r="C85" s="7"/>
      <c r="D85" s="7"/>
      <c r="E85" s="7"/>
      <c r="F85" s="7"/>
      <c r="G85" s="7"/>
      <c r="H85" s="7"/>
      <c r="I85" s="7"/>
      <c r="J85" s="7"/>
      <c r="K85" s="7"/>
    </row>
    <row r="87" spans="2:11" ht="19.5" customHeight="1" x14ac:dyDescent="0.25">
      <c r="I87" s="7" t="s">
        <v>133</v>
      </c>
      <c r="J87" s="20">
        <f>SUM(J7:J85)</f>
        <v>1714860.1530000004</v>
      </c>
    </row>
    <row r="88" spans="2:11" x14ac:dyDescent="0.25">
      <c r="I88" s="7" t="s">
        <v>132</v>
      </c>
      <c r="J88" s="20">
        <f>J87*16%</f>
        <v>274377.62448000006</v>
      </c>
    </row>
    <row r="89" spans="2:11" x14ac:dyDescent="0.25">
      <c r="I89" s="7" t="s">
        <v>127</v>
      </c>
      <c r="J89" s="20">
        <f>J87+J88</f>
        <v>1989237.7774800004</v>
      </c>
    </row>
  </sheetData>
  <mergeCells count="8">
    <mergeCell ref="B74:B75"/>
    <mergeCell ref="C74:C75"/>
    <mergeCell ref="K74:K75"/>
    <mergeCell ref="D74:D75"/>
    <mergeCell ref="E74:E75"/>
    <mergeCell ref="F74:F75"/>
    <mergeCell ref="I74:I75"/>
    <mergeCell ref="J74:J7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chisa</dc:creator>
  <cp:lastModifiedBy>ventas chisa</cp:lastModifiedBy>
  <cp:lastPrinted>2026-06-01T19:22:28Z</cp:lastPrinted>
  <dcterms:created xsi:type="dcterms:W3CDTF">2026-06-01T17:52:43Z</dcterms:created>
  <dcterms:modified xsi:type="dcterms:W3CDTF">2026-06-02T15:37:56Z</dcterms:modified>
</cp:coreProperties>
</file>