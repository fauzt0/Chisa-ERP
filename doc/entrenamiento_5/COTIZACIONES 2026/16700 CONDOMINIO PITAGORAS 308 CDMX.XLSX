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43BD48EF-6145-4F33-8B04-ED0EB4E711F3}" xr6:coauthVersionLast="47" xr6:coauthVersionMax="47" xr10:uidLastSave="{00000000-0000-0000-0000-000000000000}"/>
  <bookViews>
    <workbookView xWindow="0" yWindow="0" windowWidth="20475" windowHeight="10920"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1" l="1"/>
  <c r="F27" i="3"/>
  <c r="F26" i="3"/>
  <c r="F25" i="3"/>
  <c r="E24" i="1" l="1"/>
  <c r="F30" i="3"/>
  <c r="F31" i="3" s="1"/>
  <c r="F32" i="3" s="1"/>
  <c r="E25" i="1" l="1"/>
  <c r="E26" i="1" s="1"/>
  <c r="F33" i="3"/>
  <c r="F34" i="3" s="1"/>
</calcChain>
</file>

<file path=xl/sharedStrings.xml><?xml version="1.0" encoding="utf-8"?>
<sst xmlns="http://schemas.openxmlformats.org/spreadsheetml/2006/main" count="75" uniqueCount="63">
  <si>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</si>
  <si>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</si>
  <si>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</si>
  <si>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</si>
  <si>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</si>
  <si>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</si>
  <si>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</si>
  <si>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</si>
  <si>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</si>
  <si>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</si>
  <si>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</si>
  <si>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</si>
  <si>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</si>
  <si>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</si>
  <si>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</si>
  <si>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</si>
  <si>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</si>
  <si>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</si>
  <si>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</si>
  <si>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</si>
  <si>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</si>
  <si>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</si>
  <si>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</si>
  <si>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</si>
  <si>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</si>
  <si>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</si>
  <si>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</si>
  <si>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</si>
  <si>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</si>
  <si>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</si>
  <si>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</si>
  <si>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</si>
  <si>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</si>
  <si>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</si>
  <si>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</si>
  <si>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COMPRESOR CON CAPACIDAD DE 30LBRS CONTINUAS, MANGUERA DE 10 MTRS, CONEXIONES RAPIDAS Y PISTOLA PARA APLICAR EL RECUBRIMIENTO.</t>
  </si>
  <si>
    <t xml:space="preserve">SECRETARIA DE MARINA </t>
  </si>
  <si>
    <t>SECRETARIA DE LA DEFENSA NACIONAL</t>
  </si>
  <si>
    <t xml:space="preserve">OBRA: HOSPITAL NAVAL DE ACAPULCO  </t>
  </si>
  <si>
    <t>CUBETA</t>
  </si>
  <si>
    <t>PZA</t>
  </si>
  <si>
    <t>DESC 12%</t>
  </si>
  <si>
    <t>SUB TOTAL</t>
  </si>
  <si>
    <t>2.- VITROGLASS ECOLOGICO (REND. 180M2)</t>
  </si>
  <si>
    <t xml:space="preserve">1.- CHISA GLASS REF. S.M.A  </t>
  </si>
  <si>
    <t xml:space="preserve">3.- KIT DE APLICACIÓN DE CHISA, QUE CONSISTE EN: </t>
  </si>
  <si>
    <t>UNIDAD</t>
  </si>
  <si>
    <r>
      <t xml:space="preserve">PRESENTAMOS A SU AMABLE CONSIDERACIÓN EL PRESUPUESTO  DE SUMINISTRO </t>
    </r>
    <r>
      <rPr>
        <sz val="9"/>
        <color theme="1"/>
        <rFont val="Times New Roman"/>
        <family val="1"/>
      </rPr>
      <t xml:space="preserve">DE LOS SIGUIENTES MATERIALES: </t>
    </r>
  </si>
  <si>
    <t>CIUDAD DE MEXICO A 23 SEPTIEMBRE DEL 2026</t>
  </si>
  <si>
    <t>AT¨N: TTE. JOSÉ MANUEL CRUZ TORRES</t>
  </si>
  <si>
    <t>PRES. REF. 16697-S/2026VG</t>
  </si>
  <si>
    <t xml:space="preserve">CIUDAD DE MEXICO A 24 DE SEPTIEMBRE DE 2026 </t>
  </si>
  <si>
    <t>CONDOMINIO PITAGORAS 308</t>
  </si>
  <si>
    <t>AT´N: LIC. JULIO CÉSAR TREJO</t>
  </si>
  <si>
    <t>OBRA: CONDOMINIO PITÁGORAS 308, CDMX.</t>
  </si>
  <si>
    <t>PRES. REF. 16700/2026/VG</t>
  </si>
  <si>
    <t xml:space="preserve">OBRA: CONDOMINIO PITAGORAS 308, CDMX. </t>
  </si>
  <si>
    <r>
      <t xml:space="preserve">FORMA DE PAGO Y CONSIDERACIONES GENERALES CORRESPONDIENTES AL PRESUPUESTO </t>
    </r>
    <r>
      <rPr>
        <b/>
        <sz val="8"/>
        <color theme="1"/>
        <rFont val="Calibri"/>
        <family val="2"/>
        <scheme val="minor"/>
      </rPr>
      <t>REF. 16700/2026/VG</t>
    </r>
  </si>
  <si>
    <r>
      <t>EN CASO DE SER ACEPTADO EL PRESENTE PRESUPUESTO REQUERIMOS DEL 5</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</si>
  <si>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A T E N T A M E N T E</t>
  </si>
  <si>
    <t>HAPA, SOLUCIONES INTEGRALES EN RECUBRIENTOS</t>
  </si>
  <si>
    <r>
      <t>1.-SUMINISTRO Y APLICACIÓN DE PINTURA VINÍLICA (PINTUFLEX) EN MUROS DE FACHADA INCLUYE:</t>
    </r>
    <r>
      <rPr>
        <u/>
        <sz val="8"/>
        <color theme="1"/>
        <rFont val="Calibri"/>
        <family val="2"/>
        <scheme val="minor"/>
      </rPr>
      <t xml:space="preserve"> LIMPIEZA DE BOQUILLAS Y FACHADA PARA RETIRAR PINTURA EN MAL ESTADO, RESANE EN GRIETAS Y BOQUILLAS, APLICACIÓN DE SELLADO IMPERMEABLE ACRÍLICO EN TODO EL PERÍMETRO DE CADA VENTADA, APLICACIÓN DE SELLADOR ACRÍLICO 4648 CON RODILLO DE FELPA Y BROCHA. APLICACIÓN DE PINTURA VINÍLICA (PINTUFLEX). PROTECCIÓN DE SUPERFICIES ADYACENTES CON PAPEL Y MASKING TAPE, LIMPIEZA Y RETIRO DE SOBRANTES PROPIOS, HASTA EL LUGAR INDICADO DENTRO DE LA OTRA, FLETE Y MANO DE OBRA ESPECIALIZADA. TODO LO ANTERIOR CONSIDERADO HASTA UNA ALTURA DE 12.00 MTS. Y DEMÁS DERIVADOS DEL USO DE HERRAMIENTA. INCLUYE ANDAMIAJE</t>
    </r>
  </si>
  <si>
    <t>NOTA: LOS TRÁMITES Y COSTOS POR PERMISOS, LICENCIAS Y/O AUTORIZACIONES REQUERIDAS POR LA ALCALDÍA SERÁN RESPONSABILIDAD DEL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</si>
</sst>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9" fillId="0" borderId="0" xfId="0" applyFont="1" applyAlignment="1">
      <alignment horizontal="center" vertical="center"/>
    </xf>
    <xf numFmtId="0" fontId="0" fillId="0" borderId="0" xfId="0" applyAlignment="1">
      <alignment horizontal="right"/>
    </xf>
    <xf numFmtId="0" fontId="9" fillId="0" borderId="0" xfId="0" applyFont="1" applyAlignment="1">
      <alignment horizontal="justify"/>
    </xf>
    <xf numFmtId="0" fontId="9" fillId="0" borderId="0" xfId="0" applyFont="1" applyAlignment="1">
      <alignment horizontal="center" vertical="top"/>
    </xf>
    <xf numFmtId="0" fontId="9" fillId="0" borderId="0" xfId="0" applyFont="1" applyAlignment="1">
      <alignment vertical="top"/>
    </xf>
    <xf numFmtId="0" fontId="9" fillId="0" borderId="0" xfId="0" applyFont="1"/>
    <xf numFmtId="0" fontId="9" fillId="0" borderId="0" xfId="0" applyFont="1" applyAlignment="1">
      <alignment horizontal="center" vertical="center"/>
    </xf>
    <xf numFmtId="0" fontId="3" fillId="0" borderId="0" xfId="0" applyFont="1" applyAlignment="1">
      <alignment horizontal="center" vertical="top"/>
    </xf>
    <xf numFmtId="0" fontId="8" fillId="0" borderId="0" xfId="0" applyFont="1" applyAlignment="1">
      <alignment horizontal="justify" vertical="center" wrapText="1"/>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right" vertical="center"/>
    </xf>
    <xf numFmtId="0" fontId="9" fillId="0" borderId="0" xfId="0" applyFont="1" applyAlignment="1">
      <alignment horizontal="justify"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57"/>
  <sheetViews>
    <sheetView tabSelected="1" topLeftCell="A25" zoomScale="80" zoomScaleNormal="80" zoomScalePageLayoutView="90" workbookViewId="0">
      <selection sqref="A1:E2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7" spans="1:8" x14ac:dyDescent="0.25">
      <c r="A7" s="21"/>
      <c r="B7" s="21"/>
      <c r="C7" s="21"/>
      <c r="D7" s="21"/>
      <c r="E7" s="21"/>
    </row>
    <row r="8" spans="1:8" x14ac:dyDescent="0.25">
      <c r="A8" s="63" t="s">
        <v>51</v>
      </c>
      <c r="B8" s="63"/>
      <c r="C8" s="63"/>
      <c r="D8" s="63"/>
      <c r="E8" s="63"/>
      <c r="F8" s="7"/>
    </row>
    <row r="9" spans="1:8" x14ac:dyDescent="0.25">
      <c r="A9" s="28" t="s">
        <v>52</v>
      </c>
      <c r="B9" s="28"/>
      <c r="C9" s="21"/>
      <c r="D9" s="21"/>
      <c r="E9" s="21"/>
    </row>
    <row r="10" spans="1:8" x14ac:dyDescent="0.25">
      <c r="A10" s="28" t="s">
        <v>0</v>
      </c>
      <c r="B10" s="28"/>
      <c r="C10" s="21"/>
      <c r="D10" s="21"/>
      <c r="E10" s="21"/>
    </row>
    <row r="11" spans="1:8" x14ac:dyDescent="0.25">
      <c r="A11" s="62" t="s">
        <v>53</v>
      </c>
      <c r="B11" s="62"/>
      <c r="C11" s="62"/>
      <c r="D11" s="62"/>
      <c r="E11" s="62"/>
      <c r="F11" s="1"/>
      <c r="G11" s="1"/>
      <c r="H11" s="1"/>
    </row>
    <row r="12" spans="1:8" x14ac:dyDescent="0.25">
      <c r="A12" s="29"/>
      <c r="B12" s="29"/>
      <c r="C12" s="21"/>
      <c r="D12" s="21"/>
      <c r="E12" s="21"/>
    </row>
    <row r="13" spans="1:8" x14ac:dyDescent="0.25">
      <c r="A13" s="29"/>
      <c r="B13" s="29"/>
      <c r="C13" s="21"/>
      <c r="D13" s="21"/>
      <c r="E13" s="21"/>
    </row>
    <row r="14" spans="1:8" x14ac:dyDescent="0.25">
      <c r="A14" s="59" t="s">
        <v>54</v>
      </c>
      <c r="B14" s="59"/>
      <c r="C14" s="59"/>
      <c r="D14" s="59"/>
      <c r="E14" s="59"/>
    </row>
    <row r="15" spans="1:8" x14ac:dyDescent="0.25">
      <c r="A15" s="30" t="s">
        <v>55</v>
      </c>
      <c r="B15" s="30"/>
      <c r="C15" s="22"/>
      <c r="D15" s="22"/>
      <c r="E15" s="22"/>
    </row>
    <row r="16" spans="1:8" x14ac:dyDescent="0.25">
      <c r="A16" s="31" t="s">
        <v>1</v>
      </c>
      <c r="B16" s="31"/>
      <c r="C16" s="22"/>
      <c r="D16" s="22"/>
      <c r="E16" s="22"/>
    </row>
    <row r="17" spans="1:8" ht="30" customHeight="1" x14ac:dyDescent="0.25">
      <c r="A17" s="61" t="s">
        <v>28</v>
      </c>
      <c r="B17" s="61"/>
      <c r="C17" s="61"/>
      <c r="D17" s="61"/>
      <c r="E17" s="61"/>
      <c r="F17" s="3"/>
      <c r="G17" s="3"/>
      <c r="H17" s="3"/>
    </row>
    <row r="18" spans="1:8" ht="21.75" customHeight="1" x14ac:dyDescent="0.25">
      <c r="A18" s="48" t="s">
        <v>20</v>
      </c>
      <c r="B18" s="30" t="s">
        <v>27</v>
      </c>
      <c r="C18" s="30" t="s">
        <v>18</v>
      </c>
      <c r="D18" s="30" t="s">
        <v>29</v>
      </c>
      <c r="E18" s="48" t="s">
        <v>19</v>
      </c>
      <c r="F18" s="2"/>
      <c r="G18" s="2"/>
      <c r="H18" s="2"/>
    </row>
    <row r="19" spans="1:8" ht="192" customHeight="1" x14ac:dyDescent="0.25">
      <c r="A19" s="32" t="s">
        <v>61</v>
      </c>
      <c r="B19" s="23" t="s">
        <v>21</v>
      </c>
      <c r="C19" s="33">
        <v>1178.1500000000001</v>
      </c>
      <c r="D19" s="34">
        <v>487.96</v>
      </c>
      <c r="E19" s="34">
        <f>C19*D19</f>
        <v>574890.07400000002</v>
      </c>
      <c r="F19" s="5"/>
    </row>
    <row r="20" spans="1:8" ht="192" hidden="1" customHeight="1" x14ac:dyDescent="0.25">
      <c r="A20" s="32"/>
      <c r="B20" s="23"/>
      <c r="C20" s="33"/>
      <c r="D20" s="34"/>
      <c r="E20" s="34"/>
      <c r="F20" s="5"/>
    </row>
    <row r="21" spans="1:8" ht="192" hidden="1" customHeight="1" x14ac:dyDescent="0.25">
      <c r="A21" s="32"/>
      <c r="B21" s="23"/>
      <c r="C21" s="33"/>
      <c r="D21" s="34"/>
      <c r="E21" s="34"/>
      <c r="F21" s="5"/>
    </row>
    <row r="22" spans="1:8" ht="192" hidden="1" customHeight="1" x14ac:dyDescent="0.25">
      <c r="A22" s="32"/>
      <c r="B22" s="23"/>
      <c r="C22" s="33"/>
      <c r="D22" s="34"/>
      <c r="E22" s="34"/>
      <c r="F22" s="5"/>
    </row>
    <row r="23" spans="1:8" ht="12" customHeight="1" x14ac:dyDescent="0.25">
      <c r="A23" s="32"/>
      <c r="B23" s="23"/>
      <c r="C23" s="33"/>
      <c r="D23" s="34"/>
      <c r="E23" s="34"/>
      <c r="F23" s="5"/>
    </row>
    <row r="24" spans="1:8" x14ac:dyDescent="0.25">
      <c r="A24" s="35"/>
      <c r="B24" s="35"/>
      <c r="C24" s="22"/>
      <c r="D24" s="35" t="s">
        <v>2</v>
      </c>
      <c r="E24" s="36">
        <f>SUM(E19:E23)</f>
        <v>574890.07400000002</v>
      </c>
      <c r="F24" s="5"/>
      <c r="G24" s="11"/>
    </row>
    <row r="25" spans="1:8" ht="33.75" x14ac:dyDescent="0.25">
      <c r="A25" s="75" t="s">
        <v>62</v>
      </c>
      <c r="B25" s="35"/>
      <c r="C25" s="35"/>
      <c r="D25" s="35" t="s">
        <v>3</v>
      </c>
      <c r="E25" s="36">
        <f>E24*16%</f>
        <v>91982.411840000001</v>
      </c>
      <c r="F25" s="11"/>
      <c r="G25" s="11"/>
    </row>
    <row r="26" spans="1:8" ht="12" customHeight="1" x14ac:dyDescent="0.25">
      <c r="A26" s="35"/>
      <c r="B26" s="35"/>
      <c r="C26" s="27"/>
      <c r="D26" s="35" t="s">
        <v>4</v>
      </c>
      <c r="E26" s="36">
        <f>E24+E25</f>
        <v>666872.48583999998</v>
      </c>
      <c r="F26" s="5"/>
      <c r="G26" s="11"/>
    </row>
    <row r="27" spans="1:8" ht="12" customHeight="1" x14ac:dyDescent="0.25">
      <c r="A27" s="35"/>
      <c r="B27" s="35"/>
      <c r="C27" s="27"/>
      <c r="D27" s="35"/>
      <c r="E27" s="36"/>
      <c r="F27" s="5"/>
      <c r="G27" s="11"/>
    </row>
    <row r="28" spans="1:8" ht="12" customHeight="1" x14ac:dyDescent="0.25">
      <c r="A28" s="35"/>
      <c r="B28" s="35"/>
      <c r="C28" s="27"/>
      <c r="D28" s="35"/>
      <c r="E28" s="36"/>
      <c r="F28" s="5"/>
      <c r="G28" s="11"/>
    </row>
    <row r="29" spans="1:8" ht="12" customHeight="1" x14ac:dyDescent="0.25">
      <c r="A29" s="35"/>
      <c r="B29" s="35"/>
      <c r="C29" s="27"/>
      <c r="D29" s="35"/>
      <c r="E29" s="36"/>
      <c r="F29" s="5"/>
      <c r="G29" s="11"/>
    </row>
    <row r="30" spans="1:8" x14ac:dyDescent="0.25">
      <c r="F30" s="5"/>
    </row>
    <row r="32" spans="1:8" x14ac:dyDescent="0.25">
      <c r="A32" s="59" t="s">
        <v>56</v>
      </c>
      <c r="B32" s="59"/>
      <c r="C32" s="59"/>
      <c r="D32" s="59"/>
      <c r="E32" s="59"/>
    </row>
    <row r="33" spans="1:6" x14ac:dyDescent="0.25">
      <c r="A33" s="64" t="s">
        <v>57</v>
      </c>
      <c r="B33" s="64"/>
      <c r="C33" s="64"/>
      <c r="D33" s="64"/>
      <c r="E33" s="64"/>
    </row>
    <row r="34" spans="1:6" ht="27" customHeight="1" x14ac:dyDescent="0.25">
      <c r="A34" s="60"/>
      <c r="B34" s="60"/>
      <c r="C34" s="60"/>
      <c r="D34" s="60"/>
      <c r="E34" s="60"/>
    </row>
    <row r="35" spans="1:6" x14ac:dyDescent="0.25">
      <c r="A35" s="54" t="s">
        <v>5</v>
      </c>
      <c r="B35" s="54"/>
      <c r="C35" s="54"/>
      <c r="D35" s="54"/>
      <c r="E35" s="54"/>
    </row>
    <row r="36" spans="1:6" ht="57.75" customHeight="1" x14ac:dyDescent="0.25">
      <c r="A36" s="56" t="s">
        <v>58</v>
      </c>
      <c r="B36" s="56"/>
      <c r="C36" s="56"/>
      <c r="D36" s="56"/>
      <c r="E36" s="56"/>
      <c r="F36" s="5"/>
    </row>
    <row r="37" spans="1:6" x14ac:dyDescent="0.25">
      <c r="A37" s="54" t="s">
        <v>6</v>
      </c>
      <c r="B37" s="54"/>
      <c r="C37" s="54"/>
      <c r="D37" s="54"/>
      <c r="E37" s="54"/>
    </row>
    <row r="38" spans="1:6" ht="33.75" customHeight="1" x14ac:dyDescent="0.25">
      <c r="A38" s="56" t="s">
        <v>7</v>
      </c>
      <c r="B38" s="56"/>
      <c r="C38" s="56"/>
      <c r="D38" s="56"/>
      <c r="E38" s="56"/>
    </row>
    <row r="39" spans="1:6" ht="43.5" customHeight="1" x14ac:dyDescent="0.25">
      <c r="A39" s="57" t="s">
        <v>8</v>
      </c>
      <c r="B39" s="57"/>
      <c r="C39" s="57"/>
      <c r="D39" s="57"/>
      <c r="E39" s="57"/>
    </row>
    <row r="40" spans="1:6" ht="49.5" customHeight="1" x14ac:dyDescent="0.25">
      <c r="A40" s="57" t="s">
        <v>9</v>
      </c>
      <c r="B40" s="57"/>
      <c r="C40" s="57"/>
      <c r="D40" s="57"/>
      <c r="E40" s="57"/>
    </row>
    <row r="41" spans="1:6" ht="21" customHeight="1" x14ac:dyDescent="0.25">
      <c r="A41" s="57" t="s">
        <v>10</v>
      </c>
      <c r="B41" s="57"/>
      <c r="C41" s="57"/>
      <c r="D41" s="57"/>
      <c r="E41" s="57"/>
    </row>
    <row r="42" spans="1:6" ht="77.25" customHeight="1" x14ac:dyDescent="0.25">
      <c r="A42" s="56" t="s">
        <v>11</v>
      </c>
      <c r="B42" s="56"/>
      <c r="C42" s="56"/>
      <c r="D42" s="56"/>
      <c r="E42" s="56"/>
    </row>
    <row r="43" spans="1:6" ht="26.25" customHeight="1" x14ac:dyDescent="0.25">
      <c r="A43" s="56" t="s">
        <v>12</v>
      </c>
      <c r="B43" s="56"/>
      <c r="C43" s="56"/>
      <c r="D43" s="56"/>
      <c r="E43" s="56"/>
    </row>
    <row r="44" spans="1:6" ht="49.5" customHeight="1" x14ac:dyDescent="0.25">
      <c r="A44" s="56" t="s">
        <v>13</v>
      </c>
      <c r="B44" s="56"/>
      <c r="C44" s="56"/>
      <c r="D44" s="56"/>
      <c r="E44" s="56"/>
    </row>
    <row r="45" spans="1:6" ht="24" customHeight="1" x14ac:dyDescent="0.25">
      <c r="A45" s="58" t="s">
        <v>14</v>
      </c>
      <c r="B45" s="58"/>
      <c r="C45" s="58"/>
      <c r="D45" s="58"/>
      <c r="E45" s="58"/>
    </row>
    <row r="46" spans="1:6" ht="67.5" customHeight="1" x14ac:dyDescent="0.25">
      <c r="A46" s="57" t="s">
        <v>15</v>
      </c>
      <c r="B46" s="57"/>
      <c r="C46" s="57"/>
      <c r="D46" s="57"/>
      <c r="E46" s="57"/>
    </row>
    <row r="47" spans="1:6" ht="15" customHeight="1" x14ac:dyDescent="0.25">
      <c r="A47" s="56" t="s">
        <v>16</v>
      </c>
      <c r="B47" s="56"/>
      <c r="C47" s="56"/>
      <c r="D47" s="56"/>
      <c r="E47" s="56"/>
    </row>
    <row r="48" spans="1:6" x14ac:dyDescent="0.25">
      <c r="A48" s="31" t="s">
        <v>17</v>
      </c>
      <c r="B48" s="31"/>
      <c r="C48" s="22"/>
      <c r="D48" s="22"/>
      <c r="E48" s="22"/>
    </row>
    <row r="49" spans="1:5" x14ac:dyDescent="0.25">
      <c r="A49" s="37"/>
      <c r="B49" s="37"/>
      <c r="C49" s="21"/>
      <c r="D49" s="21"/>
      <c r="E49" s="21"/>
    </row>
    <row r="50" spans="1:5" x14ac:dyDescent="0.25">
      <c r="A50" s="31"/>
      <c r="B50" s="31"/>
      <c r="C50" s="22"/>
      <c r="D50" s="22"/>
      <c r="E50" s="22"/>
    </row>
    <row r="51" spans="1:5" x14ac:dyDescent="0.25">
      <c r="A51" s="54" t="s">
        <v>59</v>
      </c>
      <c r="B51" s="54"/>
      <c r="C51" s="54"/>
      <c r="D51" s="54"/>
      <c r="E51" s="54"/>
    </row>
    <row r="52" spans="1:5" x14ac:dyDescent="0.25">
      <c r="A52" s="28"/>
      <c r="B52" s="28"/>
      <c r="C52" s="50"/>
      <c r="D52" s="50"/>
      <c r="E52" s="50"/>
    </row>
    <row r="53" spans="1:5" x14ac:dyDescent="0.25">
      <c r="A53" s="51"/>
      <c r="B53" s="52"/>
      <c r="C53" s="53"/>
      <c r="D53" s="53"/>
      <c r="E53" s="53"/>
    </row>
    <row r="54" spans="1:5" x14ac:dyDescent="0.25">
      <c r="A54" s="55" t="s">
        <v>60</v>
      </c>
      <c r="B54" s="55"/>
      <c r="C54" s="55"/>
      <c r="D54" s="55"/>
      <c r="E54" s="55"/>
    </row>
    <row r="55" spans="1:5" x14ac:dyDescent="0.25">
      <c r="A55" s="24"/>
      <c r="B55" s="24"/>
      <c r="C55" s="22"/>
      <c r="D55" s="22"/>
      <c r="E55" s="22"/>
    </row>
    <row r="56" spans="1:5" x14ac:dyDescent="0.25">
      <c r="A56" s="25"/>
      <c r="B56" s="25"/>
      <c r="C56" s="22"/>
      <c r="D56" s="22"/>
      <c r="E56" s="22"/>
    </row>
    <row r="57" spans="1:5" x14ac:dyDescent="0.25">
      <c r="A57" s="6"/>
      <c r="B57" s="6"/>
      <c r="C57" s="22"/>
      <c r="D57" s="22"/>
      <c r="E57" s="22"/>
    </row>
  </sheetData>
  <mergeCells count="22">
    <mergeCell ref="A32:E32"/>
    <mergeCell ref="A34:E34"/>
    <mergeCell ref="A17:E17"/>
    <mergeCell ref="A11:E11"/>
    <mergeCell ref="A8:E8"/>
    <mergeCell ref="A14:E14"/>
    <mergeCell ref="A33:E33"/>
    <mergeCell ref="A51:E51"/>
    <mergeCell ref="A54:E54"/>
    <mergeCell ref="A47:E47"/>
    <mergeCell ref="A35:E35"/>
    <mergeCell ref="A36:E36"/>
    <mergeCell ref="A38:E38"/>
    <mergeCell ref="A39:E39"/>
    <mergeCell ref="A42:E42"/>
    <mergeCell ref="A43:E43"/>
    <mergeCell ref="A44:E44"/>
    <mergeCell ref="A46:E46"/>
    <mergeCell ref="A40:E40"/>
    <mergeCell ref="A41:E41"/>
    <mergeCell ref="A37:E37"/>
    <mergeCell ref="A45:E45"/>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9"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4"/>
  <sheetViews>
    <sheetView view="pageLayout" zoomScale="70" zoomScaleNormal="50" zoomScalePageLayoutView="70" workbookViewId="0">
      <selection activeCell="E23" sqref="E23"/>
    </sheetView>
  </sheetViews>
  <sheetFormatPr baseColWidth="10" defaultRowHeight="15" x14ac:dyDescent="0.25"/>
  <cols>
    <col min="1" max="1" width="3.5703125" style="14"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8"/>
      <c r="C4" s="18"/>
      <c r="D4" s="18"/>
      <c r="E4" s="18"/>
      <c r="F4" s="18"/>
    </row>
    <row r="5" spans="2:7" x14ac:dyDescent="0.25">
      <c r="B5" s="18"/>
      <c r="C5" s="18"/>
      <c r="D5" s="18"/>
      <c r="E5" s="18"/>
      <c r="F5" s="18"/>
    </row>
    <row r="6" spans="2:7" x14ac:dyDescent="0.25">
      <c r="B6" s="18"/>
      <c r="C6" s="18"/>
      <c r="D6" s="18"/>
      <c r="E6" s="18"/>
      <c r="F6" s="18"/>
    </row>
    <row r="7" spans="2:7" x14ac:dyDescent="0.25">
      <c r="B7" s="18"/>
      <c r="C7" s="18"/>
      <c r="D7" s="18"/>
      <c r="E7" s="18"/>
      <c r="F7" s="18"/>
    </row>
    <row r="8" spans="2:7" x14ac:dyDescent="0.25">
      <c r="B8" s="40" t="s">
        <v>48</v>
      </c>
      <c r="C8" s="40"/>
      <c r="D8" s="40"/>
      <c r="E8" s="40"/>
      <c r="F8" s="40"/>
      <c r="G8" s="49"/>
    </row>
    <row r="9" spans="2:7" x14ac:dyDescent="0.25">
      <c r="B9" s="40"/>
      <c r="C9" s="40"/>
      <c r="D9" s="40"/>
      <c r="E9" s="40"/>
      <c r="F9" s="40"/>
    </row>
    <row r="10" spans="2:7" x14ac:dyDescent="0.25">
      <c r="B10" s="40"/>
      <c r="C10" s="40"/>
      <c r="D10" s="40"/>
      <c r="E10" s="40"/>
      <c r="F10" s="40"/>
    </row>
    <row r="11" spans="2:7" x14ac:dyDescent="0.25">
      <c r="B11" s="1" t="s">
        <v>36</v>
      </c>
      <c r="C11" s="1"/>
      <c r="D11" s="18"/>
      <c r="E11" s="18"/>
      <c r="F11" s="18"/>
    </row>
    <row r="12" spans="2:7" x14ac:dyDescent="0.25">
      <c r="B12" s="1" t="s">
        <v>37</v>
      </c>
      <c r="C12" s="1"/>
      <c r="D12" s="18"/>
      <c r="E12" s="18"/>
      <c r="F12" s="18"/>
    </row>
    <row r="13" spans="2:7" x14ac:dyDescent="0.25">
      <c r="B13" s="1" t="s">
        <v>0</v>
      </c>
      <c r="C13" s="1"/>
      <c r="D13" s="18"/>
      <c r="E13" s="18"/>
      <c r="F13" s="18"/>
    </row>
    <row r="14" spans="2:7" x14ac:dyDescent="0.25">
      <c r="B14" s="71" t="s">
        <v>49</v>
      </c>
      <c r="C14" s="71"/>
      <c r="D14" s="71"/>
      <c r="E14" s="71"/>
      <c r="F14" s="71"/>
      <c r="G14" s="71"/>
    </row>
    <row r="15" spans="2:7" x14ac:dyDescent="0.25">
      <c r="B15" s="16"/>
      <c r="C15" s="16"/>
      <c r="D15" s="16"/>
      <c r="E15" s="16"/>
      <c r="F15" s="16"/>
    </row>
    <row r="16" spans="2:7" x14ac:dyDescent="0.25">
      <c r="B16" s="16"/>
      <c r="C16" s="16"/>
      <c r="D16" s="16"/>
      <c r="E16" s="16"/>
      <c r="F16" s="16"/>
    </row>
    <row r="17" spans="2:10" x14ac:dyDescent="0.25">
      <c r="B17" s="73" t="s">
        <v>38</v>
      </c>
      <c r="C17" s="73"/>
      <c r="D17" s="73"/>
      <c r="E17" s="73"/>
      <c r="F17" s="73"/>
    </row>
    <row r="18" spans="2:10" ht="12.75" customHeight="1" x14ac:dyDescent="0.25">
      <c r="B18" s="8" t="s">
        <v>50</v>
      </c>
      <c r="C18" s="8"/>
      <c r="D18" s="19"/>
      <c r="E18" s="19"/>
      <c r="F18" s="19"/>
    </row>
    <row r="19" spans="2:10" ht="12.75" customHeight="1" x14ac:dyDescent="0.25">
      <c r="B19" s="8"/>
      <c r="C19" s="8"/>
      <c r="D19" s="19"/>
      <c r="E19" s="19"/>
      <c r="F19" s="19"/>
    </row>
    <row r="20" spans="2:10" ht="17.25" customHeight="1" x14ac:dyDescent="0.25">
      <c r="B20" s="9" t="s">
        <v>1</v>
      </c>
      <c r="C20" s="9"/>
      <c r="D20" s="19"/>
      <c r="E20" s="19"/>
      <c r="F20" s="19"/>
    </row>
    <row r="21" spans="2:10" ht="22.5" customHeight="1" x14ac:dyDescent="0.25">
      <c r="B21" s="65" t="s">
        <v>47</v>
      </c>
      <c r="C21" s="65"/>
      <c r="D21" s="65"/>
      <c r="E21" s="65"/>
      <c r="F21" s="65"/>
    </row>
    <row r="22" spans="2:10" ht="24" customHeight="1" x14ac:dyDescent="0.25">
      <c r="B22" s="26"/>
      <c r="C22" s="26"/>
      <c r="D22" s="26"/>
      <c r="E22" s="26"/>
      <c r="F22" s="26"/>
    </row>
    <row r="23" spans="2:10" ht="13.5" customHeight="1" x14ac:dyDescent="0.25">
      <c r="B23" s="41" t="s">
        <v>20</v>
      </c>
      <c r="C23" s="41" t="s">
        <v>46</v>
      </c>
      <c r="D23" s="41" t="s">
        <v>18</v>
      </c>
      <c r="E23" s="41" t="s">
        <v>23</v>
      </c>
      <c r="F23" s="41" t="s">
        <v>19</v>
      </c>
    </row>
    <row r="24" spans="2:10" ht="27" customHeight="1" x14ac:dyDescent="0.25">
      <c r="B24" s="8"/>
      <c r="C24" s="8"/>
      <c r="D24" s="17"/>
      <c r="E24" s="17"/>
      <c r="F24" s="16"/>
    </row>
    <row r="25" spans="2:10" x14ac:dyDescent="0.25">
      <c r="B25" s="43" t="s">
        <v>44</v>
      </c>
      <c r="C25" s="44" t="s">
        <v>39</v>
      </c>
      <c r="D25" s="5">
        <v>2</v>
      </c>
      <c r="E25" s="46">
        <v>4797.13</v>
      </c>
      <c r="F25" s="47">
        <f t="shared" ref="F25:F26" si="0">D25*E25</f>
        <v>9594.26</v>
      </c>
    </row>
    <row r="26" spans="2:10" x14ac:dyDescent="0.25">
      <c r="B26" s="43" t="s">
        <v>43</v>
      </c>
      <c r="C26" s="44" t="s">
        <v>39</v>
      </c>
      <c r="D26" s="5">
        <v>1</v>
      </c>
      <c r="E26" s="46">
        <v>5023.57</v>
      </c>
      <c r="F26" s="47">
        <f t="shared" si="0"/>
        <v>5023.57</v>
      </c>
      <c r="J26" s="38"/>
    </row>
    <row r="27" spans="2:10" x14ac:dyDescent="0.25">
      <c r="B27" s="39" t="s">
        <v>45</v>
      </c>
      <c r="C27" s="5" t="s">
        <v>40</v>
      </c>
      <c r="D27" s="5">
        <v>1</v>
      </c>
      <c r="E27" s="46">
        <v>12569.9</v>
      </c>
      <c r="F27" s="47">
        <f>E27*D27</f>
        <v>12569.9</v>
      </c>
    </row>
    <row r="28" spans="2:10" ht="36" x14ac:dyDescent="0.25">
      <c r="B28" s="4" t="s">
        <v>35</v>
      </c>
      <c r="C28" s="45"/>
      <c r="D28" s="5"/>
      <c r="E28" s="10"/>
      <c r="F28" s="10"/>
    </row>
    <row r="29" spans="2:10" x14ac:dyDescent="0.25">
      <c r="B29" s="4"/>
      <c r="C29" s="4"/>
      <c r="D29" s="19"/>
      <c r="E29" s="4"/>
      <c r="F29" s="11"/>
    </row>
    <row r="30" spans="2:10" ht="21" customHeight="1" x14ac:dyDescent="0.25">
      <c r="B30" s="4"/>
      <c r="C30" s="4"/>
      <c r="D30" s="4"/>
      <c r="E30" s="4" t="s">
        <v>2</v>
      </c>
      <c r="F30" s="46">
        <f>SUM(F25:F29)</f>
        <v>27187.73</v>
      </c>
    </row>
    <row r="31" spans="2:10" ht="21" customHeight="1" x14ac:dyDescent="0.25">
      <c r="B31" s="4"/>
      <c r="C31" s="4"/>
      <c r="D31" s="4"/>
      <c r="E31" s="4" t="s">
        <v>41</v>
      </c>
      <c r="F31" s="46">
        <f>F30*12%</f>
        <v>3262.5275999999999</v>
      </c>
    </row>
    <row r="32" spans="2:10" ht="21" customHeight="1" x14ac:dyDescent="0.25">
      <c r="B32" s="4"/>
      <c r="C32" s="4"/>
      <c r="D32" s="4"/>
      <c r="E32" s="4" t="s">
        <v>42</v>
      </c>
      <c r="F32" s="46">
        <f>F30-F31</f>
        <v>23925.202399999998</v>
      </c>
    </row>
    <row r="33" spans="2:8" ht="21" customHeight="1" x14ac:dyDescent="0.25">
      <c r="B33" s="4"/>
      <c r="C33" s="4"/>
      <c r="D33" s="15"/>
      <c r="E33" s="4" t="s">
        <v>3</v>
      </c>
      <c r="F33" s="46">
        <f>F32*16%</f>
        <v>3828.0323839999996</v>
      </c>
    </row>
    <row r="34" spans="2:8" ht="21" customHeight="1" x14ac:dyDescent="0.25">
      <c r="B34" s="4"/>
      <c r="C34" s="4"/>
      <c r="D34" s="15"/>
      <c r="E34" s="4" t="s">
        <v>4</v>
      </c>
      <c r="F34" s="46">
        <f>F32+F33</f>
        <v>27753.234783999997</v>
      </c>
    </row>
    <row r="35" spans="2:8" x14ac:dyDescent="0.25">
      <c r="B35" s="41"/>
      <c r="C35" s="42"/>
      <c r="D35" s="42"/>
      <c r="E35" s="42"/>
      <c r="F35" s="42"/>
    </row>
    <row r="36" spans="2:8" x14ac:dyDescent="0.25">
      <c r="B36" s="72" t="s">
        <v>22</v>
      </c>
      <c r="C36" s="69"/>
      <c r="D36" s="69"/>
      <c r="E36" s="69"/>
      <c r="F36" s="69"/>
    </row>
    <row r="37" spans="2:8" x14ac:dyDescent="0.25">
      <c r="B37" s="72"/>
      <c r="C37" s="69"/>
      <c r="D37" s="69"/>
      <c r="E37" s="69"/>
      <c r="F37" s="69"/>
    </row>
    <row r="38" spans="2:8" ht="27" customHeight="1" x14ac:dyDescent="0.25">
      <c r="B38" s="65" t="s">
        <v>24</v>
      </c>
      <c r="C38" s="65"/>
      <c r="D38" s="65"/>
      <c r="E38" s="65"/>
      <c r="F38" s="65"/>
    </row>
    <row r="39" spans="2:8" ht="15" customHeight="1" x14ac:dyDescent="0.25">
      <c r="B39" s="65" t="s">
        <v>25</v>
      </c>
      <c r="C39" s="65"/>
      <c r="D39" s="65"/>
      <c r="E39" s="65"/>
      <c r="F39" s="65"/>
    </row>
    <row r="40" spans="2:8" ht="13.5" customHeight="1" x14ac:dyDescent="0.25">
      <c r="B40" s="65" t="s">
        <v>30</v>
      </c>
      <c r="C40" s="65"/>
      <c r="D40" s="65"/>
      <c r="E40" s="65"/>
      <c r="F40" s="65"/>
    </row>
    <row r="41" spans="2:8" ht="15" customHeight="1" x14ac:dyDescent="0.25">
      <c r="B41" s="65" t="s">
        <v>26</v>
      </c>
      <c r="C41" s="65"/>
      <c r="D41" s="65"/>
      <c r="E41" s="65"/>
      <c r="F41" s="65"/>
    </row>
    <row r="42" spans="2:8" ht="69" customHeight="1" x14ac:dyDescent="0.25">
      <c r="B42" s="65" t="s">
        <v>31</v>
      </c>
      <c r="C42" s="65"/>
      <c r="D42" s="65"/>
      <c r="E42" s="65"/>
      <c r="F42" s="65"/>
    </row>
    <row r="43" spans="2:8" ht="16.5" customHeight="1" x14ac:dyDescent="0.25">
      <c r="B43" s="26"/>
      <c r="C43" s="26"/>
      <c r="D43" s="26"/>
      <c r="E43" s="26"/>
      <c r="F43" s="26"/>
    </row>
    <row r="44" spans="2:8" ht="16.5" customHeight="1" x14ac:dyDescent="0.25">
      <c r="B44" s="18"/>
      <c r="C44" s="18"/>
      <c r="D44" s="18"/>
      <c r="E44" s="18"/>
      <c r="F44" s="18"/>
    </row>
    <row r="45" spans="2:8" ht="20.25" customHeight="1" x14ac:dyDescent="0.25">
      <c r="B45" s="68" t="s">
        <v>32</v>
      </c>
      <c r="C45" s="69"/>
      <c r="D45" s="69"/>
      <c r="E45" s="69"/>
      <c r="F45" s="69"/>
    </row>
    <row r="46" spans="2:8" x14ac:dyDescent="0.25">
      <c r="B46" s="9"/>
      <c r="C46" s="9"/>
      <c r="D46" s="19"/>
      <c r="E46" s="19"/>
      <c r="F46" s="19"/>
      <c r="H46" s="13"/>
    </row>
    <row r="47" spans="2:8" x14ac:dyDescent="0.25">
      <c r="B47" s="9"/>
      <c r="C47" s="9"/>
      <c r="D47" s="19"/>
      <c r="E47" s="19"/>
      <c r="F47" s="19"/>
    </row>
    <row r="48" spans="2:8" x14ac:dyDescent="0.25">
      <c r="B48" s="68" t="s">
        <v>33</v>
      </c>
      <c r="C48" s="69"/>
      <c r="D48" s="69"/>
      <c r="E48" s="69"/>
      <c r="F48" s="69"/>
    </row>
    <row r="49" spans="2:6" x14ac:dyDescent="0.25">
      <c r="B49" s="70" t="s">
        <v>34</v>
      </c>
      <c r="C49" s="69"/>
      <c r="D49" s="69"/>
      <c r="E49" s="69"/>
      <c r="F49" s="69"/>
    </row>
    <row r="50" spans="2:6" x14ac:dyDescent="0.25">
      <c r="B50" s="12"/>
      <c r="C50" s="12"/>
      <c r="D50" s="19"/>
      <c r="E50" s="19"/>
      <c r="F50" s="19"/>
    </row>
    <row r="51" spans="2:6" x14ac:dyDescent="0.25">
      <c r="B51" s="20"/>
      <c r="C51" s="66"/>
      <c r="D51" s="67"/>
      <c r="E51" s="67"/>
      <c r="F51" s="67"/>
    </row>
    <row r="52" spans="2:6" x14ac:dyDescent="0.25">
      <c r="B52" s="12"/>
      <c r="C52" s="12"/>
      <c r="D52" s="19"/>
      <c r="E52" s="19"/>
      <c r="F52" s="19"/>
    </row>
    <row r="53" spans="2:6" x14ac:dyDescent="0.25">
      <c r="B53" s="12"/>
      <c r="C53" s="12"/>
      <c r="D53" s="19"/>
      <c r="E53" s="19"/>
      <c r="F53" s="19"/>
    </row>
    <row r="54" spans="2:6" x14ac:dyDescent="0.25">
      <c r="B54" s="12"/>
      <c r="C54" s="12"/>
      <c r="D54" s="19"/>
      <c r="E54" s="19"/>
      <c r="F54" s="19"/>
    </row>
  </sheetData>
  <mergeCells count="14">
    <mergeCell ref="B14:G14"/>
    <mergeCell ref="B21:F21"/>
    <mergeCell ref="B38:F38"/>
    <mergeCell ref="B36:F36"/>
    <mergeCell ref="B37:F37"/>
    <mergeCell ref="B17:F17"/>
    <mergeCell ref="B39:F39"/>
    <mergeCell ref="B40:F40"/>
    <mergeCell ref="B41:F41"/>
    <mergeCell ref="B42:F42"/>
    <mergeCell ref="C51:F51"/>
    <mergeCell ref="B45:F45"/>
    <mergeCell ref="B48:F48"/>
    <mergeCell ref="B49:F49"/>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4"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8"/>
      <c r="C4" s="18"/>
      <c r="D4" s="18"/>
      <c r="E4" s="18"/>
      <c r="F4" s="18"/>
    </row>
    <row r="5" spans="2:6" x14ac:dyDescent="0.25">
      <c r="B5" s="18"/>
      <c r="C5" s="18"/>
      <c r="D5" s="18"/>
      <c r="E5" s="18"/>
      <c r="F5" s="18"/>
    </row>
    <row r="6" spans="2:6" x14ac:dyDescent="0.25">
      <c r="B6" s="18"/>
      <c r="C6" s="18"/>
      <c r="D6" s="18"/>
      <c r="E6" s="18"/>
      <c r="F6" s="18"/>
    </row>
    <row r="7" spans="2:6" x14ac:dyDescent="0.25">
      <c r="B7" s="18"/>
      <c r="C7" s="18"/>
      <c r="D7" s="18"/>
      <c r="E7" s="18"/>
      <c r="F7" s="18"/>
    </row>
    <row r="8" spans="2:6" x14ac:dyDescent="0.25">
      <c r="B8" s="74"/>
      <c r="C8" s="74"/>
      <c r="D8" s="74"/>
      <c r="E8" s="74"/>
      <c r="F8" s="74"/>
    </row>
    <row r="9" spans="2:6" x14ac:dyDescent="0.25">
      <c r="B9" s="40"/>
      <c r="C9" s="40"/>
      <c r="D9" s="40"/>
      <c r="E9" s="40"/>
      <c r="F9" s="40"/>
    </row>
    <row r="10" spans="2:6" x14ac:dyDescent="0.25">
      <c r="B10" s="40"/>
      <c r="C10" s="40"/>
      <c r="D10" s="40"/>
      <c r="E10" s="40"/>
      <c r="F10" s="40"/>
    </row>
    <row r="11" spans="2:6" x14ac:dyDescent="0.25">
      <c r="B11" s="1"/>
      <c r="C11" s="1"/>
      <c r="D11" s="18"/>
      <c r="E11" s="18"/>
      <c r="F11" s="18"/>
    </row>
    <row r="12" spans="2:6" x14ac:dyDescent="0.25">
      <c r="B12" s="1"/>
      <c r="C12" s="1"/>
      <c r="D12" s="18"/>
      <c r="E12" s="18"/>
      <c r="F12" s="18"/>
    </row>
    <row r="13" spans="2:6" x14ac:dyDescent="0.25">
      <c r="B13" s="1"/>
      <c r="C13" s="1"/>
      <c r="D13" s="18"/>
      <c r="E13" s="18"/>
      <c r="F13" s="18"/>
    </row>
    <row r="14" spans="2:6" x14ac:dyDescent="0.25">
      <c r="B14" s="71"/>
      <c r="C14" s="71"/>
      <c r="D14" s="71"/>
      <c r="E14" s="71"/>
      <c r="F14" s="71"/>
    </row>
    <row r="15" spans="2:6" x14ac:dyDescent="0.25">
      <c r="B15" s="16"/>
      <c r="C15" s="16"/>
      <c r="D15" s="16"/>
      <c r="E15" s="16"/>
      <c r="F15" s="16"/>
    </row>
    <row r="16" spans="2:6" x14ac:dyDescent="0.25">
      <c r="B16" s="16"/>
      <c r="C16" s="16"/>
      <c r="D16" s="16"/>
      <c r="E16" s="16"/>
      <c r="F16" s="16"/>
    </row>
    <row r="17" spans="2:10" x14ac:dyDescent="0.25">
      <c r="B17" s="73"/>
      <c r="C17" s="73"/>
      <c r="D17" s="73"/>
      <c r="E17" s="73"/>
      <c r="F17" s="73"/>
    </row>
    <row r="18" spans="2:10" ht="12.75" customHeight="1" x14ac:dyDescent="0.25">
      <c r="B18" s="8"/>
      <c r="C18" s="8"/>
      <c r="D18" s="19"/>
      <c r="E18" s="19"/>
      <c r="F18" s="19"/>
    </row>
    <row r="19" spans="2:10" ht="12.75" customHeight="1" x14ac:dyDescent="0.25">
      <c r="B19" s="8"/>
      <c r="C19" s="8"/>
      <c r="D19" s="19"/>
      <c r="E19" s="19"/>
      <c r="F19" s="19"/>
    </row>
    <row r="20" spans="2:10" ht="17.25" customHeight="1" x14ac:dyDescent="0.25">
      <c r="B20" s="9"/>
      <c r="C20" s="9"/>
      <c r="D20" s="19"/>
      <c r="E20" s="19"/>
      <c r="F20" s="19"/>
    </row>
    <row r="21" spans="2:10" ht="22.5" customHeight="1" x14ac:dyDescent="0.25">
      <c r="B21" s="65"/>
      <c r="C21" s="65"/>
      <c r="D21" s="65"/>
      <c r="E21" s="65"/>
      <c r="F21" s="65"/>
    </row>
    <row r="22" spans="2:10" ht="24" customHeight="1" x14ac:dyDescent="0.25">
      <c r="B22" s="26"/>
      <c r="C22" s="26"/>
      <c r="D22" s="26"/>
      <c r="E22" s="26"/>
      <c r="F22" s="26"/>
    </row>
    <row r="23" spans="2:10" ht="13.5" customHeight="1" x14ac:dyDescent="0.25">
      <c r="B23" s="41"/>
      <c r="C23" s="41"/>
      <c r="D23" s="41"/>
      <c r="E23" s="41"/>
      <c r="F23" s="41"/>
    </row>
    <row r="24" spans="2:10" ht="27" customHeight="1" x14ac:dyDescent="0.25">
      <c r="B24" s="8"/>
      <c r="C24" s="8"/>
      <c r="D24" s="17"/>
      <c r="E24" s="17"/>
      <c r="F24" s="16"/>
    </row>
    <row r="25" spans="2:10" x14ac:dyDescent="0.25">
      <c r="B25" s="43"/>
      <c r="C25" s="44"/>
      <c r="D25" s="5"/>
      <c r="E25" s="46"/>
      <c r="F25" s="47"/>
    </row>
    <row r="26" spans="2:10" x14ac:dyDescent="0.25">
      <c r="B26" s="43"/>
      <c r="C26" s="44"/>
      <c r="D26" s="5"/>
      <c r="E26" s="46"/>
      <c r="F26" s="47"/>
      <c r="J26" s="38"/>
    </row>
    <row r="27" spans="2:10" x14ac:dyDescent="0.25">
      <c r="B27" s="39"/>
      <c r="C27" s="5"/>
      <c r="D27" s="5"/>
      <c r="E27" s="46"/>
      <c r="F27" s="47"/>
    </row>
    <row r="28" spans="2:10" x14ac:dyDescent="0.25">
      <c r="B28" s="4"/>
      <c r="C28" s="45"/>
      <c r="D28" s="5"/>
      <c r="E28" s="10"/>
      <c r="F28" s="10"/>
    </row>
    <row r="29" spans="2:10" x14ac:dyDescent="0.25">
      <c r="B29" s="4"/>
      <c r="C29" s="4"/>
      <c r="D29" s="19"/>
      <c r="E29" s="4"/>
      <c r="F29" s="11"/>
    </row>
    <row r="30" spans="2:10" ht="21" customHeight="1" x14ac:dyDescent="0.25">
      <c r="B30" s="4"/>
      <c r="C30" s="4"/>
      <c r="D30" s="4"/>
      <c r="E30" s="4"/>
      <c r="F30" s="46"/>
    </row>
    <row r="31" spans="2:10" ht="21" customHeight="1" x14ac:dyDescent="0.25">
      <c r="B31" s="4"/>
      <c r="C31" s="4"/>
      <c r="D31" s="4"/>
      <c r="E31" s="4"/>
      <c r="F31" s="46"/>
    </row>
    <row r="32" spans="2:10" ht="21" customHeight="1" x14ac:dyDescent="0.25">
      <c r="B32" s="4"/>
      <c r="C32" s="4"/>
      <c r="D32" s="4"/>
      <c r="E32" s="4"/>
      <c r="F32" s="46"/>
    </row>
    <row r="33" spans="2:8" ht="21" customHeight="1" x14ac:dyDescent="0.25">
      <c r="B33" s="4"/>
      <c r="C33" s="4"/>
      <c r="D33" s="15"/>
      <c r="E33" s="4"/>
      <c r="F33" s="46"/>
    </row>
    <row r="34" spans="2:8" ht="21" customHeight="1" x14ac:dyDescent="0.25">
      <c r="B34" s="4"/>
      <c r="C34" s="4"/>
      <c r="D34" s="15"/>
      <c r="E34" s="4"/>
      <c r="F34" s="46"/>
    </row>
    <row r="35" spans="2:8" x14ac:dyDescent="0.25">
      <c r="B35" s="41"/>
      <c r="C35" s="42"/>
      <c r="D35" s="42"/>
      <c r="E35" s="42"/>
      <c r="F35" s="42"/>
    </row>
    <row r="36" spans="2:8" x14ac:dyDescent="0.25">
      <c r="B36" s="72"/>
      <c r="C36" s="69"/>
      <c r="D36" s="69"/>
      <c r="E36" s="69"/>
      <c r="F36" s="69"/>
    </row>
    <row r="37" spans="2:8" x14ac:dyDescent="0.25">
      <c r="B37" s="72"/>
      <c r="C37" s="69"/>
      <c r="D37" s="69"/>
      <c r="E37" s="69"/>
      <c r="F37" s="69"/>
    </row>
    <row r="38" spans="2:8" ht="27" customHeight="1" x14ac:dyDescent="0.25">
      <c r="B38" s="65"/>
      <c r="C38" s="65"/>
      <c r="D38" s="65"/>
      <c r="E38" s="65"/>
      <c r="F38" s="65"/>
    </row>
    <row r="39" spans="2:8" ht="15" customHeight="1" x14ac:dyDescent="0.25">
      <c r="B39" s="65"/>
      <c r="C39" s="65"/>
      <c r="D39" s="65"/>
      <c r="E39" s="65"/>
      <c r="F39" s="65"/>
    </row>
    <row r="40" spans="2:8" ht="13.5" customHeight="1" x14ac:dyDescent="0.25">
      <c r="B40" s="65"/>
      <c r="C40" s="65"/>
      <c r="D40" s="65"/>
      <c r="E40" s="65"/>
      <c r="F40" s="65"/>
    </row>
    <row r="41" spans="2:8" ht="15" customHeight="1" x14ac:dyDescent="0.25">
      <c r="B41" s="65"/>
      <c r="C41" s="65"/>
      <c r="D41" s="65"/>
      <c r="E41" s="65"/>
      <c r="F41" s="65"/>
    </row>
    <row r="42" spans="2:8" ht="69" customHeight="1" x14ac:dyDescent="0.25">
      <c r="B42" s="65"/>
      <c r="C42" s="65"/>
      <c r="D42" s="65"/>
      <c r="E42" s="65"/>
      <c r="F42" s="65"/>
    </row>
    <row r="43" spans="2:8" ht="16.5" customHeight="1" x14ac:dyDescent="0.25">
      <c r="B43" s="26"/>
      <c r="C43" s="26"/>
      <c r="D43" s="26"/>
      <c r="E43" s="26"/>
      <c r="F43" s="26"/>
    </row>
    <row r="44" spans="2:8" ht="16.5" customHeight="1" x14ac:dyDescent="0.25">
      <c r="B44" s="18"/>
      <c r="C44" s="18"/>
      <c r="D44" s="18"/>
      <c r="E44" s="18"/>
      <c r="F44" s="18"/>
    </row>
    <row r="45" spans="2:8" ht="20.25" customHeight="1" x14ac:dyDescent="0.25">
      <c r="B45" s="68" t="s">
        <v>32</v>
      </c>
      <c r="C45" s="69"/>
      <c r="D45" s="69"/>
      <c r="E45" s="69"/>
      <c r="F45" s="69"/>
    </row>
    <row r="46" spans="2:8" x14ac:dyDescent="0.25">
      <c r="B46" s="9"/>
      <c r="C46" s="9"/>
      <c r="D46" s="19"/>
      <c r="E46" s="19"/>
      <c r="F46" s="19"/>
      <c r="H46" s="13"/>
    </row>
    <row r="47" spans="2:8" x14ac:dyDescent="0.25">
      <c r="B47" s="9"/>
      <c r="C47" s="9"/>
      <c r="D47" s="19"/>
      <c r="E47" s="19"/>
      <c r="F47" s="19"/>
    </row>
    <row r="48" spans="2:8" x14ac:dyDescent="0.25">
      <c r="B48" s="68" t="s">
        <v>33</v>
      </c>
      <c r="C48" s="69"/>
      <c r="D48" s="69"/>
      <c r="E48" s="69"/>
      <c r="F48" s="69"/>
    </row>
    <row r="49" spans="2:6" x14ac:dyDescent="0.25">
      <c r="B49" s="70" t="s">
        <v>34</v>
      </c>
      <c r="C49" s="69"/>
      <c r="D49" s="69"/>
      <c r="E49" s="69"/>
      <c r="F49" s="69"/>
    </row>
    <row r="50" spans="2:6" x14ac:dyDescent="0.25">
      <c r="B50" s="12"/>
      <c r="C50" s="12"/>
      <c r="D50" s="19"/>
      <c r="E50" s="19"/>
      <c r="F50" s="19"/>
    </row>
    <row r="51" spans="2:6" x14ac:dyDescent="0.25">
      <c r="B51" s="20"/>
      <c r="C51" s="66"/>
      <c r="D51" s="67"/>
      <c r="E51" s="67"/>
      <c r="F51" s="67"/>
    </row>
    <row r="52" spans="2:6" x14ac:dyDescent="0.25">
      <c r="B52" s="12"/>
      <c r="C52" s="12"/>
      <c r="D52" s="19"/>
      <c r="E52" s="19"/>
      <c r="F52" s="19"/>
    </row>
    <row r="53" spans="2:6" x14ac:dyDescent="0.25">
      <c r="B53" s="12"/>
      <c r="C53" s="12"/>
      <c r="D53" s="19"/>
      <c r="E53" s="19"/>
      <c r="F53" s="19"/>
    </row>
    <row r="54" spans="2:6" x14ac:dyDescent="0.25">
      <c r="B54" s="12"/>
      <c r="C54" s="12"/>
      <c r="D54" s="19"/>
      <c r="E54" s="19"/>
      <c r="F54" s="19"/>
    </row>
  </sheetData>
  <mergeCells count="15">
    <mergeCell ref="B48:F48"/>
    <mergeCell ref="B49:F49"/>
    <mergeCell ref="C51:F51"/>
    <mergeCell ref="B38:F38"/>
    <mergeCell ref="B39:F39"/>
    <mergeCell ref="B40:F40"/>
    <mergeCell ref="B41:F41"/>
    <mergeCell ref="B42:F42"/>
    <mergeCell ref="B45:F45"/>
    <mergeCell ref="B37:F37"/>
    <mergeCell ref="B8:F8"/>
    <mergeCell ref="B14:F14"/>
    <mergeCell ref="B17:F17"/>
    <mergeCell ref="B21:F21"/>
    <mergeCell ref="B36:F36"/>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2026-09-25T00:17:21Z</cp:lastPrinted>
  <dcterms:created xsi:type="dcterms:W3CDTF">2020-12-14T19:54:01Z</dcterms:created>
  <dcterms:modified xsi:type="dcterms:W3CDTF">2026-09-25T00:23:33Z</dcterms:modified>
</cp:coreProperties>
</file>