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4AAD73B2-6C48-423C-8F76-934C80982F0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3" l="1"/>
  <c r="F33" i="3"/>
  <c r="F32" i="3"/>
  <c r="F31" i="3"/>
  <c r="F36" i="3" l="1"/>
  <c r="D21" i="1"/>
  <c r="D22" i="1" s="1"/>
  <c r="F37" i="3" l="1"/>
  <c r="F38" i="3" l="1"/>
</calcChain>
</file>

<file path=xl/sharedStrings.xml><?xml version="1.0" encoding="utf-8"?>
<sst xmlns="http://schemas.openxmlformats.org/spreadsheetml/2006/main" count="72" uniqueCount="63">
  <si>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</si>
  <si>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</si>
  <si>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</si>
  <si>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</si>
  <si>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</si>
  <si>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</si>
  <si>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</si>
  <si>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</si>
  <si>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</si>
  <si>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</si>
  <si>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</si>
  <si>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</si>
  <si>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</si>
  <si>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</si>
  <si>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</si>
  <si>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</si>
  <si>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</si>
  <si>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</si>
  <si>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</si>
  <si>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</si>
  <si>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</si>
  <si>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</si>
  <si>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</si>
  <si>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</si>
  <si>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</si>
  <si>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</si>
  <si>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</si>
  <si>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</si>
  <si>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</si>
  <si>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</si>
  <si>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</si>
  <si>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</si>
  <si>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</si>
  <si>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</si>
  <si>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</si>
  <si>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</si>
  <si>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</si>
  <si>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</si>
  <si>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</si>
  <si>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</si>
  <si>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</si>
  <si>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</si>
  <si>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</si>
  <si>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</si>
  <si>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</si>
  <si>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</si>
  <si>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</si>
  <si>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</si>
  <si>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RFC: CRE-880613-DY4</t>
  </si>
  <si>
    <t xml:space="preserve">
</t>
  </si>
  <si>
    <t>IVA</t>
  </si>
  <si>
    <t xml:space="preserve">            ____________________________________                                                                         _______________________________________</t>
  </si>
  <si>
    <t xml:space="preserve">1.- SELLADOR INICIAL  (REND. 90-100M2) </t>
  </si>
  <si>
    <t xml:space="preserve">PRESENTAMOS A SU AMABLE CONSIDERACIÓN EL PRESUPUESTO DE SUMINISTRO PARA 640.00M2 DE LOS SIGUIENTES MATERIALES: </t>
  </si>
  <si>
    <t xml:space="preserve">2.- PRAIMER GLASS REF. S.M.A (REND. 85-90M2) </t>
  </si>
  <si>
    <t>3.- CHISA GLASS REF. S.M.A (REND. 55-60M2)</t>
  </si>
  <si>
    <t>4.- VITROGLASS REF. S.M.A (REND. 180-190M2)</t>
  </si>
  <si>
    <t>CIUDAD DE MEXICO A 01 DE JUNIO DEL 2026</t>
  </si>
  <si>
    <t>AT´N: ARQ. FELIX GOMEZ MERIDA</t>
  </si>
  <si>
    <t>PRES. REF. 16552-S/2026CG</t>
  </si>
  <si>
    <t>OBRA: HOSPITAL ISSSTE CHILPANCINGO, GRO</t>
  </si>
  <si>
    <t xml:space="preserve">                   ARQ. FELIX GOMEZ MERIDA</t>
  </si>
  <si>
    <t xml:space="preserve">                                            CHISA RECUBRIMIENTOS, S.A DE C.V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</si>
</sst>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3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2 2 2" xfId="29" xr:uid="{83B69E17-8273-4E74-A737-F0932A48D2A3}"/>
    <cellStyle name="Moneda 2 2 3" xfId="22" xr:uid="{6F78D657-4460-4E3C-985E-FE8FC094CBF6}"/>
    <cellStyle name="Moneda 2 3" xfId="10" xr:uid="{70E3DBA5-2DC9-4FA5-B21F-92486113E324}"/>
    <cellStyle name="Moneda 2 3 2" xfId="26" xr:uid="{928AC8EE-3747-4A4C-B48D-CAEB303512A5}"/>
    <cellStyle name="Moneda 2 4" xfId="16" xr:uid="{0842F33C-72FD-4006-B019-C0E449DE2AFB}"/>
    <cellStyle name="Moneda 2 4 2" xfId="32" xr:uid="{702D70FF-70BE-4E83-A5E0-8040599B662C}"/>
    <cellStyle name="Moneda 2 5" xfId="19" xr:uid="{CF8F97D1-6D10-40FA-A47D-1839B28D8BBA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2 2 2" xfId="28" xr:uid="{8A733A5D-1D1A-4488-8A07-90E67925C6C2}"/>
    <cellStyle name="Moneda 3 2 3" xfId="21" xr:uid="{29F5FF44-5F72-4C51-861A-E57B07D42D8A}"/>
    <cellStyle name="Moneda 3 3" xfId="9" xr:uid="{B30F2482-C691-4188-A461-5D95BD7DF1C4}"/>
    <cellStyle name="Moneda 3 3 2" xfId="25" xr:uid="{D0EE8C54-FE8B-499F-8C2A-07CC8795D27B}"/>
    <cellStyle name="Moneda 3 4" xfId="18" xr:uid="{159EFC4A-E2DF-4E33-9ACF-81B881D8785B}"/>
    <cellStyle name="Moneda 4" xfId="4" xr:uid="{B22E587E-BDF3-423E-A826-5C51B4AD70C8}"/>
    <cellStyle name="Moneda 4 2" xfId="11" xr:uid="{6F67927F-EF73-43AD-81C5-BBB4CC046072}"/>
    <cellStyle name="Moneda 4 2 2" xfId="27" xr:uid="{918D1C58-AE7F-4D25-A9A5-FD3607D1A063}"/>
    <cellStyle name="Moneda 4 3" xfId="20" xr:uid="{61A8FBF2-C5E0-4F61-A0BC-F830520F354E}"/>
    <cellStyle name="Moneda 5" xfId="7" xr:uid="{4C98BA0E-C64A-4FD0-B895-8FB15576F1DD}"/>
    <cellStyle name="Moneda 5 2" xfId="14" xr:uid="{3E37E1D9-4D02-4559-AA3D-BE19B2DE433E}"/>
    <cellStyle name="Moneda 5 2 2" xfId="30" xr:uid="{94AFFECE-C3C5-4007-9791-417C1D37EB2B}"/>
    <cellStyle name="Moneda 5 3" xfId="23" xr:uid="{D016E122-7A18-4481-A375-546597B8A646}"/>
    <cellStyle name="Moneda 6" xfId="8" xr:uid="{12E4A153-B240-40C4-8D05-3993599A81C8}"/>
    <cellStyle name="Moneda 6 2" xfId="24" xr:uid="{ADBDBBA0-869F-4AC4-BBB7-BC907F2324BA}"/>
    <cellStyle name="Moneda 7" xfId="15" xr:uid="{EADE78FA-DAFB-43CD-AA05-380BAEE1D15E}"/>
    <cellStyle name="Moneda 7 2" xfId="31" xr:uid="{C4680140-A3D1-4E22-85D7-857410097249}"/>
    <cellStyle name="Moneda 8" xfId="17" xr:uid="{5F3BBE34-B84E-4E39-B10A-13E6F8FAFF2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3"/>
      <c r="B1" s="64"/>
      <c r="C1" s="64"/>
      <c r="D1" s="64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1" t="s">
        <v>37</v>
      </c>
      <c r="B4" s="51"/>
      <c r="C4" s="51"/>
      <c r="D4" s="51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0" t="s">
        <v>38</v>
      </c>
      <c r="B10" s="60"/>
      <c r="C10" s="60"/>
      <c r="D10" s="60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5" t="s">
        <v>40</v>
      </c>
      <c r="B13" s="66"/>
      <c r="C13" s="66"/>
      <c r="D13" s="66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2" t="s">
        <v>32</v>
      </c>
      <c r="B16" s="62"/>
      <c r="C16" s="62"/>
      <c r="D16" s="62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1" t="s">
        <v>41</v>
      </c>
      <c r="B25" s="61"/>
      <c r="C25" s="61"/>
      <c r="D25" s="61"/>
      <c r="E25" s="11"/>
      <c r="F25" s="11"/>
    </row>
    <row r="26" spans="1:7" ht="12" customHeight="1" x14ac:dyDescent="0.25">
      <c r="A26" s="54" t="s">
        <v>6</v>
      </c>
      <c r="B26" s="54"/>
      <c r="C26" s="54"/>
      <c r="D26" s="54"/>
      <c r="E26" s="5"/>
      <c r="F26" s="11"/>
    </row>
    <row r="27" spans="1:7" ht="57" customHeight="1" x14ac:dyDescent="0.25">
      <c r="A27" s="59" t="s">
        <v>35</v>
      </c>
      <c r="B27" s="59"/>
      <c r="C27" s="59"/>
      <c r="D27" s="59"/>
      <c r="E27" s="5"/>
      <c r="F27" s="11"/>
    </row>
    <row r="28" spans="1:7" ht="15" customHeight="1" x14ac:dyDescent="0.25">
      <c r="A28" s="54" t="s">
        <v>7</v>
      </c>
      <c r="B28" s="54"/>
      <c r="C28" s="54"/>
      <c r="D28" s="54"/>
      <c r="E28" s="5"/>
    </row>
    <row r="29" spans="1:7" ht="33.75" customHeight="1" x14ac:dyDescent="0.25">
      <c r="A29" s="59" t="s">
        <v>8</v>
      </c>
      <c r="B29" s="59"/>
      <c r="C29" s="59"/>
      <c r="D29" s="59"/>
    </row>
    <row r="30" spans="1:7" ht="51" customHeight="1" x14ac:dyDescent="0.25">
      <c r="A30" s="62" t="s">
        <v>9</v>
      </c>
      <c r="B30" s="62"/>
      <c r="C30" s="62"/>
      <c r="D30" s="62"/>
    </row>
    <row r="31" spans="1:7" ht="57" customHeight="1" x14ac:dyDescent="0.25">
      <c r="A31" s="62" t="s">
        <v>10</v>
      </c>
      <c r="B31" s="62"/>
      <c r="C31" s="62"/>
      <c r="D31" s="62"/>
    </row>
    <row r="32" spans="1:7" ht="25.5" customHeight="1" x14ac:dyDescent="0.25">
      <c r="A32" s="62" t="s">
        <v>11</v>
      </c>
      <c r="B32" s="62"/>
      <c r="C32" s="62"/>
      <c r="D32" s="62"/>
      <c r="E32" s="5"/>
    </row>
    <row r="33" spans="1:4" ht="72" customHeight="1" x14ac:dyDescent="0.25">
      <c r="A33" s="59" t="s">
        <v>12</v>
      </c>
      <c r="B33" s="59"/>
      <c r="C33" s="59"/>
      <c r="D33" s="59"/>
    </row>
    <row r="34" spans="1:4" ht="27.75" customHeight="1" x14ac:dyDescent="0.25">
      <c r="A34" s="59" t="s">
        <v>13</v>
      </c>
      <c r="B34" s="59"/>
      <c r="C34" s="59"/>
      <c r="D34" s="59"/>
    </row>
    <row r="35" spans="1:4" ht="61.5" customHeight="1" x14ac:dyDescent="0.25">
      <c r="A35" s="59" t="s">
        <v>14</v>
      </c>
      <c r="B35" s="59"/>
      <c r="C35" s="59"/>
      <c r="D35" s="59"/>
    </row>
    <row r="36" spans="1:4" ht="25.5" customHeight="1" x14ac:dyDescent="0.25">
      <c r="A36" s="59" t="s">
        <v>15</v>
      </c>
      <c r="B36" s="59"/>
      <c r="C36" s="59"/>
      <c r="D36" s="59"/>
    </row>
    <row r="37" spans="1:4" ht="68.25" customHeight="1" x14ac:dyDescent="0.25">
      <c r="A37" s="62" t="s">
        <v>16</v>
      </c>
      <c r="B37" s="62"/>
      <c r="C37" s="62"/>
      <c r="D37" s="62"/>
    </row>
    <row r="38" spans="1:4" ht="29.25" customHeight="1" x14ac:dyDescent="0.25">
      <c r="A38" s="59" t="s">
        <v>17</v>
      </c>
      <c r="B38" s="59"/>
      <c r="C38" s="59"/>
      <c r="D38" s="59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8" t="s">
        <v>31</v>
      </c>
      <c r="C40" s="58"/>
      <c r="D40" s="5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5"/>
  <sheetViews>
    <sheetView tabSelected="1" topLeftCell="A25" zoomScaleNormal="100" zoomScalePageLayoutView="50" workbookViewId="0">
      <selection activeCell="F68" sqref="F68"/>
    </sheetView>
  </sheetViews>
  <sheetFormatPr baseColWidth="10" defaultRowHeight="15" x14ac:dyDescent="0.25"/>
  <cols>
    <col min="1" max="1" width="5.85546875" style="15" customWidth="1"/>
    <col min="2" max="2" width="48.5703125" customWidth="1"/>
    <col min="3" max="3" width="12.85546875" customWidth="1"/>
    <col min="4" max="4" width="11.42578125" customWidth="1"/>
    <col min="5" max="5" width="10.7109375" customWidth="1"/>
    <col min="6" max="6" width="11.8554687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1" t="s">
        <v>57</v>
      </c>
      <c r="C11" s="51"/>
      <c r="D11" s="51"/>
      <c r="E11" s="51"/>
      <c r="F11" s="51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49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48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2" t="s">
        <v>58</v>
      </c>
      <c r="C18" s="52"/>
      <c r="D18" s="52"/>
      <c r="E18" s="52"/>
      <c r="F18" s="52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3"/>
      <c r="C21" s="53"/>
      <c r="D21" s="53"/>
      <c r="E21" s="53"/>
      <c r="F21" s="53"/>
    </row>
    <row r="22" spans="2:6" ht="12.75" customHeight="1" x14ac:dyDescent="0.25">
      <c r="B22" s="8" t="s">
        <v>59</v>
      </c>
      <c r="C22" s="8"/>
      <c r="D22" s="21"/>
      <c r="E22" s="21"/>
      <c r="F22" s="21"/>
    </row>
    <row r="23" spans="2:6" ht="12.75" customHeight="1" x14ac:dyDescent="0.25">
      <c r="B23" s="56" t="s">
        <v>60</v>
      </c>
      <c r="C23" s="57"/>
      <c r="D23" s="57"/>
      <c r="E23" s="57"/>
      <c r="F23" s="57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48" t="s">
        <v>53</v>
      </c>
      <c r="C26" s="48"/>
      <c r="D26" s="48"/>
      <c r="E26" s="48"/>
      <c r="F26" s="48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7" t="s">
        <v>52</v>
      </c>
      <c r="C31" s="39" t="s">
        <v>45</v>
      </c>
      <c r="D31" s="39">
        <v>7</v>
      </c>
      <c r="E31" s="44">
        <v>907.37</v>
      </c>
      <c r="F31" s="44">
        <f>D31*E31</f>
        <v>6351.59</v>
      </c>
    </row>
    <row r="32" spans="2:6" x14ac:dyDescent="0.25">
      <c r="B32" s="41" t="s">
        <v>54</v>
      </c>
      <c r="C32" s="40" t="s">
        <v>45</v>
      </c>
      <c r="D32" s="39">
        <v>8</v>
      </c>
      <c r="E32" s="44">
        <v>1028.18</v>
      </c>
      <c r="F32" s="44">
        <f t="shared" ref="F32:F34" si="0">D32*E32</f>
        <v>8225.44</v>
      </c>
    </row>
    <row r="33" spans="2:6" x14ac:dyDescent="0.25">
      <c r="B33" s="41" t="s">
        <v>55</v>
      </c>
      <c r="C33" s="40" t="s">
        <v>45</v>
      </c>
      <c r="D33" s="39">
        <v>12</v>
      </c>
      <c r="E33" s="44">
        <v>4797.13</v>
      </c>
      <c r="F33" s="44">
        <f t="shared" si="0"/>
        <v>57565.56</v>
      </c>
    </row>
    <row r="34" spans="2:6" x14ac:dyDescent="0.25">
      <c r="B34" s="41" t="s">
        <v>56</v>
      </c>
      <c r="C34" s="40" t="s">
        <v>45</v>
      </c>
      <c r="D34" s="39">
        <v>4</v>
      </c>
      <c r="E34" s="44">
        <v>5023.57</v>
      </c>
      <c r="F34" s="44">
        <f t="shared" si="0"/>
        <v>20094.28</v>
      </c>
    </row>
    <row r="35" spans="2:6" x14ac:dyDescent="0.25">
      <c r="B35" s="41"/>
      <c r="C35" s="40"/>
      <c r="D35" s="39"/>
      <c r="E35" s="42"/>
      <c r="F35" s="42"/>
    </row>
    <row r="36" spans="2:6" x14ac:dyDescent="0.25">
      <c r="B36" s="4"/>
      <c r="C36" s="4"/>
      <c r="D36" s="16"/>
      <c r="E36" s="4" t="s">
        <v>3</v>
      </c>
      <c r="F36" s="11">
        <f>SUM(F31:F35)</f>
        <v>92236.87</v>
      </c>
    </row>
    <row r="37" spans="2:6" x14ac:dyDescent="0.25">
      <c r="B37" s="4"/>
      <c r="C37" s="4"/>
      <c r="D37" s="16"/>
      <c r="E37" s="4" t="s">
        <v>50</v>
      </c>
      <c r="F37" s="11">
        <f>F36*16%</f>
        <v>14757.8992</v>
      </c>
    </row>
    <row r="38" spans="2:6" x14ac:dyDescent="0.25">
      <c r="B38" s="4"/>
      <c r="C38" s="4"/>
      <c r="D38" s="16"/>
      <c r="E38" s="4" t="s">
        <v>44</v>
      </c>
      <c r="F38" s="11">
        <f>F36+F37</f>
        <v>106994.7692</v>
      </c>
    </row>
    <row r="39" spans="2:6" x14ac:dyDescent="0.25">
      <c r="B39" s="4"/>
      <c r="C39" s="4"/>
      <c r="D39" s="16"/>
      <c r="E39" s="4"/>
      <c r="F39" s="11"/>
    </row>
    <row r="40" spans="2:6" x14ac:dyDescent="0.25">
      <c r="B40" s="4"/>
      <c r="C40" s="4"/>
      <c r="D40" s="16"/>
      <c r="E40" s="4"/>
      <c r="F40" s="11"/>
    </row>
    <row r="41" spans="2:6" x14ac:dyDescent="0.25">
      <c r="B41" s="54" t="s">
        <v>23</v>
      </c>
      <c r="C41" s="55"/>
      <c r="D41" s="55"/>
      <c r="E41" s="55"/>
      <c r="F41" s="55"/>
    </row>
    <row r="42" spans="2:6" ht="27.75" customHeight="1" x14ac:dyDescent="0.25">
      <c r="B42" s="48" t="s">
        <v>26</v>
      </c>
      <c r="C42" s="48"/>
      <c r="D42" s="48"/>
      <c r="E42" s="48"/>
      <c r="F42" s="48"/>
    </row>
    <row r="43" spans="2:6" ht="17.25" customHeight="1" x14ac:dyDescent="0.25">
      <c r="B43" s="48" t="s">
        <v>27</v>
      </c>
      <c r="C43" s="48"/>
      <c r="D43" s="48"/>
      <c r="E43" s="48"/>
      <c r="F43" s="48"/>
    </row>
    <row r="44" spans="2:6" ht="15" customHeight="1" x14ac:dyDescent="0.25">
      <c r="B44" s="48" t="s">
        <v>28</v>
      </c>
      <c r="C44" s="48"/>
      <c r="D44" s="48"/>
      <c r="E44" s="48"/>
      <c r="F44" s="48"/>
    </row>
    <row r="45" spans="2:6" ht="18" customHeight="1" x14ac:dyDescent="0.25">
      <c r="B45" s="48" t="s">
        <v>29</v>
      </c>
      <c r="C45" s="48"/>
      <c r="D45" s="48"/>
      <c r="E45" s="48"/>
      <c r="F45" s="48"/>
    </row>
    <row r="46" spans="2:6" ht="96.75" customHeight="1" x14ac:dyDescent="0.25">
      <c r="B46" s="48" t="s">
        <v>30</v>
      </c>
      <c r="C46" s="48"/>
      <c r="D46" s="48"/>
      <c r="E46" s="48"/>
      <c r="F46" s="48"/>
    </row>
    <row r="47" spans="2:6" ht="14.25" customHeight="1" x14ac:dyDescent="0.25">
      <c r="B47" s="34"/>
      <c r="C47" s="34"/>
      <c r="D47" s="34"/>
      <c r="E47" s="34"/>
      <c r="F47" s="34"/>
    </row>
    <row r="48" spans="2:6" ht="14.25" customHeight="1" x14ac:dyDescent="0.25">
      <c r="B48" s="34"/>
      <c r="C48" s="34"/>
      <c r="D48" s="34"/>
      <c r="E48" s="34"/>
      <c r="F48" s="34"/>
    </row>
    <row r="49" spans="2:15" x14ac:dyDescent="0.25">
      <c r="B49" s="20"/>
      <c r="C49" s="20"/>
      <c r="D49" s="20"/>
      <c r="E49" s="20"/>
      <c r="F49" s="20"/>
      <c r="H49" s="14"/>
    </row>
    <row r="50" spans="2:15" x14ac:dyDescent="0.25">
      <c r="B50" s="18" t="s">
        <v>47</v>
      </c>
      <c r="C50" s="37"/>
      <c r="D50" s="47" t="s">
        <v>46</v>
      </c>
      <c r="E50" s="47"/>
      <c r="F50" s="47"/>
    </row>
    <row r="51" spans="2:15" x14ac:dyDescent="0.25">
      <c r="B51" s="9"/>
      <c r="C51" s="9"/>
      <c r="D51" s="21"/>
      <c r="E51" s="21"/>
      <c r="F51" s="21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12" t="s">
        <v>51</v>
      </c>
      <c r="C53" s="12"/>
      <c r="D53" s="12"/>
      <c r="E53" s="12"/>
      <c r="F53" s="12"/>
    </row>
    <row r="54" spans="2:15" ht="15" customHeight="1" x14ac:dyDescent="0.25">
      <c r="B54" s="36" t="s">
        <v>61</v>
      </c>
      <c r="C54" s="49" t="s">
        <v>62</v>
      </c>
      <c r="D54" s="50"/>
      <c r="E54" s="50"/>
      <c r="F54" s="50"/>
      <c r="G54" s="50"/>
    </row>
    <row r="55" spans="2:15" x14ac:dyDescent="0.25">
      <c r="B55" s="23"/>
      <c r="C55" s="35"/>
      <c r="D55" s="35"/>
      <c r="E55" s="35"/>
      <c r="F55" s="35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13"/>
      <c r="C57" s="13"/>
      <c r="D57" s="21"/>
      <c r="E57" s="21"/>
      <c r="F57" s="21"/>
    </row>
    <row r="58" spans="2:15" x14ac:dyDescent="0.25">
      <c r="B58" s="45" t="s">
        <v>24</v>
      </c>
      <c r="C58" s="45"/>
      <c r="D58" s="46"/>
      <c r="E58" s="46"/>
      <c r="F58" s="46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46"/>
      <c r="C59" s="46"/>
      <c r="D59" s="46"/>
      <c r="E59" s="46"/>
      <c r="F59" s="46"/>
      <c r="G59" s="19"/>
      <c r="H59" s="19"/>
      <c r="I59" s="19"/>
      <c r="J59" s="19"/>
      <c r="K59" s="19"/>
      <c r="L59" s="19"/>
      <c r="M59" s="19"/>
      <c r="N59" s="19"/>
      <c r="O59" s="19"/>
    </row>
    <row r="60" spans="2:15" ht="4.5" customHeight="1" x14ac:dyDescent="0.25">
      <c r="B60" s="46"/>
      <c r="C60" s="46"/>
      <c r="D60" s="46"/>
      <c r="E60" s="46"/>
      <c r="F60" s="46"/>
      <c r="G60" s="19"/>
      <c r="H60" s="19"/>
      <c r="I60" s="19"/>
      <c r="J60" s="19"/>
      <c r="K60" s="19"/>
      <c r="L60" s="19"/>
      <c r="M60" s="19"/>
      <c r="N60" s="19"/>
      <c r="O60" s="19"/>
    </row>
    <row r="61" spans="2:15" hidden="1" x14ac:dyDescent="0.25">
      <c r="B61" s="46"/>
      <c r="C61" s="46"/>
      <c r="D61" s="46"/>
      <c r="E61" s="46"/>
      <c r="F61" s="46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</sheetData>
  <mergeCells count="14">
    <mergeCell ref="B11:F11"/>
    <mergeCell ref="B18:F18"/>
    <mergeCell ref="B21:F21"/>
    <mergeCell ref="B26:F26"/>
    <mergeCell ref="B46:F46"/>
    <mergeCell ref="B41:F41"/>
    <mergeCell ref="B23:F23"/>
    <mergeCell ref="B58:F61"/>
    <mergeCell ref="D50:F50"/>
    <mergeCell ref="B42:F42"/>
    <mergeCell ref="B43:F43"/>
    <mergeCell ref="B44:F44"/>
    <mergeCell ref="B45:F45"/>
    <mergeCell ref="C54:G54"/>
  </mergeCells>
  <pageMargins left="0.7" right="0.7" top="0.75" bottom="0.75" header="0.3" footer="0.3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2026-06-01T17:05:51Z</cp:lastPrinted>
  <dcterms:created xsi:type="dcterms:W3CDTF">2020-12-14T19:54:01Z</dcterms:created>
  <dcterms:modified xsi:type="dcterms:W3CDTF">2026-06-01T17:12:29Z</dcterms:modified>
</cp:coreProperties>
</file>