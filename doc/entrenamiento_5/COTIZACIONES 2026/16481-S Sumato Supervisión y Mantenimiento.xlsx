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BAD9B024-D303-460F-A6EB-8CEA2CBADB6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9" i="3" l="1"/>
  <c r="F33" i="3" l="1"/>
  <c r="F34" i="3" s="1"/>
  <c r="F35" i="3" s="1"/>
  <c r="D21" i="1"/>
  <c r="D22" i="1" s="1"/>
</calcChain>
</file>

<file path=xl/sharedStrings.xml><?xml version="1.0" encoding="utf-8"?>
<sst xmlns="http://schemas.openxmlformats.org/spreadsheetml/2006/main" count="66" uniqueCount="60">
  <si>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</si>
  <si>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</si>
  <si>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</si>
  <si>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</si>
  <si>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</si>
  <si>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</si>
  <si>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</si>
  <si>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</si>
  <si>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</si>
  <si>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</si>
  <si>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</si>
  <si>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</si>
  <si>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</si>
  <si>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</si>
  <si>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</si>
  <si>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</si>
  <si>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</si>
  <si>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</si>
  <si>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</si>
  <si>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</si>
  <si>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</si>
  <si>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</si>
  <si>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</si>
  <si>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</si>
  <si>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</si>
  <si>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</si>
  <si>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</si>
  <si>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</si>
  <si>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</si>
  <si>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</si>
  <si>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</si>
  <si>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</si>
  <si>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</si>
  <si>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</si>
  <si>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</si>
  <si>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</si>
  <si>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</si>
  <si>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</si>
  <si>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</si>
  <si>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</si>
  <si>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</si>
  <si>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</si>
  <si>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</si>
  <si>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</si>
  <si>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</si>
  <si>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</si>
  <si>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</si>
  <si>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</si>
  <si>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</si>
  <si>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t xml:space="preserve">            ____________________________________                                                                                    _______________________________________</t>
  </si>
  <si>
    <t>RFC: CRE-880613-DY4</t>
  </si>
  <si>
    <t xml:space="preserve">                                         CHISA RECUBRIMIENTOS, S.A DE C.V</t>
  </si>
  <si>
    <t xml:space="preserve">
</t>
  </si>
  <si>
    <t>AT´N: ARQ. JESICA YOVAL</t>
  </si>
  <si>
    <t>CONSTRUCTORA: SUMATO SUPERVISION Y MANTENIMIENTO</t>
  </si>
  <si>
    <t xml:space="preserve">                           ARQ. JESICA YOVAL</t>
  </si>
  <si>
    <t>CIUDAD DE MEXICO A 09 DE ABRIL DEL 2026</t>
  </si>
  <si>
    <t>PRES. REF. 16481-S/2026CG</t>
  </si>
  <si>
    <t>1.- ARENA SILICIA 250-300 (REND. 22M2)</t>
  </si>
  <si>
    <t xml:space="preserve">PRESENTAMOS A SU AMABLE CONSIDERACIÓN EL PRESUPUESTO DE SUMINISTRO PARA 480M2 DE LOS SIGUIENTES MATERIALES: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</si>
</sst>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;[Red]\-&quot;$&quot;#,##0.00"/>
    <numFmt numFmtId="44" formatCode="_-&quot;$&quot;* #,##0.00_-;\-&quot;$&quot;* #,##0.00_-;_-&quot;$&quot;* &quot;-&quot;??_-;_-@_-"/>
    <numFmt numFmtId="167" formatCode="_-&quot;$&quot;* #,##0.00_-;\-&quot;$&quot;* #,##0.00_-;_-&quot;$&quot;* &quot;-&quot;??_-;_-@_-"/>
    <numFmt numFmtId="169" formatCode="&quot;$&quot;#,##0.00"/>
  </numFmts>
  <fonts count="10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5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0" fillId="0" borderId="0" xfId="0" applyAlignment="1">
      <alignment horizontal="right" vertical="top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/>
    </xf>
    <xf numFmtId="0" fontId="1" fillId="0" borderId="0" xfId="0" applyFont="1" applyAlignment="1">
      <alignment horizontal="center"/>
    </xf>
    <xf numFmtId="167" fontId="1" fillId="0" borderId="0" xfId="0" applyNumberFormat="1" applyFont="1" applyAlignment="1">
      <alignment horizontal="right" vertical="center"/>
    </xf>
    <xf numFmtId="169" fontId="1" fillId="0" borderId="0" xfId="0" applyNumberFormat="1" applyFont="1" applyAlignment="1">
      <alignment horizontal="right" vertical="center"/>
    </xf>
  </cellXfs>
  <cellStyles count="45">
    <cellStyle name="Moneda" xfId="1" builtinId="4"/>
    <cellStyle name="Moneda 10" xfId="14" xr:uid="{4746202D-1C38-4B69-A5EB-350E64AAB6C9}"/>
    <cellStyle name="Moneda 11" xfId="43" xr:uid="{86BA39AF-1F0E-4477-AE49-A92F4452408B}"/>
    <cellStyle name="Moneda 12" xfId="8" xr:uid="{964689C8-E691-498F-8ADA-E4329C875804}"/>
    <cellStyle name="Moneda 13" xfId="7" xr:uid="{ECD363AB-DB92-49C2-83D2-51DEC5CA8349}"/>
    <cellStyle name="Moneda 2" xfId="3" xr:uid="{D3D43636-F670-4A3B-86BA-3AD6C377F933}"/>
    <cellStyle name="Moneda 2 2" xfId="6" xr:uid="{B9BF51E9-79A0-4D6C-98B8-BEF01062A514}"/>
    <cellStyle name="Moneda 2 2 2" xfId="26" xr:uid="{FA03C8AC-7918-4DDA-B9E6-9E610050F339}"/>
    <cellStyle name="Moneda 2 2 3" xfId="35" xr:uid="{9C149F53-FE2F-4E5C-B6CD-4D2FC86CCC66}"/>
    <cellStyle name="Moneda 2 2 4" xfId="42" xr:uid="{55C5393E-1F4D-4F44-B921-FFAD34727389}"/>
    <cellStyle name="Moneda 2 2 5" xfId="19" xr:uid="{085C822B-D0AD-44EE-BACE-D87A70BE40DB}"/>
    <cellStyle name="Moneda 2 2 6" xfId="13" xr:uid="{BC8C4CD6-A1CB-4B42-962D-0FE33141B6C9}"/>
    <cellStyle name="Moneda 2 3" xfId="23" xr:uid="{7E922771-4805-4939-ADD1-A8D64DD0C595}"/>
    <cellStyle name="Moneda 2 4" xfId="29" xr:uid="{3EC8F7C9-8617-467D-AB04-3343115EB770}"/>
    <cellStyle name="Moneda 2 5" xfId="32" xr:uid="{B8C780E1-1D93-4376-A482-4AFD5A9269B3}"/>
    <cellStyle name="Moneda 2 6" xfId="38" xr:uid="{AD0A78A2-1DB2-46C8-A1CF-C5DABF58A5F5}"/>
    <cellStyle name="Moneda 2 7" xfId="16" xr:uid="{F7FEF0B4-F8E2-41C1-BBBA-E9A0C5BA2E17}"/>
    <cellStyle name="Moneda 2 8" xfId="44" xr:uid="{137E435C-443A-42C8-B65E-60441AB07252}"/>
    <cellStyle name="Moneda 2 9" xfId="10" xr:uid="{0D217FC0-8F4D-4E8E-8964-A3B35F25DDA1}"/>
    <cellStyle name="Moneda 3" xfId="2" xr:uid="{7EC489B4-E676-4390-AA02-61E720AF151B}"/>
    <cellStyle name="Moneda 3 2" xfId="5" xr:uid="{54D45928-7C5D-432D-94C9-47D8EA846E78}"/>
    <cellStyle name="Moneda 3 2 2" xfId="25" xr:uid="{19DD7260-4068-4C25-B0CD-ABABEB594E4E}"/>
    <cellStyle name="Moneda 3 2 3" xfId="34" xr:uid="{71F2E96E-62D0-4103-A84D-EB47F7F73CD5}"/>
    <cellStyle name="Moneda 3 2 4" xfId="41" xr:uid="{376145A5-08E6-46B6-8C85-2522AC0BF362}"/>
    <cellStyle name="Moneda 3 2 5" xfId="18" xr:uid="{34C0163B-051C-46E3-995F-4B9F1C70DDBD}"/>
    <cellStyle name="Moneda 3 2 6" xfId="12" xr:uid="{A3753876-1A2C-4E61-82A5-B1DD3BC4BF01}"/>
    <cellStyle name="Moneda 3 3" xfId="22" xr:uid="{FA4029DC-8178-46B4-BC61-1B79D846207C}"/>
    <cellStyle name="Moneda 3 4" xfId="31" xr:uid="{4545A261-B7AA-4D32-BB1B-635BF56DC64E}"/>
    <cellStyle name="Moneda 3 5" xfId="37" xr:uid="{B891E73E-C4FC-4D0E-938D-52153D042BCA}"/>
    <cellStyle name="Moneda 3 6" xfId="15" xr:uid="{15DBFCC1-D5D9-44C5-BB0C-7C8530D7FC05}"/>
    <cellStyle name="Moneda 3 7" xfId="9" xr:uid="{8636369A-407B-436D-83BB-ED9D4CBBB7D9}"/>
    <cellStyle name="Moneda 4" xfId="4" xr:uid="{B22E587E-BDF3-423E-A826-5C51B4AD70C8}"/>
    <cellStyle name="Moneda 4 2" xfId="24" xr:uid="{7BC5ACD4-3E9D-4C00-A081-B83D0F7E76CC}"/>
    <cellStyle name="Moneda 4 3" xfId="33" xr:uid="{DC788A9B-48EB-4C7E-80D4-C667FB21D8D2}"/>
    <cellStyle name="Moneda 4 4" xfId="39" xr:uid="{EE1DE6CB-EB24-4E10-8DFA-D65856DBFFF5}"/>
    <cellStyle name="Moneda 4 5" xfId="17" xr:uid="{21430C1C-1D5F-41D8-9808-4581BF43E098}"/>
    <cellStyle name="Moneda 4 6" xfId="11" xr:uid="{6E8C49F4-B9EC-4BC3-BFE0-50A9726396CA}"/>
    <cellStyle name="Moneda 5" xfId="20" xr:uid="{AFE125A7-77AE-469D-805B-9BE9A15BF00F}"/>
    <cellStyle name="Moneda 5 2" xfId="27" xr:uid="{7C670375-D8A3-48E3-B7C8-B409EA146905}"/>
    <cellStyle name="Moneda 5 3" xfId="40" xr:uid="{DF07498A-C8EC-4DDC-8E38-B1750FFA509D}"/>
    <cellStyle name="Moneda 6" xfId="21" xr:uid="{ED66B640-E8F4-4CA5-B1FB-3140BEA7EBDF}"/>
    <cellStyle name="Moneda 7" xfId="28" xr:uid="{592C47DB-91EC-4C4B-9B01-6275A78808AC}"/>
    <cellStyle name="Moneda 8" xfId="30" xr:uid="{06C9A82A-1318-42CF-A099-AAE1089799C3}"/>
    <cellStyle name="Moneda 9" xfId="36" xr:uid="{CE7BBEF7-CA43-47E6-9B08-18359914167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55"/>
      <c r="B1" s="56"/>
      <c r="C1" s="56"/>
      <c r="D1" s="56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44" t="s">
        <v>37</v>
      </c>
      <c r="B4" s="44"/>
      <c r="C4" s="44"/>
      <c r="D4" s="44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62" t="s">
        <v>38</v>
      </c>
      <c r="B10" s="62"/>
      <c r="C10" s="62"/>
      <c r="D10" s="62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57" t="s">
        <v>40</v>
      </c>
      <c r="B13" s="58"/>
      <c r="C13" s="58"/>
      <c r="D13" s="58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60" t="s">
        <v>32</v>
      </c>
      <c r="B16" s="60"/>
      <c r="C16" s="60"/>
      <c r="D16" s="60"/>
      <c r="E16" s="3"/>
      <c r="F16" s="3"/>
      <c r="G16" s="3"/>
    </row>
    <row r="17" spans="1:7" ht="21.75" customHeight="1" x14ac:dyDescent="0.25">
      <c r="A17" s="28" t="s">
        <v>33</v>
      </c>
      <c r="B17" s="24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34</v>
      </c>
      <c r="B18" s="33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63" t="s">
        <v>41</v>
      </c>
      <c r="B25" s="63"/>
      <c r="C25" s="63"/>
      <c r="D25" s="63"/>
      <c r="E25" s="11"/>
      <c r="F25" s="11"/>
    </row>
    <row r="26" spans="1:7" ht="12" customHeight="1" x14ac:dyDescent="0.25">
      <c r="A26" s="48" t="s">
        <v>6</v>
      </c>
      <c r="B26" s="48"/>
      <c r="C26" s="48"/>
      <c r="D26" s="48"/>
      <c r="E26" s="5"/>
      <c r="F26" s="11"/>
    </row>
    <row r="27" spans="1:7" ht="57" customHeight="1" x14ac:dyDescent="0.25">
      <c r="A27" s="59" t="s">
        <v>35</v>
      </c>
      <c r="B27" s="59"/>
      <c r="C27" s="59"/>
      <c r="D27" s="59"/>
      <c r="E27" s="5"/>
      <c r="F27" s="11"/>
    </row>
    <row r="28" spans="1:7" ht="15" customHeight="1" x14ac:dyDescent="0.25">
      <c r="A28" s="48" t="s">
        <v>7</v>
      </c>
      <c r="B28" s="48"/>
      <c r="C28" s="48"/>
      <c r="D28" s="48"/>
      <c r="E28" s="5"/>
    </row>
    <row r="29" spans="1:7" ht="33.75" customHeight="1" x14ac:dyDescent="0.25">
      <c r="A29" s="59" t="s">
        <v>8</v>
      </c>
      <c r="B29" s="59"/>
      <c r="C29" s="59"/>
      <c r="D29" s="59"/>
    </row>
    <row r="30" spans="1:7" ht="51" customHeight="1" x14ac:dyDescent="0.25">
      <c r="A30" s="60" t="s">
        <v>9</v>
      </c>
      <c r="B30" s="60"/>
      <c r="C30" s="60"/>
      <c r="D30" s="60"/>
    </row>
    <row r="31" spans="1:7" ht="57" customHeight="1" x14ac:dyDescent="0.25">
      <c r="A31" s="60" t="s">
        <v>10</v>
      </c>
      <c r="B31" s="60"/>
      <c r="C31" s="60"/>
      <c r="D31" s="60"/>
    </row>
    <row r="32" spans="1:7" ht="25.5" customHeight="1" x14ac:dyDescent="0.25">
      <c r="A32" s="60" t="s">
        <v>11</v>
      </c>
      <c r="B32" s="60"/>
      <c r="C32" s="60"/>
      <c r="D32" s="60"/>
      <c r="E32" s="5"/>
    </row>
    <row r="33" spans="1:4" ht="72" customHeight="1" x14ac:dyDescent="0.25">
      <c r="A33" s="59" t="s">
        <v>12</v>
      </c>
      <c r="B33" s="59"/>
      <c r="C33" s="59"/>
      <c r="D33" s="59"/>
    </row>
    <row r="34" spans="1:4" ht="27.75" customHeight="1" x14ac:dyDescent="0.25">
      <c r="A34" s="59" t="s">
        <v>13</v>
      </c>
      <c r="B34" s="59"/>
      <c r="C34" s="59"/>
      <c r="D34" s="59"/>
    </row>
    <row r="35" spans="1:4" ht="61.5" customHeight="1" x14ac:dyDescent="0.25">
      <c r="A35" s="59" t="s">
        <v>14</v>
      </c>
      <c r="B35" s="59"/>
      <c r="C35" s="59"/>
      <c r="D35" s="59"/>
    </row>
    <row r="36" spans="1:4" ht="25.5" customHeight="1" x14ac:dyDescent="0.25">
      <c r="A36" s="59" t="s">
        <v>15</v>
      </c>
      <c r="B36" s="59"/>
      <c r="C36" s="59"/>
      <c r="D36" s="59"/>
    </row>
    <row r="37" spans="1:4" ht="68.25" customHeight="1" x14ac:dyDescent="0.25">
      <c r="A37" s="60" t="s">
        <v>16</v>
      </c>
      <c r="B37" s="60"/>
      <c r="C37" s="60"/>
      <c r="D37" s="60"/>
    </row>
    <row r="38" spans="1:4" ht="29.25" customHeight="1" x14ac:dyDescent="0.25">
      <c r="A38" s="59" t="s">
        <v>17</v>
      </c>
      <c r="B38" s="59"/>
      <c r="C38" s="59"/>
      <c r="D38" s="59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61" t="s">
        <v>31</v>
      </c>
      <c r="C40" s="61"/>
      <c r="D40" s="61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  <mergeCell ref="A1:D1"/>
    <mergeCell ref="A13:D13"/>
    <mergeCell ref="A36:D36"/>
    <mergeCell ref="A37:D37"/>
    <mergeCell ref="A33:D33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3"/>
  <sheetViews>
    <sheetView tabSelected="1" topLeftCell="A25" zoomScaleNormal="100" zoomScalePageLayoutView="50" workbookViewId="0">
      <selection activeCell="B24" sqref="B24:F24"/>
    </sheetView>
  </sheetViews>
  <sheetFormatPr baseColWidth="10" defaultRowHeight="15" x14ac:dyDescent="0.25"/>
  <cols>
    <col min="1" max="1" width="5.85546875" style="15" customWidth="1"/>
    <col min="2" max="2" width="52.140625" customWidth="1"/>
    <col min="3" max="3" width="12.85546875" customWidth="1"/>
    <col min="4" max="4" width="11.42578125" customWidth="1"/>
    <col min="5" max="5" width="10.7109375" customWidth="1"/>
    <col min="6" max="6" width="10.5703125" customWidth="1"/>
  </cols>
  <sheetData>
    <row r="4" spans="2:6" x14ac:dyDescent="0.25">
      <c r="B4" s="20"/>
      <c r="C4" s="20"/>
      <c r="D4" s="20"/>
      <c r="E4" s="20"/>
      <c r="F4" s="20"/>
    </row>
    <row r="5" spans="2:6" x14ac:dyDescent="0.25">
      <c r="B5" s="20"/>
      <c r="C5" s="20"/>
      <c r="D5" s="20"/>
      <c r="E5" s="20"/>
      <c r="F5" s="20"/>
    </row>
    <row r="6" spans="2:6" x14ac:dyDescent="0.25">
      <c r="B6" s="20"/>
      <c r="C6" s="20"/>
      <c r="D6" s="20"/>
      <c r="E6" s="20"/>
      <c r="F6" s="20"/>
    </row>
    <row r="7" spans="2:6" x14ac:dyDescent="0.25">
      <c r="B7" s="20"/>
      <c r="C7" s="20"/>
      <c r="D7" s="20"/>
      <c r="E7" s="20"/>
      <c r="F7" s="20"/>
    </row>
    <row r="8" spans="2:6" x14ac:dyDescent="0.25">
      <c r="B8" s="20"/>
      <c r="C8" s="20"/>
      <c r="D8" s="20"/>
      <c r="E8" s="20"/>
      <c r="F8" s="20"/>
    </row>
    <row r="9" spans="2:6" x14ac:dyDescent="0.25">
      <c r="B9" s="44" t="s">
        <v>56</v>
      </c>
      <c r="C9" s="44"/>
      <c r="D9" s="44"/>
      <c r="E9" s="44"/>
      <c r="F9" s="44"/>
    </row>
    <row r="10" spans="2:6" x14ac:dyDescent="0.25">
      <c r="B10" s="18"/>
      <c r="C10" s="26"/>
      <c r="D10" s="26"/>
      <c r="E10" s="26"/>
      <c r="F10" s="26"/>
    </row>
    <row r="11" spans="2:6" x14ac:dyDescent="0.25">
      <c r="B11" s="26"/>
      <c r="C11" s="26"/>
      <c r="D11" s="26"/>
      <c r="E11" s="26"/>
      <c r="F11" s="26"/>
    </row>
    <row r="12" spans="2:6" ht="26.25" customHeight="1" x14ac:dyDescent="0.25">
      <c r="B12" s="43" t="s">
        <v>52</v>
      </c>
      <c r="C12" s="1"/>
      <c r="D12" s="20"/>
      <c r="E12" s="20"/>
      <c r="F12" s="20"/>
    </row>
    <row r="13" spans="2:6" x14ac:dyDescent="0.25">
      <c r="B13" s="1" t="s">
        <v>0</v>
      </c>
      <c r="C13" s="1"/>
      <c r="D13" s="20"/>
      <c r="E13" s="20"/>
      <c r="F13" s="20"/>
    </row>
    <row r="14" spans="2:6" x14ac:dyDescent="0.25">
      <c r="B14" s="8" t="s">
        <v>50</v>
      </c>
      <c r="C14" s="1"/>
      <c r="D14" s="20"/>
      <c r="E14" s="20"/>
      <c r="F14" s="20"/>
    </row>
    <row r="15" spans="2:6" x14ac:dyDescent="0.25">
      <c r="B15" s="8"/>
      <c r="C15" s="1"/>
      <c r="D15" s="20"/>
      <c r="E15" s="20"/>
      <c r="F15" s="20"/>
    </row>
    <row r="16" spans="2:6" x14ac:dyDescent="0.25">
      <c r="B16" s="45" t="s">
        <v>53</v>
      </c>
      <c r="C16" s="45"/>
      <c r="D16" s="45"/>
      <c r="E16" s="45"/>
      <c r="F16" s="45"/>
    </row>
    <row r="17" spans="1:6" x14ac:dyDescent="0.25">
      <c r="B17" s="38"/>
      <c r="C17" s="38"/>
      <c r="D17" s="38"/>
      <c r="E17" s="38"/>
      <c r="F17" s="38"/>
    </row>
    <row r="18" spans="1:6" x14ac:dyDescent="0.25">
      <c r="B18" s="38"/>
      <c r="C18" s="38"/>
      <c r="D18" s="38"/>
      <c r="E18" s="38"/>
      <c r="F18" s="38"/>
    </row>
    <row r="19" spans="1:6" x14ac:dyDescent="0.25">
      <c r="B19" s="46" t="s">
        <v>54</v>
      </c>
      <c r="C19" s="46"/>
      <c r="D19" s="46"/>
      <c r="E19" s="46"/>
      <c r="F19" s="46"/>
    </row>
    <row r="20" spans="1:6" ht="12.75" customHeight="1" x14ac:dyDescent="0.25">
      <c r="B20" s="8" t="s">
        <v>57</v>
      </c>
      <c r="C20" s="8"/>
      <c r="D20" s="21"/>
      <c r="E20" s="21"/>
      <c r="F20" s="21"/>
    </row>
    <row r="21" spans="1:6" ht="12.75" customHeight="1" x14ac:dyDescent="0.25">
      <c r="B21" s="8"/>
      <c r="C21" s="8"/>
      <c r="D21" s="21"/>
      <c r="E21" s="21"/>
      <c r="F21" s="21"/>
    </row>
    <row r="22" spans="1:6" ht="12.75" customHeight="1" x14ac:dyDescent="0.25">
      <c r="B22" s="8"/>
      <c r="C22" s="8"/>
      <c r="D22" s="21"/>
      <c r="E22" s="21"/>
      <c r="F22" s="21"/>
    </row>
    <row r="23" spans="1:6" ht="13.5" customHeight="1" x14ac:dyDescent="0.25">
      <c r="B23" s="9" t="s">
        <v>2</v>
      </c>
      <c r="C23" s="9"/>
      <c r="D23" s="21"/>
      <c r="E23" s="21"/>
      <c r="F23" s="21"/>
    </row>
    <row r="24" spans="1:6" ht="23.25" customHeight="1" x14ac:dyDescent="0.25">
      <c r="B24" s="47" t="s">
        <v>59</v>
      </c>
      <c r="C24" s="47"/>
      <c r="D24" s="47"/>
      <c r="E24" s="47"/>
      <c r="F24" s="47"/>
    </row>
    <row r="25" spans="1:6" ht="18" customHeight="1" x14ac:dyDescent="0.25">
      <c r="B25" s="34"/>
      <c r="C25" s="34"/>
      <c r="D25" s="34"/>
      <c r="E25" s="34"/>
      <c r="F25" s="34"/>
    </row>
    <row r="26" spans="1:6" ht="18" customHeight="1" x14ac:dyDescent="0.25">
      <c r="B26" s="34"/>
      <c r="C26" s="34"/>
      <c r="D26" s="34"/>
      <c r="E26" s="34"/>
      <c r="F26" s="34"/>
    </row>
    <row r="27" spans="1:6" x14ac:dyDescent="0.25">
      <c r="B27" s="8" t="s">
        <v>21</v>
      </c>
      <c r="C27" s="8"/>
      <c r="D27" s="18" t="s">
        <v>19</v>
      </c>
      <c r="E27" s="18" t="s">
        <v>25</v>
      </c>
      <c r="F27" s="17" t="s">
        <v>20</v>
      </c>
    </row>
    <row r="28" spans="1:6" x14ac:dyDescent="0.25">
      <c r="B28" s="7"/>
      <c r="C28" s="8"/>
      <c r="D28" s="17"/>
      <c r="E28" s="17"/>
      <c r="F28" s="17"/>
    </row>
    <row r="29" spans="1:6" x14ac:dyDescent="0.25">
      <c r="B29" s="67" t="s">
        <v>58</v>
      </c>
      <c r="C29" s="66" t="s">
        <v>46</v>
      </c>
      <c r="D29" s="68">
        <v>22</v>
      </c>
      <c r="E29" s="69">
        <v>1398.64</v>
      </c>
      <c r="F29" s="70">
        <f>D29*E29</f>
        <v>30770.080000000002</v>
      </c>
    </row>
    <row r="30" spans="1:6" s="64" customFormat="1" x14ac:dyDescent="0.25">
      <c r="A30" s="65"/>
      <c r="B30" s="67"/>
      <c r="C30" s="66"/>
      <c r="D30" s="68"/>
      <c r="E30" s="69"/>
      <c r="F30" s="70"/>
    </row>
    <row r="31" spans="1:6" x14ac:dyDescent="0.25">
      <c r="B31" s="41"/>
      <c r="C31" s="40"/>
      <c r="D31" s="39"/>
      <c r="E31" s="42"/>
      <c r="F31" s="42"/>
    </row>
    <row r="32" spans="1:6" x14ac:dyDescent="0.25">
      <c r="B32" s="41"/>
      <c r="C32" s="40"/>
      <c r="D32" s="39"/>
      <c r="E32" s="42"/>
      <c r="F32" s="42"/>
    </row>
    <row r="33" spans="2:8" x14ac:dyDescent="0.25">
      <c r="B33" s="4"/>
      <c r="C33" s="4"/>
      <c r="D33" s="16"/>
      <c r="E33" s="4" t="s">
        <v>3</v>
      </c>
      <c r="F33" s="11">
        <f>SUM(F29:F32)</f>
        <v>30770.080000000002</v>
      </c>
    </row>
    <row r="34" spans="2:8" x14ac:dyDescent="0.25">
      <c r="B34" s="4"/>
      <c r="C34" s="4"/>
      <c r="D34" s="16"/>
      <c r="E34" s="4" t="s">
        <v>44</v>
      </c>
      <c r="F34" s="11">
        <f>F33*16%</f>
        <v>4923.2128000000002</v>
      </c>
    </row>
    <row r="35" spans="2:8" x14ac:dyDescent="0.25">
      <c r="B35" s="4"/>
      <c r="C35" s="4"/>
      <c r="D35" s="16"/>
      <c r="E35" s="4" t="s">
        <v>45</v>
      </c>
      <c r="F35" s="11">
        <f>F33+F34</f>
        <v>35693.292800000003</v>
      </c>
    </row>
    <row r="36" spans="2:8" x14ac:dyDescent="0.25">
      <c r="B36" s="4"/>
      <c r="C36" s="4"/>
      <c r="D36" s="16"/>
      <c r="E36" s="4"/>
      <c r="F36" s="11"/>
    </row>
    <row r="37" spans="2:8" x14ac:dyDescent="0.25">
      <c r="B37" s="4"/>
      <c r="C37" s="4"/>
      <c r="D37" s="16"/>
      <c r="E37" s="4"/>
      <c r="F37" s="11"/>
    </row>
    <row r="38" spans="2:8" x14ac:dyDescent="0.25">
      <c r="B38" s="4"/>
      <c r="C38" s="4"/>
      <c r="D38" s="16"/>
      <c r="E38" s="4"/>
      <c r="F38" s="11"/>
    </row>
    <row r="39" spans="2:8" x14ac:dyDescent="0.25">
      <c r="B39" s="48" t="s">
        <v>23</v>
      </c>
      <c r="C39" s="49"/>
      <c r="D39" s="49"/>
      <c r="E39" s="49"/>
      <c r="F39" s="49"/>
    </row>
    <row r="40" spans="2:8" ht="27.75" customHeight="1" x14ac:dyDescent="0.25">
      <c r="B40" s="47" t="s">
        <v>26</v>
      </c>
      <c r="C40" s="47"/>
      <c r="D40" s="47"/>
      <c r="E40" s="47"/>
      <c r="F40" s="47"/>
    </row>
    <row r="41" spans="2:8" ht="17.25" customHeight="1" x14ac:dyDescent="0.25">
      <c r="B41" s="47" t="s">
        <v>27</v>
      </c>
      <c r="C41" s="47"/>
      <c r="D41" s="47"/>
      <c r="E41" s="47"/>
      <c r="F41" s="47"/>
    </row>
    <row r="42" spans="2:8" ht="15" customHeight="1" x14ac:dyDescent="0.25">
      <c r="B42" s="47" t="s">
        <v>28</v>
      </c>
      <c r="C42" s="47"/>
      <c r="D42" s="47"/>
      <c r="E42" s="47"/>
      <c r="F42" s="47"/>
    </row>
    <row r="43" spans="2:8" ht="18" customHeight="1" x14ac:dyDescent="0.25">
      <c r="B43" s="47" t="s">
        <v>29</v>
      </c>
      <c r="C43" s="47"/>
      <c r="D43" s="47"/>
      <c r="E43" s="47"/>
      <c r="F43" s="47"/>
    </row>
    <row r="44" spans="2:8" ht="96.75" customHeight="1" x14ac:dyDescent="0.25">
      <c r="B44" s="47" t="s">
        <v>30</v>
      </c>
      <c r="C44" s="47"/>
      <c r="D44" s="47"/>
      <c r="E44" s="47"/>
      <c r="F44" s="47"/>
    </row>
    <row r="45" spans="2:8" ht="14.25" customHeight="1" x14ac:dyDescent="0.25">
      <c r="B45" s="34"/>
      <c r="C45" s="34"/>
      <c r="D45" s="34"/>
      <c r="E45" s="34"/>
      <c r="F45" s="34"/>
    </row>
    <row r="46" spans="2:8" ht="14.25" customHeight="1" x14ac:dyDescent="0.25">
      <c r="B46" s="34"/>
      <c r="C46" s="34"/>
      <c r="D46" s="34"/>
      <c r="E46" s="34"/>
      <c r="F46" s="34"/>
    </row>
    <row r="47" spans="2:8" x14ac:dyDescent="0.25">
      <c r="B47" s="20"/>
      <c r="C47" s="20"/>
      <c r="D47" s="20"/>
      <c r="E47" s="20"/>
      <c r="F47" s="20"/>
      <c r="H47" s="14"/>
    </row>
    <row r="48" spans="2:8" x14ac:dyDescent="0.25">
      <c r="B48" s="18" t="s">
        <v>48</v>
      </c>
      <c r="C48" s="37"/>
      <c r="D48" s="52" t="s">
        <v>47</v>
      </c>
      <c r="E48" s="52"/>
      <c r="F48" s="52"/>
    </row>
    <row r="49" spans="2:15" x14ac:dyDescent="0.25">
      <c r="B49" s="9"/>
      <c r="C49" s="9"/>
      <c r="D49" s="21"/>
      <c r="E49" s="21"/>
      <c r="F49" s="21"/>
    </row>
    <row r="50" spans="2:15" x14ac:dyDescent="0.25">
      <c r="B50" s="9"/>
      <c r="C50" s="9"/>
      <c r="D50" s="21"/>
      <c r="E50" s="21"/>
      <c r="F50" s="21"/>
    </row>
    <row r="51" spans="2:15" x14ac:dyDescent="0.25">
      <c r="B51" s="12" t="s">
        <v>49</v>
      </c>
      <c r="C51" s="12"/>
      <c r="D51" s="12"/>
      <c r="E51" s="12"/>
      <c r="F51" s="12"/>
    </row>
    <row r="52" spans="2:15" ht="15" customHeight="1" x14ac:dyDescent="0.25">
      <c r="B52" s="36" t="s">
        <v>55</v>
      </c>
      <c r="C52" s="53" t="s">
        <v>51</v>
      </c>
      <c r="D52" s="54"/>
      <c r="E52" s="54"/>
      <c r="F52" s="54"/>
      <c r="G52" s="54"/>
    </row>
    <row r="53" spans="2:15" x14ac:dyDescent="0.25">
      <c r="B53" s="23"/>
      <c r="C53" s="35"/>
      <c r="D53" s="35"/>
      <c r="E53" s="35"/>
      <c r="F53" s="35"/>
    </row>
    <row r="54" spans="2:15" x14ac:dyDescent="0.25">
      <c r="B54" s="23"/>
      <c r="C54" s="35"/>
      <c r="D54" s="35"/>
      <c r="E54" s="35"/>
      <c r="F54" s="35"/>
    </row>
    <row r="55" spans="2:15" x14ac:dyDescent="0.25">
      <c r="B55" s="13"/>
      <c r="C55" s="13"/>
      <c r="D55" s="21"/>
      <c r="E55" s="21"/>
      <c r="F55" s="21"/>
    </row>
    <row r="56" spans="2:15" x14ac:dyDescent="0.25">
      <c r="B56" s="50" t="s">
        <v>24</v>
      </c>
      <c r="C56" s="50"/>
      <c r="D56" s="51"/>
      <c r="E56" s="51"/>
      <c r="F56" s="51"/>
      <c r="G56" s="19"/>
      <c r="H56" s="19"/>
      <c r="I56" s="19"/>
      <c r="J56" s="19"/>
      <c r="K56" s="19"/>
      <c r="L56" s="19"/>
      <c r="M56" s="19"/>
      <c r="N56" s="19"/>
      <c r="O56" s="19"/>
    </row>
    <row r="57" spans="2:15" x14ac:dyDescent="0.25">
      <c r="B57" s="51"/>
      <c r="C57" s="51"/>
      <c r="D57" s="51"/>
      <c r="E57" s="51"/>
      <c r="F57" s="51"/>
      <c r="G57" s="19"/>
      <c r="H57" s="19"/>
      <c r="I57" s="19"/>
      <c r="J57" s="19"/>
      <c r="K57" s="19"/>
      <c r="L57" s="19"/>
      <c r="M57" s="19"/>
      <c r="N57" s="19"/>
      <c r="O57" s="19"/>
    </row>
    <row r="58" spans="2:15" ht="4.5" customHeight="1" x14ac:dyDescent="0.25">
      <c r="B58" s="51"/>
      <c r="C58" s="51"/>
      <c r="D58" s="51"/>
      <c r="E58" s="51"/>
      <c r="F58" s="51"/>
      <c r="G58" s="19"/>
      <c r="H58" s="19"/>
      <c r="I58" s="19"/>
      <c r="J58" s="19"/>
      <c r="K58" s="19"/>
      <c r="L58" s="19"/>
      <c r="M58" s="19"/>
      <c r="N58" s="19"/>
      <c r="O58" s="19"/>
    </row>
    <row r="59" spans="2:15" hidden="1" x14ac:dyDescent="0.25">
      <c r="B59" s="51"/>
      <c r="C59" s="51"/>
      <c r="D59" s="51"/>
      <c r="E59" s="51"/>
      <c r="F59" s="51"/>
      <c r="G59" s="19"/>
      <c r="H59" s="19"/>
      <c r="I59" s="19"/>
      <c r="J59" s="19"/>
      <c r="K59" s="19"/>
      <c r="L59" s="19"/>
      <c r="M59" s="19"/>
      <c r="N59" s="19"/>
      <c r="O59" s="19"/>
    </row>
    <row r="60" spans="2:15" x14ac:dyDescent="0.25"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</row>
    <row r="61" spans="2:15" x14ac:dyDescent="0.25"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</row>
    <row r="62" spans="2:15" x14ac:dyDescent="0.25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</row>
    <row r="63" spans="2:15" x14ac:dyDescent="0.25"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</row>
  </sheetData>
  <mergeCells count="13">
    <mergeCell ref="B56:F59"/>
    <mergeCell ref="D48:F48"/>
    <mergeCell ref="B40:F40"/>
    <mergeCell ref="B41:F41"/>
    <mergeCell ref="B42:F42"/>
    <mergeCell ref="B43:F43"/>
    <mergeCell ref="C52:G52"/>
    <mergeCell ref="B9:F9"/>
    <mergeCell ref="B16:F16"/>
    <mergeCell ref="B19:F19"/>
    <mergeCell ref="B24:F24"/>
    <mergeCell ref="B44:F44"/>
    <mergeCell ref="B39:F39"/>
  </mergeCells>
  <pageMargins left="0.7" right="0.7" top="0.75" bottom="0.75" header="0.3" footer="0.3"/>
  <pageSetup paperSize="9" scale="76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2026-04-09T19:07:59Z</cp:lastPrinted>
  <dcterms:created xsi:type="dcterms:W3CDTF">2020-12-14T19:54:01Z</dcterms:created>
  <dcterms:modified xsi:type="dcterms:W3CDTF">2026-04-09T19:08:30Z</dcterms:modified>
</cp:coreProperties>
</file>