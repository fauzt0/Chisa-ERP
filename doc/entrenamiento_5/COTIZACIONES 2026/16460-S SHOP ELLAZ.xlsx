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EA95E5E2-9C6F-4F4B-BD70-3D033F01BFE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30" i="3" s="1"/>
  <c r="F31" i="3" l="1"/>
  <c r="F32" i="3" s="1"/>
  <c r="D21" i="1"/>
  <c r="D22" i="1" s="1"/>
</calcChain>
</file>

<file path=xl/sharedStrings.xml><?xml version="1.0" encoding="utf-8"?>
<sst xmlns="http://schemas.openxmlformats.org/spreadsheetml/2006/main" count="66" uniqueCount="60">
  <si>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</si>
  <si>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</si>
  <si>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</si>
  <si>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</si>
  <si>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</si>
  <si>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</si>
  <si>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</si>
  <si>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</si>
  <si>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</si>
  <si>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</si>
  <si>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</si>
  <si>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</si>
  <si>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</si>
  <si>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</si>
  <si>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</si>
  <si>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</si>
  <si>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</si>
  <si>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</si>
  <si>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</si>
  <si>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</si>
  <si>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</si>
  <si>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</si>
  <si>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</si>
  <si>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</si>
  <si>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</si>
  <si>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</si>
  <si>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</si>
  <si>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</si>
  <si>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</si>
  <si>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</si>
  <si>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</si>
  <si>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</si>
  <si>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</si>
  <si>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</si>
  <si>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</si>
  <si>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</si>
  <si>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</si>
  <si>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</si>
  <si>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</si>
  <si>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</si>
  <si>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</si>
  <si>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</si>
  <si>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</si>
  <si>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</si>
  <si>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</si>
  <si>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</si>
  <si>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</si>
  <si>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</si>
  <si>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</si>
  <si>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</si>
  <si>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</si>
  <si>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</si>
  <si>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</si>
  <si>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>OBRA: SHOP ELLAZ CANCUN</t>
  </si>
  <si>
    <t>AT´N: "TIO BEN"</t>
  </si>
  <si>
    <t xml:space="preserve">                                   TIO BEN </t>
  </si>
  <si>
    <t xml:space="preserve">                                         CHISA RECUBRIMIENTOS, S.A DE C.V</t>
  </si>
  <si>
    <t xml:space="preserve">1.- PINTUFLEX REF. S.M.A (REND. 90M2) </t>
  </si>
  <si>
    <t>CIUDAD DE MEXICO A 18 DE MARZO DEL 2026</t>
  </si>
  <si>
    <t>PRES. REF. 16460-S/2026CG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</si>
</sst>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7">
    <cellStyle name="Moneda" xfId="1" builtinId="4"/>
    <cellStyle name="Moneda 2" xfId="3" xr:uid="{D3D43636-F670-4A3B-86BA-3AD6C377F933}"/>
    <cellStyle name="Moneda 2 2" xfId="6" xr:uid="{B9BF51E9-79A0-4D6C-98B8-BEF01062A514}"/>
    <cellStyle name="Moneda 3" xfId="2" xr:uid="{7EC489B4-E676-4390-AA02-61E720AF151B}"/>
    <cellStyle name="Moneda 3 2" xfId="5" xr:uid="{54D45928-7C5D-432D-94C9-47D8EA846E78}"/>
    <cellStyle name="Moneda 4" xfId="4" xr:uid="{B22E587E-BDF3-423E-A826-5C51B4AD70C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2"/>
      <c r="B1" s="53"/>
      <c r="C1" s="53"/>
      <c r="D1" s="53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3" t="s">
        <v>37</v>
      </c>
      <c r="B4" s="43"/>
      <c r="C4" s="43"/>
      <c r="D4" s="43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9" t="s">
        <v>38</v>
      </c>
      <c r="B10" s="59"/>
      <c r="C10" s="59"/>
      <c r="D10" s="59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4" t="s">
        <v>40</v>
      </c>
      <c r="B13" s="55"/>
      <c r="C13" s="55"/>
      <c r="D13" s="55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7" t="s">
        <v>32</v>
      </c>
      <c r="B16" s="57"/>
      <c r="C16" s="57"/>
      <c r="D16" s="57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0" t="s">
        <v>41</v>
      </c>
      <c r="B25" s="60"/>
      <c r="C25" s="60"/>
      <c r="D25" s="60"/>
      <c r="E25" s="11"/>
      <c r="F25" s="11"/>
    </row>
    <row r="26" spans="1:7" ht="12" customHeight="1" x14ac:dyDescent="0.25">
      <c r="A26" s="61" t="s">
        <v>6</v>
      </c>
      <c r="B26" s="61"/>
      <c r="C26" s="61"/>
      <c r="D26" s="61"/>
      <c r="E26" s="5"/>
      <c r="F26" s="11"/>
    </row>
    <row r="27" spans="1:7" ht="57" customHeight="1" x14ac:dyDescent="0.25">
      <c r="A27" s="56" t="s">
        <v>35</v>
      </c>
      <c r="B27" s="56"/>
      <c r="C27" s="56"/>
      <c r="D27" s="56"/>
      <c r="E27" s="5"/>
      <c r="F27" s="11"/>
    </row>
    <row r="28" spans="1:7" ht="15" customHeight="1" x14ac:dyDescent="0.25">
      <c r="A28" s="61" t="s">
        <v>7</v>
      </c>
      <c r="B28" s="61"/>
      <c r="C28" s="61"/>
      <c r="D28" s="61"/>
      <c r="E28" s="5"/>
    </row>
    <row r="29" spans="1:7" ht="33.75" customHeight="1" x14ac:dyDescent="0.25">
      <c r="A29" s="56" t="s">
        <v>8</v>
      </c>
      <c r="B29" s="56"/>
      <c r="C29" s="56"/>
      <c r="D29" s="56"/>
    </row>
    <row r="30" spans="1:7" ht="51" customHeight="1" x14ac:dyDescent="0.25">
      <c r="A30" s="57" t="s">
        <v>9</v>
      </c>
      <c r="B30" s="57"/>
      <c r="C30" s="57"/>
      <c r="D30" s="57"/>
    </row>
    <row r="31" spans="1:7" ht="57" customHeight="1" x14ac:dyDescent="0.25">
      <c r="A31" s="57" t="s">
        <v>10</v>
      </c>
      <c r="B31" s="57"/>
      <c r="C31" s="57"/>
      <c r="D31" s="57"/>
    </row>
    <row r="32" spans="1:7" ht="25.5" customHeight="1" x14ac:dyDescent="0.25">
      <c r="A32" s="57" t="s">
        <v>11</v>
      </c>
      <c r="B32" s="57"/>
      <c r="C32" s="57"/>
      <c r="D32" s="57"/>
      <c r="E32" s="5"/>
    </row>
    <row r="33" spans="1:4" ht="72" customHeight="1" x14ac:dyDescent="0.25">
      <c r="A33" s="56" t="s">
        <v>12</v>
      </c>
      <c r="B33" s="56"/>
      <c r="C33" s="56"/>
      <c r="D33" s="56"/>
    </row>
    <row r="34" spans="1:4" ht="27.75" customHeight="1" x14ac:dyDescent="0.25">
      <c r="A34" s="56" t="s">
        <v>13</v>
      </c>
      <c r="B34" s="56"/>
      <c r="C34" s="56"/>
      <c r="D34" s="56"/>
    </row>
    <row r="35" spans="1:4" ht="61.5" customHeight="1" x14ac:dyDescent="0.25">
      <c r="A35" s="56" t="s">
        <v>14</v>
      </c>
      <c r="B35" s="56"/>
      <c r="C35" s="56"/>
      <c r="D35" s="56"/>
    </row>
    <row r="36" spans="1:4" ht="25.5" customHeight="1" x14ac:dyDescent="0.25">
      <c r="A36" s="56" t="s">
        <v>15</v>
      </c>
      <c r="B36" s="56"/>
      <c r="C36" s="56"/>
      <c r="D36" s="56"/>
    </row>
    <row r="37" spans="1:4" ht="68.25" customHeight="1" x14ac:dyDescent="0.25">
      <c r="A37" s="57" t="s">
        <v>16</v>
      </c>
      <c r="B37" s="57"/>
      <c r="C37" s="57"/>
      <c r="D37" s="57"/>
    </row>
    <row r="38" spans="1:4" ht="29.25" customHeight="1" x14ac:dyDescent="0.25">
      <c r="A38" s="56" t="s">
        <v>17</v>
      </c>
      <c r="B38" s="56"/>
      <c r="C38" s="56"/>
      <c r="D38" s="5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8" t="s">
        <v>31</v>
      </c>
      <c r="C40" s="58"/>
      <c r="D40" s="5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0"/>
  <sheetViews>
    <sheetView tabSelected="1" topLeftCell="A38" zoomScaleNormal="100" zoomScalePageLayoutView="50" workbookViewId="0">
      <selection activeCell="B21" sqref="B21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3" t="s">
        <v>58</v>
      </c>
      <c r="C9" s="43"/>
      <c r="D9" s="43"/>
      <c r="E9" s="43"/>
      <c r="F9" s="43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44" t="s">
        <v>54</v>
      </c>
      <c r="C16" s="44"/>
      <c r="D16" s="44"/>
      <c r="E16" s="44"/>
      <c r="F16" s="44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45" t="s">
        <v>53</v>
      </c>
      <c r="C19" s="45"/>
      <c r="D19" s="45"/>
      <c r="E19" s="45"/>
      <c r="F19" s="45"/>
    </row>
    <row r="20" spans="2:6" ht="12.75" customHeight="1" x14ac:dyDescent="0.25">
      <c r="B20" s="8" t="s">
        <v>59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49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57</v>
      </c>
      <c r="C27" s="40" t="s">
        <v>46</v>
      </c>
      <c r="D27" s="39">
        <v>1</v>
      </c>
      <c r="E27" s="42">
        <v>2610.87</v>
      </c>
      <c r="F27" s="42">
        <f>D27*E27</f>
        <v>2610.87</v>
      </c>
    </row>
    <row r="28" spans="2:6" x14ac:dyDescent="0.25">
      <c r="B28" s="41"/>
      <c r="C28" s="40"/>
      <c r="D28" s="39"/>
      <c r="E28" s="42"/>
      <c r="F28" s="42"/>
    </row>
    <row r="29" spans="2:6" x14ac:dyDescent="0.25">
      <c r="B29" s="41"/>
      <c r="C29" s="40"/>
      <c r="D29" s="39"/>
      <c r="E29" s="42"/>
      <c r="F29" s="42"/>
    </row>
    <row r="30" spans="2:6" x14ac:dyDescent="0.25">
      <c r="B30" s="4"/>
      <c r="C30" s="4"/>
      <c r="D30" s="16"/>
      <c r="E30" s="4" t="s">
        <v>3</v>
      </c>
      <c r="F30" s="11">
        <f>SUM(F27:F29)</f>
        <v>2610.87</v>
      </c>
    </row>
    <row r="31" spans="2:6" x14ac:dyDescent="0.25">
      <c r="B31" s="4"/>
      <c r="C31" s="4"/>
      <c r="D31" s="16"/>
      <c r="E31" s="4" t="s">
        <v>44</v>
      </c>
      <c r="F31" s="11">
        <f>F30*16%</f>
        <v>417.73919999999998</v>
      </c>
    </row>
    <row r="32" spans="2:6" x14ac:dyDescent="0.25">
      <c r="B32" s="4"/>
      <c r="C32" s="4"/>
      <c r="D32" s="16"/>
      <c r="E32" s="4" t="s">
        <v>45</v>
      </c>
      <c r="F32" s="11">
        <f>F30+F31</f>
        <v>3028.6091999999999</v>
      </c>
    </row>
    <row r="33" spans="2:8" x14ac:dyDescent="0.25">
      <c r="B33" s="4"/>
      <c r="C33" s="4"/>
      <c r="D33" s="16"/>
      <c r="E33" s="4"/>
      <c r="F33" s="11"/>
    </row>
    <row r="34" spans="2:8" x14ac:dyDescent="0.25">
      <c r="B34" s="4"/>
      <c r="C34" s="4"/>
      <c r="D34" s="16"/>
      <c r="E34" s="4"/>
      <c r="F34" s="11"/>
    </row>
    <row r="35" spans="2:8" x14ac:dyDescent="0.25">
      <c r="B35" s="4"/>
      <c r="C35" s="4"/>
      <c r="D35" s="16"/>
      <c r="E35" s="4"/>
      <c r="F35" s="11"/>
    </row>
    <row r="36" spans="2:8" x14ac:dyDescent="0.25">
      <c r="B36" s="1" t="s">
        <v>23</v>
      </c>
      <c r="C36" s="1"/>
      <c r="D36" s="20"/>
      <c r="E36" s="20"/>
      <c r="F36" s="20"/>
    </row>
    <row r="37" spans="2:8" ht="27.75" customHeight="1" x14ac:dyDescent="0.25">
      <c r="B37" s="46" t="s">
        <v>26</v>
      </c>
      <c r="C37" s="46"/>
      <c r="D37" s="46"/>
      <c r="E37" s="46"/>
      <c r="F37" s="46"/>
    </row>
    <row r="38" spans="2:8" ht="17.25" customHeight="1" x14ac:dyDescent="0.25">
      <c r="B38" s="46" t="s">
        <v>27</v>
      </c>
      <c r="C38" s="46"/>
      <c r="D38" s="46"/>
      <c r="E38" s="46"/>
      <c r="F38" s="46"/>
    </row>
    <row r="39" spans="2:8" ht="15" customHeight="1" x14ac:dyDescent="0.25">
      <c r="B39" s="46" t="s">
        <v>28</v>
      </c>
      <c r="C39" s="46"/>
      <c r="D39" s="46"/>
      <c r="E39" s="46"/>
      <c r="F39" s="46"/>
    </row>
    <row r="40" spans="2:8" ht="18" customHeight="1" x14ac:dyDescent="0.25">
      <c r="B40" s="46" t="s">
        <v>29</v>
      </c>
      <c r="C40" s="46"/>
      <c r="D40" s="46"/>
      <c r="E40" s="46"/>
      <c r="F40" s="46"/>
    </row>
    <row r="41" spans="2:8" ht="96.75" customHeight="1" x14ac:dyDescent="0.25">
      <c r="B41" s="46" t="s">
        <v>30</v>
      </c>
      <c r="C41" s="46"/>
      <c r="D41" s="46"/>
      <c r="E41" s="46"/>
      <c r="F41" s="46"/>
    </row>
    <row r="42" spans="2:8" ht="14.25" customHeight="1" x14ac:dyDescent="0.25">
      <c r="B42" s="34"/>
      <c r="C42" s="34"/>
      <c r="D42" s="34"/>
      <c r="E42" s="34"/>
      <c r="F42" s="34"/>
    </row>
    <row r="43" spans="2:8" ht="14.25" customHeight="1" x14ac:dyDescent="0.25">
      <c r="B43" s="34"/>
      <c r="C43" s="34"/>
      <c r="D43" s="34"/>
      <c r="E43" s="34"/>
      <c r="F43" s="34"/>
    </row>
    <row r="44" spans="2:8" x14ac:dyDescent="0.25">
      <c r="B44" s="20"/>
      <c r="C44" s="20"/>
      <c r="D44" s="20"/>
      <c r="E44" s="20"/>
      <c r="F44" s="20"/>
      <c r="H44" s="14"/>
    </row>
    <row r="45" spans="2:8" x14ac:dyDescent="0.25">
      <c r="B45" s="18" t="s">
        <v>48</v>
      </c>
      <c r="C45" s="37"/>
      <c r="D45" s="49" t="s">
        <v>47</v>
      </c>
      <c r="E45" s="49"/>
      <c r="F45" s="49"/>
    </row>
    <row r="46" spans="2:8" x14ac:dyDescent="0.25">
      <c r="B46" s="9"/>
      <c r="C46" s="9"/>
      <c r="D46" s="21"/>
      <c r="E46" s="21"/>
      <c r="F46" s="21"/>
    </row>
    <row r="47" spans="2:8" x14ac:dyDescent="0.25">
      <c r="B47" s="9"/>
      <c r="C47" s="9"/>
      <c r="D47" s="21"/>
      <c r="E47" s="21"/>
      <c r="F47" s="21"/>
    </row>
    <row r="48" spans="2:8" x14ac:dyDescent="0.25">
      <c r="B48" s="12" t="s">
        <v>50</v>
      </c>
      <c r="C48" s="12"/>
      <c r="D48" s="12"/>
      <c r="E48" s="12"/>
      <c r="F48" s="12"/>
    </row>
    <row r="49" spans="2:15" ht="15" customHeight="1" x14ac:dyDescent="0.25">
      <c r="B49" s="36" t="s">
        <v>55</v>
      </c>
      <c r="C49" s="50" t="s">
        <v>56</v>
      </c>
      <c r="D49" s="51"/>
      <c r="E49" s="51"/>
      <c r="F49" s="51"/>
      <c r="G49" s="51"/>
    </row>
    <row r="50" spans="2:15" x14ac:dyDescent="0.25">
      <c r="B50" s="23"/>
      <c r="C50" s="35"/>
      <c r="D50" s="35"/>
      <c r="E50" s="35"/>
      <c r="F50" s="35"/>
    </row>
    <row r="51" spans="2:15" x14ac:dyDescent="0.25">
      <c r="B51" s="23"/>
      <c r="C51" s="35"/>
      <c r="D51" s="35"/>
      <c r="E51" s="35"/>
      <c r="F51" s="35"/>
    </row>
    <row r="52" spans="2:15" x14ac:dyDescent="0.25">
      <c r="B52" s="13"/>
      <c r="C52" s="13"/>
      <c r="D52" s="21"/>
      <c r="E52" s="21"/>
      <c r="F52" s="21"/>
    </row>
    <row r="53" spans="2:15" x14ac:dyDescent="0.25">
      <c r="B53" s="47" t="s">
        <v>24</v>
      </c>
      <c r="C53" s="47"/>
      <c r="D53" s="48"/>
      <c r="E53" s="48"/>
      <c r="F53" s="48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48"/>
      <c r="C54" s="48"/>
      <c r="D54" s="48"/>
      <c r="E54" s="48"/>
      <c r="F54" s="48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48"/>
      <c r="C55" s="48"/>
      <c r="D55" s="48"/>
      <c r="E55" s="48"/>
      <c r="F55" s="48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48"/>
      <c r="C56" s="48"/>
      <c r="D56" s="48"/>
      <c r="E56" s="48"/>
      <c r="F56" s="48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</sheetData>
  <mergeCells count="12">
    <mergeCell ref="B53:F56"/>
    <mergeCell ref="D45:F45"/>
    <mergeCell ref="B37:F37"/>
    <mergeCell ref="B38:F38"/>
    <mergeCell ref="B39:F39"/>
    <mergeCell ref="B40:F40"/>
    <mergeCell ref="C49:G49"/>
    <mergeCell ref="B9:F9"/>
    <mergeCell ref="B16:F16"/>
    <mergeCell ref="B19:F19"/>
    <mergeCell ref="B23:F23"/>
    <mergeCell ref="B41:F41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2026-03-18T17:28:44Z</cp:lastPrinted>
  <dcterms:created xsi:type="dcterms:W3CDTF">2020-12-14T19:54:01Z</dcterms:created>
  <dcterms:modified xsi:type="dcterms:W3CDTF">2026-03-18T17:28:57Z</dcterms:modified>
</cp:coreProperties>
</file>