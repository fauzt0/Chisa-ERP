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8_{4FDDE16C-160D-41B1-A933-6F3EB872A159}" xr6:coauthVersionLast="47" xr6:coauthVersionMax="47" xr10:uidLastSave="{00000000-0000-0000-0000-000000000000}"/>
  <bookViews>
    <workbookView xWindow="-120" yWindow="-120" windowWidth="20730" windowHeight="11160"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1" i="1" l="1"/>
  <c r="F22" i="1" l="1"/>
  <c r="F23" i="1" l="1"/>
  <c r="F25" i="1" s="1"/>
  <c r="F26" i="1" l="1"/>
  <c r="F20" i="3"/>
  <c r="F19" i="3"/>
  <c r="F18" i="3"/>
  <c r="F17" i="3"/>
  <c r="F16" i="3"/>
  <c r="F27" i="1" l="1"/>
  <c r="F23" i="3"/>
  <c r="F24" i="3" l="1"/>
  <c r="F25" i="3" s="1"/>
</calcChain>
</file>

<file path=xl/sharedStrings.xml><?xml version="1.0" encoding="utf-8"?>
<sst xmlns="http://schemas.openxmlformats.org/spreadsheetml/2006/main" count="75" uniqueCount="61">
  <si>
    <t xml:space="preserve">P  R  E  S  E  N  T  E                                                                                                 </t>
  </si>
  <si>
    <t xml:space="preserve">     </t>
  </si>
  <si>
    <t>IMPORTE:</t>
  </si>
  <si>
    <t>16% I.V.A.</t>
  </si>
  <si>
    <t>T O T A L</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</si>
  <si>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</si>
  <si>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CANTIDAD</t>
  </si>
  <si>
    <t>IMPORTE</t>
  </si>
  <si>
    <t>CONCEPTO</t>
  </si>
  <si>
    <t>M2</t>
  </si>
  <si>
    <t xml:space="preserve">PRESENTAMOS A SU AMABLE CONSIDERACIÓN EL PRESUPUESTO DE SUMINISTRO DE LOS SIGUIENTES MATERIALES: </t>
  </si>
  <si>
    <t xml:space="preserve">NOTAS: </t>
  </si>
  <si>
    <t>CUBETAS</t>
  </si>
  <si>
    <t xml:space="preserve">  CAROLINA GALVAN</t>
  </si>
  <si>
    <t xml:space="preserve">ANDRES MOLINA ENRIQUEZ #156 COL. SAN PEDRO ALCALDÍA IZTACALCO, C.P. 08220, CDMX. CONTACTO: 55-55-79-9434| 55-55-7908-95| 55-55-79-62-70 ventas@chisarecubrimientos.com.mx|www.chisarecubrimientos.com.mx </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</si>
  <si>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</si>
  <si>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</si>
  <si>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</si>
  <si>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3.-ENTREGA DE MATERIALES L.A.B. EN LA PLANTA DE CHISA RECUBRIMIENTOS,  S.A. DE C.V.</t>
  </si>
  <si>
    <t>4.-PRECIOS CONSIDERADOS EN LA COMPRA TOTAL EN UNA SOLA EXHIBICION.</t>
  </si>
  <si>
    <r>
      <t xml:space="preserve">5.-CHISA RECUBRIMIENTOS, S.A. DE C.V. CON DOMICILIO EN ANDRES MOLINA ENRIQUEZ No. 156 COL. SAN PEDRO IZTACALCO, ALCALDÍA IZTACALCO EN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www.chisarecubrimientos.com.mx</t>
    </r>
  </si>
  <si>
    <t xml:space="preserve">                                       ACEPTO</t>
  </si>
  <si>
    <t xml:space="preserve">        ATENTAMENTE</t>
  </si>
  <si>
    <t xml:space="preserve">            ____________________________________                                                               _______________________________________</t>
  </si>
  <si>
    <t>CIUDAD DE MEXICO A 23 DE NOVIEMBRE DEL 2022</t>
  </si>
  <si>
    <t>AT´N: ARQ. ARIEL LUGO</t>
  </si>
  <si>
    <t>1.- ARENA SILICA (400 M2)</t>
  </si>
  <si>
    <t>2.-SELLADOR INICIAL (400 M2)</t>
  </si>
  <si>
    <t>3.- PRAIMER GLASS (400 M2)</t>
  </si>
  <si>
    <t>4.-CHISA GLASS (400 M2)</t>
  </si>
  <si>
    <t>5.-VITROGLASS (400 M2)</t>
  </si>
  <si>
    <t xml:space="preserve">                             ARQ. ARIEL LUGO</t>
  </si>
  <si>
    <t>VOLUMEN</t>
  </si>
  <si>
    <t xml:space="preserve">                                                                                                                                                                                                                                                         </t>
  </si>
  <si>
    <t>PRES. REF. 14643-S/2022</t>
  </si>
  <si>
    <t>ATENTAMENTE</t>
  </si>
  <si>
    <r>
      <t>PRESENTAMOS  A  SU AMABLE  CONSIDERACIÓN EL PRESUPUESTO DE SUMINISTRO Y APLICACIÓN  DE  LOS SIGUIENTES CONCEPTOS.</t>
    </r>
    <r>
      <rPr>
        <b/>
        <sz val="9"/>
        <color theme="1"/>
        <rFont val="Times New Roman"/>
        <family val="1"/>
      </rPr>
      <t xml:space="preserve">                                                   </t>
    </r>
  </si>
  <si>
    <t>EL PRESENTE  PRESUPUESTO TIENE UNA VIGENCIA DE 60 DÍAS HÁBILES, AL TERMINO DE ESTA FECHA SE DEBERÁ ACTUALIZAR LA COTIZACIÓN, PARA VERIFICAR LA VIGENCIA DE LOS PRECIOS.</t>
  </si>
  <si>
    <t>CONDICIONES</t>
  </si>
  <si>
    <t xml:space="preserve">TODO NUESTRO SUMINISTRO ES 100% MEXICANO , ELABORADO EN CHISA RECUBRIMIENTOS, S.A. DE C.V. CON DOMICILIO EN ANDRES MOLINA ENRIQUEZ No. 156 COL. SAN PEDRO IZTACALCO, ALCALDÍA IZTACALCO, EN CIUDAD DE MÉXICO, , PRODUCTOS Y COSTOS. PARA MAYOR INFORMACION ACERCA DEL TRATAMIENTO Y DE LOS DERECHOS QUE PUEDE HACER VALER, USTED PUEDE ACCEDER AL AVISO DE PRIVACIDAD INTEGRAL A TRAVES DE NUESTRA PAGINA DE INTERNET www.chisarecubrimientos.com.mx </t>
  </si>
  <si>
    <t>LAS CONDICIONES DE ENTREGA SON EXPRESADOS EN ESTE DOCUMENTO Y A SATISFACCION DEL CLIENTE Y LOS HEMOS CLASIFICADO POR ESCRITO. EL CUMPLIENTO DE LOS PLAZOS DE ENTREGA ACORDADOS REQUIERE QUE EL CLIENTE NOS PROPORCIONE CON ANTELACION SUS CONDICIONES , ASI MISMO COMO LA SOLICITUD DE SU MATERIAL Y EL PAGO CORRESPONDIENTE.</t>
  </si>
  <si>
    <t>LA GARANTIA TECNICA DE NUESTRO PRODUCTO RESISTENCIA, A LA INTEMPERIE LAVABLE, ELÁSTICO, INODORO, NO TOXICO, NO PROPAGA EL FUEGO. LÍQUIDO. LIMPIAR CON AGUA Y JABÓN, NO UTILIZAR SOLVENTES EN ÁREAS DAÑADAS APLICAR EL RECUBRIMIENTO EN PAÑOS COMPLETOS PARA EVITAR PARCHES.</t>
  </si>
  <si>
    <t>ESTRATIFICACION DE LA EMPRESA SERVICION (PEQUEÑA) INDUSTRIA (PEQUEÑA)</t>
  </si>
  <si>
    <t>MANIFIESTO BAJO PROTESTA DE DECIR VERDAD QUE NO ME ENCUENTRO EN LOS SUPUESTOS DE INHABILITACIÓN O SANCIÓN POR PARTE DE LA SECRETARÍA DE LA FUNCIÓN PÚBLICA  MANIFIESTO QUE CONOZCO EL CONTENIDO DE LA LEY DE ADQUISICIONES, ARRENDAMIENTOS Y SERVICIOS DEL SECTOR PUBLICO Y SU REGLAMENTO, Y EN CASO DE RESULTAR ADJUDICADO ACEPTO LOS TÉRMINOS Y  CONDICIONES QUE PARA EFECTOS DEL CONTRATO O PEDIDO QUE SE CELEBRE, ESTABLECIDO EN LA REFERIDA  LEY</t>
  </si>
  <si>
    <r>
      <t>1.-SUMINISTRO Y APLICACIÓN DE MORTERO PLÁSTICO MALLA 350-400 EN MUROS CON  RECUBRIMIENTO EXISTENTE,   INCLUYE :</t>
    </r>
    <r>
      <rPr>
        <sz val="9"/>
        <color theme="1"/>
        <rFont val="Times New Roman"/>
        <family val="1"/>
      </rPr>
      <t xml:space="preserve">  LIMPIEZA,  LIJADO O REBABEO DE MURO, APLICACIÓN DE SELLADOR ACRILICO 4648 CON RODILLO DE FELPA Y BROCHA, APLICACIÓN  DE MORTERO PLÁSTICO MALLA 350-400, PROTECCIÓN DE SUPERFICIES ADYACENTES CON PAPEL Y MASKING TAPE, LIMPIEZA Y RETIRO DE SOBRANTES PROPIOS HASTA EL LUGAR INDICADO DENTRO DE LA OBRA, FLETE, Y MANO DE OBRA ESPECIALIZADA, TODO LO ANTERIOR CONSIDERADO HASTA UNA ALTURA DE  2.70  MTS.   Y  DEMÁS DERIVADOS DEL USO DE HERRAMIENTA. NO INCLUYE ANDAMIAJE.</t>
    </r>
  </si>
  <si>
    <t>CIUDAD DE MEXICO A 01 DE DICIEMBRE DEL 2025</t>
  </si>
  <si>
    <t>AT´N: ING. FERNANDO CIGARROA</t>
  </si>
  <si>
    <t>JEFE DE CONSERVACION</t>
  </si>
  <si>
    <t>OBRA: IMSS 5 DE MAYO, TUXTLA</t>
  </si>
  <si>
    <t>PRES. REF. 16341/2025</t>
  </si>
  <si>
    <t>NOTAS</t>
  </si>
  <si>
    <t>LA ENTREGA DE MATERIAL SE HARA EN TIEMPO Y FORMA EN LA DIRECCION AV. 16  DE  SEPTIEMBRE  S/N,  COL. CENTRO, ANTON LIZARDO, MPIO. DE ALVARADO, VERACRUZ C.P. 95269</t>
  </si>
  <si>
    <t>EN CASO DE SER ACEPTADO EL PRESENTE PRESUPUESTO REQUERIMOS DEL 70% DEL PAGO,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</si>
  <si>
    <r>
      <t xml:space="preserve">FORMA DE PAGO Y CONSIDERACIONES GENERALES CORRESPONDIENTES AL PRESUPUESTO </t>
    </r>
    <r>
      <rPr>
        <b/>
        <sz val="9"/>
        <color theme="1"/>
        <rFont val="Times New Roman"/>
        <family val="1"/>
      </rPr>
      <t>REF. 16341/2025.</t>
    </r>
  </si>
  <si>
    <r>
      <rPr>
        <b/>
        <u/>
        <sz val="9"/>
        <color theme="1"/>
        <rFont val="Times New Roman"/>
        <family val="1"/>
      </rPr>
      <t xml:space="preserve">2.-SUMINISTRO Y APLICACIÓN DE ARENA SILICA MALLA 250-300 EN MUROS CON APLANADO FINO DE MEZCLA,  INCLUYE : </t>
    </r>
    <r>
      <rPr>
        <b/>
        <sz val="9"/>
        <color theme="1"/>
        <rFont val="Times New Roman"/>
        <family val="1"/>
      </rPr>
      <t xml:space="preserve"> </t>
    </r>
    <r>
      <rPr>
        <sz val="9"/>
        <color theme="1"/>
        <rFont val="Times New Roman"/>
        <family val="1"/>
      </rPr>
      <t>LIMPIEZA Y REBABEADO DE MURO CON PIEDRA DE ESMERIL, APLICACIÓN DE SELLADOR ACRÍLICO 4648 A MANO CON RODILLO DE FELPA Y BROCHA, APLICACIÓN DE ARENA SILICA MALLA 250-300 APLICADA A MANO CON LLANA METÁLICA,   LIJADO DE MURO A MANO  CON LIJA DE ESMERIL,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</si>
  <si>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r>
      <t>3.-SUMINISTRO Y APLICACIÓN DE RECUBRIMIENTO CHISA GLASS REF-S.M.A. EN MUROS CON SUPERFICIE LISA, INCLUYE :</t>
    </r>
    <r>
      <rPr>
        <sz val="9"/>
        <color theme="1"/>
        <rFont val="Times New Roman"/>
        <family val="1"/>
      </rPr>
      <t xml:space="preserve">  LIMPIEZA Y LIJADO DE MURO, APLICACIÓN DE SELLADOR ACRÍLICO 4648 A MANO CON RODILLO DE FELPA Y BROCHA, APLICACIÓN DE PRAIMER GLASS APLICADO CON RODILLO DE FELPA Y BROCHA, APLICACIÓN DE RECUBRIMIENTO CHISA GLASS REF-S.M.A.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</si>
  <si>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t>CONSTRUCTORA: INSTITUTO NACIONAL DEL SEGURO SOCIAL</t>
  </si>
  <si>
    <t>NOTA: POR EL BLACK FRIDAY  TENEMOS EL 20% DE DESCUENTO</t>
  </si>
  <si>
    <t xml:space="preserve">                                 ACEPTO</t>
  </si>
  <si>
    <t xml:space="preserve">                                             ___________________________________                                                                          ____________________________________</t>
  </si>
  <si>
    <t xml:space="preserve">                                                       ING. FERNANDO CIGARROA                                                                                        CHISA RECUBRIMIENTOS, S.A. DE C.V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</si>
</sst>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Red]\-&quot;$&quot;#,##0.00"/>
    <numFmt numFmtId="44" formatCode="_-&quot;$&quot;* #,##0.00_-;\-&quot;$&quot;* #,##0.00_-;_-&quot;$&quot;* &quot;-&quot;??_-;_-@_-"/>
  </numFmts>
  <fonts count="12"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b/>
      <u/>
      <sz val="9"/>
      <color theme="1"/>
      <name val="Times New Roman"/>
      <family val="1"/>
    </font>
    <font>
      <sz val="11"/>
      <color theme="1"/>
      <name val="Calibri"/>
      <family val="2"/>
      <scheme val="minor"/>
    </font>
    <font>
      <b/>
      <sz val="10"/>
      <color rgb="FF002060"/>
      <name val="Calibri"/>
      <family val="2"/>
    </font>
    <font>
      <b/>
      <sz val="8"/>
      <color rgb="FF002060"/>
      <name val="Calibri"/>
      <family val="2"/>
    </font>
    <font>
      <u/>
      <sz val="9"/>
      <color rgb="FF002060"/>
      <name val="Times New Roman"/>
      <family val="1"/>
    </font>
    <font>
      <sz val="11"/>
      <color rgb="FFFF0000"/>
      <name val="Calibri"/>
      <family val="2"/>
      <scheme val="minor"/>
    </font>
    <font>
      <b/>
      <sz val="11"/>
      <color rgb="FFFF0000"/>
      <name val="Times New Roman"/>
      <family val="1"/>
    </font>
    <font>
      <sz val="10"/>
      <color theme="1"/>
      <name val="Times New Roman"/>
      <family val="1"/>
    </font>
  </fonts>
  <fills count="2">
    <fill>
      <patternFill patternType="none"/>
    </fill>
    <fill>
      <patternFill patternType="gray125"/>
    </fill>
  </fills>
  <borders count="1">
    <border>
      <left/>
      <right/>
      <top/>
      <bottom/>
      <diagonal/>
    </border>
  </borders>
  <cellStyleXfs count="3">
    <xf numFmtId="0" fontId="0" fillId="0" borderId="0"/>
    <xf numFmtId="44" fontId="5" fillId="0" borderId="0" applyFont="0" applyFill="0" applyBorder="0" applyAlignment="0" applyProtection="0"/>
    <xf numFmtId="44" fontId="5" fillId="0" borderId="0" applyFont="0" applyFill="0" applyBorder="0" applyAlignment="0" applyProtection="0"/>
  </cellStyleXfs>
  <cellXfs count="70">
    <xf numFmtId="0" fontId="0" fillId="0" borderId="0" xfId="0"/>
    <xf numFmtId="0" fontId="2" fillId="0" borderId="0" xfId="0" applyFont="1" applyAlignment="1">
      <alignmen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1" fillId="0" borderId="0" xfId="0" applyFont="1" applyAlignment="1">
      <alignment horizontal="left" vertical="center"/>
    </xf>
    <xf numFmtId="0" fontId="4" fillId="0" borderId="0" xfId="0" applyFont="1" applyAlignment="1">
      <alignment horizontal="justify" vertical="top" wrapText="1"/>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0" fontId="4" fillId="0" borderId="0" xfId="0" applyFont="1" applyAlignment="1">
      <alignment horizontal="right" vertical="top" wrapText="1"/>
    </xf>
    <xf numFmtId="0" fontId="1" fillId="0" borderId="0" xfId="0" applyFont="1" applyAlignment="1">
      <alignment horizontal="right" vertical="center" wrapText="1"/>
    </xf>
    <xf numFmtId="8" fontId="1" fillId="0" borderId="0" xfId="0" applyNumberFormat="1" applyFont="1" applyAlignment="1">
      <alignment horizontal="right" wrapText="1"/>
    </xf>
    <xf numFmtId="44" fontId="1" fillId="0" borderId="0" xfId="1" applyFont="1" applyAlignment="1">
      <alignment horizontal="right" wrapText="1"/>
    </xf>
    <xf numFmtId="44" fontId="1" fillId="0" borderId="0" xfId="1" applyFont="1" applyAlignment="1">
      <alignment horizontal="right" vertical="center" wrapText="1"/>
    </xf>
    <xf numFmtId="0" fontId="1" fillId="0" borderId="0" xfId="0" applyFont="1" applyAlignment="1">
      <alignment vertical="center"/>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right" vertical="center"/>
    </xf>
    <xf numFmtId="0" fontId="2" fillId="0" borderId="0" xfId="0" applyFont="1" applyAlignment="1">
      <alignment horizontal="left" vertical="center"/>
    </xf>
    <xf numFmtId="0" fontId="6" fillId="0" borderId="0" xfId="0" applyFont="1"/>
    <xf numFmtId="0" fontId="1" fillId="0" borderId="0" xfId="0" applyFont="1"/>
    <xf numFmtId="0" fontId="1" fillId="0" borderId="0" xfId="0" applyFont="1" applyAlignment="1">
      <alignment horizontal="justify"/>
    </xf>
    <xf numFmtId="44" fontId="1" fillId="0" borderId="0" xfId="1" applyFont="1" applyAlignment="1">
      <alignment horizontal="center" wrapText="1"/>
    </xf>
    <xf numFmtId="0" fontId="1" fillId="0" borderId="0" xfId="0" applyFont="1" applyAlignment="1">
      <alignment horizontal="left" wrapText="1"/>
    </xf>
    <xf numFmtId="0" fontId="1" fillId="0" borderId="0" xfId="0" applyFont="1" applyAlignment="1">
      <alignment horizontal="left"/>
    </xf>
    <xf numFmtId="0" fontId="1" fillId="0" borderId="0" xfId="0" applyFont="1" applyAlignment="1">
      <alignment horizontal="center" wrapText="1"/>
    </xf>
    <xf numFmtId="0" fontId="1" fillId="0" borderId="0" xfId="0" applyFont="1" applyAlignment="1">
      <alignment horizontal="center" vertical="center"/>
    </xf>
    <xf numFmtId="0" fontId="2" fillId="0" borderId="0" xfId="0" applyFont="1" applyAlignment="1">
      <alignment horizontal="center" vertical="center"/>
    </xf>
    <xf numFmtId="0" fontId="4" fillId="0" borderId="0" xfId="0" applyFont="1" applyAlignment="1">
      <alignment horizontal="justify" vertical="center"/>
    </xf>
    <xf numFmtId="4" fontId="1" fillId="0" borderId="0" xfId="0" applyNumberFormat="1" applyFont="1" applyAlignment="1">
      <alignment horizontal="justify" vertical="center" wrapText="1"/>
    </xf>
    <xf numFmtId="0" fontId="1" fillId="0" borderId="0" xfId="0" applyFont="1" applyAlignment="1">
      <alignment horizontal="center"/>
    </xf>
    <xf numFmtId="4" fontId="1" fillId="0" borderId="0" xfId="0" applyNumberFormat="1" applyFont="1" applyAlignment="1">
      <alignment horizontal="center" wrapText="1"/>
    </xf>
    <xf numFmtId="0" fontId="1" fillId="0" borderId="0" xfId="0" applyFont="1" applyAlignment="1">
      <alignment horizontal="left" vertical="center" wrapText="1"/>
    </xf>
    <xf numFmtId="44" fontId="1" fillId="0" borderId="0" xfId="0" applyNumberFormat="1" applyFont="1"/>
    <xf numFmtId="0" fontId="2" fillId="0" borderId="0" xfId="0" applyFont="1" applyAlignment="1">
      <alignment horizontal="left" vertical="top" wrapText="1"/>
    </xf>
    <xf numFmtId="0" fontId="2" fillId="0" borderId="0" xfId="0" applyFont="1" applyAlignment="1">
      <alignment horizontal="left" vertical="top"/>
    </xf>
    <xf numFmtId="0" fontId="2" fillId="0" borderId="0" xfId="0" applyFont="1" applyAlignment="1">
      <alignment horizontal="center" vertical="center" wrapText="1"/>
    </xf>
    <xf numFmtId="0" fontId="2" fillId="0" borderId="0" xfId="0" applyFont="1" applyAlignment="1">
      <alignment horizontal="center" wrapText="1"/>
    </xf>
    <xf numFmtId="0" fontId="10" fillId="0" borderId="0" xfId="0" applyFont="1" applyAlignment="1">
      <alignment horizontal="left" vertical="top" wrapText="1"/>
    </xf>
    <xf numFmtId="0" fontId="9" fillId="0" borderId="0" xfId="0" applyFont="1"/>
    <xf numFmtId="0" fontId="11" fillId="0" borderId="0" xfId="0" applyFont="1" applyAlignment="1">
      <alignment horizontal="justify" vertical="top" wrapText="1"/>
    </xf>
    <xf numFmtId="0" fontId="2" fillId="0" borderId="0" xfId="0" applyFont="1" applyAlignment="1">
      <alignment horizontal="center" vertical="center" wrapText="1"/>
    </xf>
    <xf numFmtId="0" fontId="2" fillId="0" borderId="0" xfId="0" applyFont="1" applyAlignment="1">
      <alignment horizontal="center" wrapText="1"/>
    </xf>
    <xf numFmtId="0" fontId="11" fillId="0" borderId="0" xfId="0" applyFont="1" applyAlignment="1">
      <alignment horizontal="justify" vertical="center" wrapText="1"/>
    </xf>
    <xf numFmtId="0" fontId="10" fillId="0" borderId="0" xfId="0" applyFont="1" applyAlignment="1">
      <alignment horizontal="left" vertical="top" wrapText="1"/>
    </xf>
    <xf numFmtId="0" fontId="9" fillId="0" borderId="0" xfId="0" applyFont="1"/>
    <xf numFmtId="0" fontId="1" fillId="0" borderId="0" xfId="0" applyFont="1" applyAlignment="1">
      <alignment horizontal="center"/>
    </xf>
    <xf numFmtId="0" fontId="0" fillId="0" borderId="0" xfId="0"/>
    <xf numFmtId="0" fontId="1" fillId="0" borderId="0" xfId="0" applyFont="1" applyAlignment="1">
      <alignment horizontal="right" vertical="center"/>
    </xf>
    <xf numFmtId="0" fontId="2" fillId="0" borderId="0" xfId="0" applyFont="1" applyAlignment="1">
      <alignment horizontal="left" vertical="top" wrapText="1"/>
    </xf>
    <xf numFmtId="0" fontId="2" fillId="0" borderId="0" xfId="0" applyFont="1" applyAlignment="1">
      <alignment horizontal="left" vertical="top"/>
    </xf>
    <xf numFmtId="0" fontId="2" fillId="0" borderId="0" xfId="0" applyFont="1" applyAlignment="1">
      <alignment horizontal="right" vertical="top"/>
    </xf>
    <xf numFmtId="0" fontId="1" fillId="0" borderId="0" xfId="0" applyFont="1" applyAlignment="1">
      <alignment horizontal="left" vertical="center"/>
    </xf>
    <xf numFmtId="0" fontId="2" fillId="0" borderId="0" xfId="0" applyFont="1" applyAlignment="1">
      <alignment horizontal="right" vertical="center"/>
    </xf>
    <xf numFmtId="0" fontId="1" fillId="0" borderId="0" xfId="0" applyFont="1" applyAlignment="1">
      <alignment horizontal="right"/>
    </xf>
    <xf numFmtId="0" fontId="11" fillId="0" borderId="0" xfId="0" applyFont="1" applyAlignment="1">
      <alignment horizontal="justify" vertical="justify" wrapText="1"/>
    </xf>
    <xf numFmtId="0" fontId="11" fillId="0" borderId="0" xfId="0" applyFont="1" applyAlignment="1">
      <alignment horizontal="left" vertical="center" wrapText="1"/>
    </xf>
    <xf numFmtId="0" fontId="1" fillId="0" borderId="0" xfId="0" applyFont="1" applyAlignment="1">
      <alignment horizontal="justify" vertical="top" wrapText="1"/>
    </xf>
    <xf numFmtId="0" fontId="2" fillId="0" borderId="0" xfId="0" applyFont="1" applyAlignment="1">
      <alignment horizontal="center" vertical="center"/>
    </xf>
    <xf numFmtId="0" fontId="11" fillId="0" borderId="0" xfId="0" applyFont="1" applyAlignment="1">
      <alignment horizontal="justify" vertical="justify"/>
    </xf>
    <xf numFmtId="0" fontId="2" fillId="0" borderId="0" xfId="0" applyFont="1" applyAlignment="1">
      <alignment horizontal="left" vertical="center"/>
    </xf>
    <xf numFmtId="0" fontId="1" fillId="0" borderId="0" xfId="0" applyFont="1" applyAlignment="1">
      <alignment horizontal="justify" vertical="justify" wrapText="1"/>
    </xf>
    <xf numFmtId="0" fontId="7" fillId="0" borderId="0" xfId="0" applyFont="1" applyAlignment="1">
      <alignment horizontal="center" wrapText="1"/>
    </xf>
    <xf numFmtId="0" fontId="6" fillId="0" borderId="0" xfId="0" applyFont="1" applyAlignment="1">
      <alignment horizontal="center" wrapText="1"/>
    </xf>
    <xf numFmtId="0" fontId="1" fillId="0" borderId="0" xfId="0" applyFont="1"/>
    <xf numFmtId="0" fontId="1" fillId="0" borderId="0" xfId="0" applyFont="1" applyAlignment="1">
      <alignment horizontal="left" vertical="top"/>
    </xf>
  </cellXfs>
  <cellStyles count="3">
    <cellStyle name="Moneda" xfId="1" builtinId="4"/>
    <cellStyle name="Moneda 2" xfId="2" xr:uid="{C0817FE9-AB02-4F49-A7F7-E3433F376A47}"/>
    <cellStyle name="Normal" xfId="0" builtinId="0"/>
  </cellStyles>
  <dxfs count="1">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114300</xdr:colOff>
      <xdr:row>0</xdr:row>
      <xdr:rowOff>152400</xdr:rowOff>
    </xdr:from>
    <xdr:to>
      <xdr:col>5</xdr:col>
      <xdr:colOff>628650</xdr:colOff>
      <xdr:row>4</xdr:row>
      <xdr:rowOff>28575</xdr:rowOff>
    </xdr:to>
    <xdr:pic>
      <xdr:nvPicPr>
        <xdr:cNvPr id="2" name="Picture 48">
          <a:extLst>
            <a:ext uri="{FF2B5EF4-FFF2-40B4-BE49-F238E27FC236}">
              <a16:creationId xmlns:a16="http://schemas.microsoft.com/office/drawing/2014/main" id="{EB8D8035-864B-4627-AA42-BDD48C48833C}"/>
            </a:ext>
          </a:extLst>
        </xdr:cNvPr>
        <xdr:cNvPicPr/>
      </xdr:nvPicPr>
      <xdr:blipFill>
        <a:blip xmlns:r="http://schemas.openxmlformats.org/officeDocument/2006/relationships" r:embed="rId1"/>
        <a:stretch>
          <a:fillRect/>
        </a:stretch>
      </xdr:blipFill>
      <xdr:spPr>
        <a:xfrm>
          <a:off x="4933950" y="152400"/>
          <a:ext cx="1171575" cy="63817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63"/>
  <sheetViews>
    <sheetView tabSelected="1" topLeftCell="A29" zoomScale="70" zoomScaleNormal="70" workbookViewId="0">
      <selection activeCell="B45" sqref="B45:F45"/>
    </sheetView>
  </sheetViews>
  <sheetFormatPr baseColWidth="10" defaultRowHeight="15" x14ac:dyDescent="0.25"/>
  <cols>
    <col min="1" max="1" width="7" customWidth="1"/>
    <col min="2" max="2" width="49.5703125" customWidth="1"/>
    <col min="3" max="3" width="19" customWidth="1"/>
    <col min="4" max="4" width="17.140625" customWidth="1"/>
    <col min="5" max="5" width="20.140625" customWidth="1"/>
    <col min="6" max="6" width="25.140625" customWidth="1"/>
    <col min="7" max="7" width="14.42578125" bestFit="1" customWidth="1"/>
    <col min="8" max="8" width="12.28515625" bestFit="1" customWidth="1"/>
  </cols>
  <sheetData>
    <row r="1" spans="2:9" ht="22.5" customHeight="1" x14ac:dyDescent="0.25">
      <c r="B1" s="24"/>
      <c r="C1" s="24"/>
      <c r="D1" s="24"/>
      <c r="E1" s="24"/>
      <c r="F1" s="24"/>
    </row>
    <row r="2" spans="2:9" ht="22.5" customHeight="1" x14ac:dyDescent="0.25">
      <c r="B2" s="24"/>
      <c r="C2" s="24"/>
      <c r="D2" s="24"/>
      <c r="E2" s="24"/>
      <c r="F2" s="24"/>
    </row>
    <row r="3" spans="2:9" ht="22.5" customHeight="1" x14ac:dyDescent="0.25">
      <c r="B3" s="24"/>
      <c r="C3" s="24"/>
      <c r="D3" s="24"/>
      <c r="E3" s="24"/>
      <c r="F3" s="24"/>
    </row>
    <row r="4" spans="2:9" ht="22.5" customHeight="1" x14ac:dyDescent="0.25">
      <c r="B4" s="24"/>
      <c r="C4" s="24"/>
      <c r="D4" s="24"/>
      <c r="E4" s="24"/>
      <c r="F4" s="24"/>
    </row>
    <row r="5" spans="2:9" ht="22.5" customHeight="1" x14ac:dyDescent="0.25">
      <c r="B5" s="52" t="s">
        <v>45</v>
      </c>
      <c r="C5" s="52"/>
      <c r="D5" s="52"/>
      <c r="E5" s="52"/>
      <c r="F5" s="52"/>
      <c r="G5" s="6"/>
    </row>
    <row r="6" spans="2:9" ht="22.5" customHeight="1" x14ac:dyDescent="0.25">
      <c r="B6" s="1"/>
      <c r="C6" s="24"/>
      <c r="D6" s="24"/>
      <c r="E6" s="24"/>
      <c r="F6" s="24"/>
    </row>
    <row r="7" spans="2:9" ht="22.5" customHeight="1" x14ac:dyDescent="0.25">
      <c r="B7" s="1"/>
      <c r="C7" s="24"/>
      <c r="D7" s="24"/>
      <c r="E7" s="24"/>
      <c r="F7" s="24"/>
    </row>
    <row r="8" spans="2:9" ht="22.5" customHeight="1" x14ac:dyDescent="0.25">
      <c r="B8" s="1" t="s">
        <v>56</v>
      </c>
      <c r="C8" s="24"/>
      <c r="D8" s="24"/>
      <c r="E8" s="24"/>
      <c r="F8" s="24"/>
    </row>
    <row r="9" spans="2:9" ht="22.5" customHeight="1" x14ac:dyDescent="0.25">
      <c r="B9" s="1"/>
      <c r="C9" s="24"/>
      <c r="D9" s="24"/>
      <c r="E9" s="24"/>
      <c r="F9" s="24"/>
      <c r="G9" s="1"/>
      <c r="H9" s="1"/>
      <c r="I9" s="1"/>
    </row>
    <row r="10" spans="2:9" ht="12" customHeight="1" x14ac:dyDescent="0.25">
      <c r="B10" s="57" t="s">
        <v>46</v>
      </c>
      <c r="C10" s="58"/>
      <c r="D10" s="58"/>
      <c r="E10" s="58"/>
      <c r="F10" s="58"/>
      <c r="G10" s="1"/>
      <c r="H10" s="1"/>
      <c r="I10" s="1"/>
    </row>
    <row r="11" spans="2:9" ht="12" customHeight="1" x14ac:dyDescent="0.25">
      <c r="B11" s="55" t="s">
        <v>47</v>
      </c>
      <c r="C11" s="55"/>
      <c r="D11" s="55"/>
      <c r="E11" s="55"/>
      <c r="F11" s="55"/>
    </row>
    <row r="12" spans="2:9" ht="15.75" customHeight="1" x14ac:dyDescent="0.25">
      <c r="B12" s="22"/>
      <c r="C12" s="24"/>
      <c r="D12" s="24"/>
      <c r="E12" s="24"/>
      <c r="F12" s="24"/>
    </row>
    <row r="13" spans="2:9" ht="12" customHeight="1" x14ac:dyDescent="0.25">
      <c r="B13" s="53" t="s">
        <v>48</v>
      </c>
      <c r="C13" s="54"/>
      <c r="D13" s="54"/>
      <c r="E13" s="54"/>
      <c r="F13" s="54"/>
    </row>
    <row r="14" spans="2:9" ht="12" customHeight="1" x14ac:dyDescent="0.25">
      <c r="B14" s="8" t="s">
        <v>49</v>
      </c>
      <c r="C14" s="25"/>
      <c r="D14" s="25"/>
      <c r="E14" s="25"/>
      <c r="F14" s="24"/>
    </row>
    <row r="15" spans="2:9" ht="12" customHeight="1" x14ac:dyDescent="0.25">
      <c r="B15" s="9"/>
      <c r="C15" s="25"/>
      <c r="D15" s="25"/>
      <c r="E15" s="25"/>
      <c r="F15" s="24"/>
    </row>
    <row r="16" spans="2:9" ht="12" customHeight="1" x14ac:dyDescent="0.25">
      <c r="B16" s="9"/>
      <c r="C16" s="25"/>
      <c r="D16" s="25"/>
      <c r="E16" s="25"/>
      <c r="F16" s="24"/>
    </row>
    <row r="17" spans="2:9" ht="12" customHeight="1" x14ac:dyDescent="0.25">
      <c r="B17" s="9"/>
      <c r="C17" s="25"/>
      <c r="D17" s="25"/>
      <c r="E17" s="25"/>
      <c r="F17" s="24"/>
    </row>
    <row r="18" spans="2:9" ht="30" customHeight="1" x14ac:dyDescent="0.25">
      <c r="B18" s="61" t="s">
        <v>36</v>
      </c>
      <c r="C18" s="61"/>
      <c r="D18" s="61"/>
      <c r="E18" s="61"/>
      <c r="F18" s="61"/>
      <c r="G18" s="3"/>
      <c r="H18" s="3"/>
      <c r="I18" s="3"/>
    </row>
    <row r="19" spans="2:9" ht="21.75" customHeight="1" x14ac:dyDescent="0.25">
      <c r="B19" s="31" t="s">
        <v>8</v>
      </c>
      <c r="C19" s="31" t="s">
        <v>32</v>
      </c>
      <c r="D19" s="31" t="s">
        <v>6</v>
      </c>
      <c r="E19" s="31" t="s">
        <v>15</v>
      </c>
      <c r="F19" s="31" t="s">
        <v>7</v>
      </c>
      <c r="G19" s="2"/>
      <c r="H19" s="2"/>
      <c r="I19" s="2"/>
    </row>
    <row r="20" spans="2:9" ht="21.75" customHeight="1" x14ac:dyDescent="0.25">
      <c r="B20" s="31"/>
      <c r="C20" s="31"/>
      <c r="D20" s="31"/>
      <c r="E20" s="31"/>
      <c r="F20" s="31"/>
      <c r="G20" s="2"/>
      <c r="H20" s="2"/>
      <c r="I20" s="2"/>
    </row>
    <row r="21" spans="2:9" ht="182.25" customHeight="1" x14ac:dyDescent="0.25">
      <c r="B21" s="32" t="s">
        <v>44</v>
      </c>
      <c r="C21" s="34" t="s">
        <v>9</v>
      </c>
      <c r="D21" s="35">
        <v>1</v>
      </c>
      <c r="E21" s="26">
        <v>163.9</v>
      </c>
      <c r="F21" s="26">
        <f>D21*E21</f>
        <v>163.9</v>
      </c>
      <c r="G21" s="2"/>
      <c r="H21" s="2"/>
      <c r="I21" s="2"/>
    </row>
    <row r="22" spans="2:9" ht="201" customHeight="1" x14ac:dyDescent="0.25">
      <c r="B22" s="8" t="s">
        <v>54</v>
      </c>
      <c r="C22" s="34" t="s">
        <v>9</v>
      </c>
      <c r="D22" s="35">
        <v>1</v>
      </c>
      <c r="E22" s="37">
        <v>154.9</v>
      </c>
      <c r="F22" s="26">
        <f>E22*D22</f>
        <v>154.9</v>
      </c>
      <c r="G22" s="2"/>
      <c r="H22" s="2"/>
      <c r="I22" s="2"/>
    </row>
    <row r="23" spans="2:9" ht="229.5" customHeight="1" x14ac:dyDescent="0.25">
      <c r="B23" s="32" t="s">
        <v>55</v>
      </c>
      <c r="C23" s="34" t="s">
        <v>9</v>
      </c>
      <c r="D23" s="35">
        <v>1</v>
      </c>
      <c r="E23" s="26">
        <v>239.9</v>
      </c>
      <c r="F23" s="26">
        <f t="shared" ref="F23" si="0">D23*E23</f>
        <v>239.9</v>
      </c>
      <c r="G23" s="2"/>
      <c r="H23" s="2"/>
      <c r="I23" s="2"/>
    </row>
    <row r="24" spans="2:9" ht="24" customHeight="1" x14ac:dyDescent="0.25">
      <c r="B24" s="32"/>
      <c r="C24" s="34"/>
      <c r="D24" s="35"/>
      <c r="E24" s="26"/>
      <c r="F24" s="26"/>
      <c r="G24" s="2"/>
      <c r="H24" s="2"/>
      <c r="I24" s="2"/>
    </row>
    <row r="25" spans="2:9" ht="26.25" customHeight="1" x14ac:dyDescent="0.25">
      <c r="B25" s="4"/>
      <c r="C25" s="25"/>
      <c r="D25" s="33"/>
      <c r="E25" s="4" t="s">
        <v>2</v>
      </c>
      <c r="F25" s="15">
        <f>SUM(F21:F24)</f>
        <v>558.70000000000005</v>
      </c>
      <c r="G25" s="5"/>
    </row>
    <row r="26" spans="2:9" ht="26.25" customHeight="1" x14ac:dyDescent="0.25">
      <c r="B26" s="4"/>
      <c r="C26" s="4"/>
      <c r="D26" s="4"/>
      <c r="E26" s="4" t="s">
        <v>3</v>
      </c>
      <c r="F26" s="15">
        <f>F25*16%</f>
        <v>89.39200000000001</v>
      </c>
      <c r="G26" s="10"/>
    </row>
    <row r="27" spans="2:9" ht="26.25" customHeight="1" x14ac:dyDescent="0.25">
      <c r="B27" s="4"/>
      <c r="C27" s="20"/>
      <c r="D27" s="4"/>
      <c r="E27" s="4" t="s">
        <v>4</v>
      </c>
      <c r="F27" s="15">
        <f>SUM(F25:F26)</f>
        <v>648.0920000000001</v>
      </c>
      <c r="G27" s="10"/>
    </row>
    <row r="28" spans="2:9" ht="29.25" customHeight="1" x14ac:dyDescent="0.25">
      <c r="B28" s="4"/>
      <c r="C28" s="20"/>
      <c r="D28" s="4"/>
      <c r="E28" s="4"/>
      <c r="F28" s="15"/>
      <c r="G28" s="10"/>
    </row>
    <row r="29" spans="2:9" ht="29.25" customHeight="1" x14ac:dyDescent="0.25">
      <c r="B29" s="4"/>
      <c r="C29" s="20"/>
      <c r="D29" s="4"/>
      <c r="E29" s="4"/>
      <c r="F29" s="15"/>
      <c r="G29" s="10"/>
    </row>
    <row r="30" spans="2:9" ht="29.25" customHeight="1" x14ac:dyDescent="0.25">
      <c r="B30" s="4"/>
      <c r="C30" s="20"/>
      <c r="D30" s="4"/>
      <c r="E30" s="4"/>
      <c r="F30" s="15"/>
      <c r="G30" s="10"/>
    </row>
    <row r="31" spans="2:9" ht="29.25" customHeight="1" x14ac:dyDescent="0.25">
      <c r="B31" s="4"/>
      <c r="C31" s="20"/>
      <c r="D31" s="4"/>
      <c r="E31" s="4"/>
      <c r="F31" s="15"/>
      <c r="G31" s="10"/>
    </row>
    <row r="32" spans="2:9" x14ac:dyDescent="0.25">
      <c r="B32" s="45" t="s">
        <v>50</v>
      </c>
      <c r="C32" s="46"/>
      <c r="D32" s="46"/>
      <c r="E32" s="46"/>
      <c r="F32" s="46"/>
      <c r="G32" s="5"/>
      <c r="H32" s="15"/>
    </row>
    <row r="33" spans="2:8" x14ac:dyDescent="0.25">
      <c r="B33" s="40"/>
      <c r="C33" s="41"/>
      <c r="D33" s="41"/>
      <c r="E33" s="41"/>
      <c r="F33" s="41"/>
      <c r="G33" s="5"/>
      <c r="H33" s="15"/>
    </row>
    <row r="34" spans="2:8" x14ac:dyDescent="0.25">
      <c r="B34" s="40"/>
      <c r="C34" s="41"/>
      <c r="D34" s="41"/>
      <c r="E34" s="41"/>
      <c r="F34" s="41"/>
      <c r="G34" s="5"/>
      <c r="H34" s="15"/>
    </row>
    <row r="35" spans="2:8" ht="22.5" customHeight="1" x14ac:dyDescent="0.25">
      <c r="B35" s="56" t="s">
        <v>53</v>
      </c>
      <c r="C35" s="56"/>
      <c r="D35" s="56"/>
      <c r="E35" s="56"/>
      <c r="F35" s="56"/>
      <c r="G35" s="15"/>
      <c r="H35" s="15"/>
    </row>
    <row r="36" spans="2:8" ht="22.5" customHeight="1" x14ac:dyDescent="0.25">
      <c r="B36" s="6"/>
      <c r="C36" s="6"/>
      <c r="D36" s="6"/>
      <c r="E36" s="6"/>
      <c r="F36" s="6"/>
      <c r="G36" s="15"/>
      <c r="H36" s="15"/>
    </row>
    <row r="37" spans="2:8" ht="22.5" customHeight="1" x14ac:dyDescent="0.25">
      <c r="B37" s="53" t="s">
        <v>48</v>
      </c>
      <c r="C37" s="54"/>
      <c r="D37" s="54"/>
      <c r="E37" s="54"/>
      <c r="F37" s="24"/>
      <c r="G37" s="5"/>
      <c r="H37" s="15"/>
    </row>
    <row r="38" spans="2:8" ht="22.5" customHeight="1" x14ac:dyDescent="0.25">
      <c r="B38" s="38"/>
      <c r="C38" s="39"/>
      <c r="D38" s="39"/>
      <c r="E38" s="39"/>
      <c r="F38" s="24"/>
      <c r="G38" s="5"/>
      <c r="H38" s="15"/>
    </row>
    <row r="39" spans="2:8" ht="22.5" customHeight="1" x14ac:dyDescent="0.25">
      <c r="B39" s="48" t="s">
        <v>57</v>
      </c>
      <c r="C39" s="49"/>
      <c r="D39" s="49"/>
      <c r="E39" s="49"/>
      <c r="F39" s="49"/>
      <c r="G39" s="5"/>
      <c r="H39" s="15"/>
    </row>
    <row r="40" spans="2:8" ht="22.5" customHeight="1" x14ac:dyDescent="0.25">
      <c r="B40" s="42"/>
      <c r="C40" s="43"/>
      <c r="D40" s="43"/>
      <c r="E40" s="43"/>
      <c r="F40" s="43"/>
      <c r="G40" s="5"/>
      <c r="H40" s="15"/>
    </row>
    <row r="41" spans="2:8" ht="22.5" customHeight="1" x14ac:dyDescent="0.25">
      <c r="B41" s="42"/>
      <c r="C41" s="43"/>
      <c r="D41" s="43"/>
      <c r="E41" s="43"/>
      <c r="F41" s="43"/>
      <c r="G41" s="5"/>
      <c r="H41" s="15"/>
    </row>
    <row r="42" spans="2:8" ht="22.5" customHeight="1" x14ac:dyDescent="0.25">
      <c r="B42" s="62" t="s">
        <v>38</v>
      </c>
      <c r="C42" s="62"/>
      <c r="D42" s="62"/>
      <c r="E42" s="62"/>
      <c r="F42" s="62"/>
      <c r="G42" s="5"/>
      <c r="H42" s="15"/>
    </row>
    <row r="43" spans="2:8" ht="22.5" customHeight="1" x14ac:dyDescent="0.25">
      <c r="B43" s="31"/>
      <c r="C43" s="31"/>
      <c r="D43" s="31"/>
      <c r="E43" s="31"/>
      <c r="F43" s="31"/>
      <c r="G43" s="5"/>
      <c r="H43" s="15"/>
    </row>
    <row r="44" spans="2:8" ht="22.5" customHeight="1" x14ac:dyDescent="0.25">
      <c r="B44" s="31"/>
      <c r="C44" s="31"/>
      <c r="D44" s="31"/>
      <c r="E44" s="31"/>
      <c r="F44" s="31"/>
      <c r="G44" s="5"/>
      <c r="H44" s="15"/>
    </row>
    <row r="45" spans="2:8" ht="57" customHeight="1" x14ac:dyDescent="0.25">
      <c r="B45" s="47" t="s">
        <v>5</v>
      </c>
      <c r="C45" s="47"/>
      <c r="D45" s="47"/>
      <c r="E45" s="47"/>
      <c r="F45" s="47"/>
      <c r="G45" s="5"/>
      <c r="H45" s="15"/>
    </row>
    <row r="46" spans="2:8" ht="46.5" customHeight="1" x14ac:dyDescent="0.25">
      <c r="B46" s="59" t="s">
        <v>40</v>
      </c>
      <c r="C46" s="59"/>
      <c r="D46" s="59"/>
      <c r="E46" s="59"/>
      <c r="F46" s="59"/>
      <c r="G46" s="5"/>
      <c r="H46" s="15"/>
    </row>
    <row r="47" spans="2:8" ht="27" customHeight="1" x14ac:dyDescent="0.25">
      <c r="B47" s="59" t="s">
        <v>51</v>
      </c>
      <c r="C47" s="63"/>
      <c r="D47" s="63"/>
      <c r="E47" s="63"/>
      <c r="F47" s="63"/>
      <c r="G47" s="5"/>
      <c r="H47" s="15"/>
    </row>
    <row r="48" spans="2:8" ht="64.5" customHeight="1" x14ac:dyDescent="0.25">
      <c r="B48" s="47" t="s">
        <v>52</v>
      </c>
      <c r="C48" s="47"/>
      <c r="D48" s="47"/>
      <c r="E48" s="47"/>
      <c r="F48" s="47"/>
      <c r="G48" s="5"/>
      <c r="H48" s="15"/>
    </row>
    <row r="49" spans="2:8" ht="49.5" customHeight="1" x14ac:dyDescent="0.25">
      <c r="B49" s="47" t="s">
        <v>41</v>
      </c>
      <c r="C49" s="47"/>
      <c r="D49" s="47"/>
      <c r="E49" s="47"/>
      <c r="F49" s="47"/>
      <c r="G49" s="5"/>
      <c r="H49" s="15"/>
    </row>
    <row r="50" spans="2:8" ht="60" customHeight="1" x14ac:dyDescent="0.25">
      <c r="B50" s="47" t="s">
        <v>39</v>
      </c>
      <c r="C50" s="47"/>
      <c r="D50" s="47"/>
      <c r="E50" s="47"/>
      <c r="F50" s="47"/>
      <c r="G50" s="5"/>
      <c r="H50" s="15"/>
    </row>
    <row r="51" spans="2:8" ht="27.75" customHeight="1" x14ac:dyDescent="0.25">
      <c r="B51" s="44" t="s">
        <v>37</v>
      </c>
      <c r="C51" s="44"/>
      <c r="D51" s="44"/>
      <c r="E51" s="44"/>
      <c r="F51" s="44"/>
      <c r="G51" s="5"/>
      <c r="H51" s="15"/>
    </row>
    <row r="52" spans="2:8" ht="23.25" customHeight="1" x14ac:dyDescent="0.25">
      <c r="B52" s="60" t="s">
        <v>42</v>
      </c>
      <c r="C52" s="60"/>
      <c r="D52" s="60"/>
      <c r="E52" s="60"/>
      <c r="F52" s="60"/>
      <c r="G52" s="5"/>
      <c r="H52" s="15"/>
    </row>
    <row r="53" spans="2:8" ht="48" customHeight="1" x14ac:dyDescent="0.25">
      <c r="B53" s="47" t="s">
        <v>43</v>
      </c>
      <c r="C53" s="47"/>
      <c r="D53" s="47"/>
      <c r="E53" s="47"/>
      <c r="F53" s="47"/>
      <c r="G53" s="5"/>
      <c r="H53" s="15"/>
    </row>
    <row r="54" spans="2:8" ht="48" customHeight="1" x14ac:dyDescent="0.25">
      <c r="B54" s="4"/>
      <c r="C54" s="4"/>
      <c r="D54" s="4"/>
      <c r="E54" s="4"/>
      <c r="F54" s="4"/>
      <c r="G54" s="5"/>
      <c r="H54" s="15"/>
    </row>
    <row r="55" spans="2:8" ht="48" customHeight="1" x14ac:dyDescent="0.25">
      <c r="B55" s="4"/>
      <c r="C55" s="4"/>
      <c r="D55" s="4"/>
      <c r="E55" s="4"/>
      <c r="F55" s="4"/>
      <c r="G55" s="5"/>
      <c r="H55" s="15"/>
    </row>
    <row r="56" spans="2:8" ht="30" customHeight="1" x14ac:dyDescent="0.25">
      <c r="B56" s="36"/>
      <c r="C56" s="36"/>
      <c r="D56" s="36"/>
      <c r="E56" s="36"/>
      <c r="F56" s="36"/>
      <c r="G56" s="5"/>
      <c r="H56" s="15"/>
    </row>
    <row r="57" spans="2:8" ht="31.5" customHeight="1" x14ac:dyDescent="0.25">
      <c r="B57" s="4"/>
      <c r="C57" s="4"/>
      <c r="D57" s="4"/>
      <c r="E57" s="4"/>
      <c r="F57" s="4"/>
    </row>
    <row r="58" spans="2:8" ht="24" customHeight="1" x14ac:dyDescent="0.25">
      <c r="B58" s="30" t="s">
        <v>58</v>
      </c>
      <c r="C58" s="50" t="s">
        <v>35</v>
      </c>
      <c r="D58" s="50"/>
      <c r="E58" s="50"/>
      <c r="F58" s="51"/>
    </row>
    <row r="59" spans="2:8" ht="19.5" customHeight="1" x14ac:dyDescent="0.25">
      <c r="B59" s="9"/>
      <c r="C59" s="25"/>
      <c r="D59" s="25"/>
      <c r="E59" s="25"/>
      <c r="F59" s="24"/>
    </row>
    <row r="60" spans="2:8" ht="17.25" customHeight="1" x14ac:dyDescent="0.25">
      <c r="B60" s="9"/>
      <c r="C60" s="25"/>
      <c r="D60" s="25"/>
      <c r="E60" s="25"/>
      <c r="F60" s="24"/>
    </row>
    <row r="61" spans="2:8" x14ac:dyDescent="0.25">
      <c r="B61" s="16" t="s">
        <v>59</v>
      </c>
      <c r="C61" s="25"/>
      <c r="D61" s="25"/>
      <c r="E61" s="25"/>
      <c r="F61" s="24"/>
    </row>
    <row r="62" spans="2:8" x14ac:dyDescent="0.25">
      <c r="B62" s="17" t="s">
        <v>60</v>
      </c>
      <c r="C62" s="25"/>
      <c r="D62" s="25"/>
      <c r="E62" s="25"/>
      <c r="F62" s="24"/>
    </row>
    <row r="63" spans="2:8" x14ac:dyDescent="0.25">
      <c r="B63" s="24"/>
      <c r="C63" s="24"/>
      <c r="D63" s="24"/>
      <c r="E63" s="24"/>
      <c r="F63" s="24"/>
    </row>
  </sheetData>
  <mergeCells count="20">
    <mergeCell ref="B5:F5"/>
    <mergeCell ref="B37:E37"/>
    <mergeCell ref="B11:F11"/>
    <mergeCell ref="B35:F35"/>
    <mergeCell ref="B13:F13"/>
    <mergeCell ref="B10:F10"/>
    <mergeCell ref="B18:F18"/>
    <mergeCell ref="B51:F51"/>
    <mergeCell ref="B32:F32"/>
    <mergeCell ref="B53:F53"/>
    <mergeCell ref="B39:F39"/>
    <mergeCell ref="C58:F58"/>
    <mergeCell ref="B46:F46"/>
    <mergeCell ref="B49:F49"/>
    <mergeCell ref="B52:F52"/>
    <mergeCell ref="B42:F42"/>
    <mergeCell ref="B45:F45"/>
    <mergeCell ref="B47:F47"/>
    <mergeCell ref="B48:F48"/>
    <mergeCell ref="B50:F50"/>
  </mergeCells>
  <conditionalFormatting sqref="E22">
    <cfRule type="cellIs" dxfId="0" priority="1" operator="equal">
      <formula>0</formula>
    </cfRule>
  </conditionalFormatting>
  <pageMargins left="0.23622047244094491" right="0.23622047244094491" top="0.74803149606299213" bottom="0.74803149606299213" header="0.31496062992125984" footer="0.31496062992125984"/>
  <pageSetup paperSize="9" scale="65" orientation="portrait" horizontalDpi="4294967293" r:id="rId1"/>
  <headerFooter>
    <oddHeader>&amp;R&amp;G</oddHeader>
    <oddFooter>&amp;C&amp;G</oddFooter>
  </headerFooter>
  <colBreaks count="1" manualBreakCount="1">
    <brk id="6" max="1048575" man="1"/>
  </colBreaks>
  <ignoredErrors>
    <ignoredError sqref="F22" formula="1"/>
  </ignoredError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O47"/>
  <sheetViews>
    <sheetView zoomScaleNormal="100" zoomScalePageLayoutView="50" workbookViewId="0">
      <selection activeCell="B12" sqref="B12"/>
    </sheetView>
  </sheetViews>
  <sheetFormatPr baseColWidth="10" defaultRowHeight="15" x14ac:dyDescent="0.25"/>
  <cols>
    <col min="1" max="1" width="5.85546875" style="19" customWidth="1"/>
    <col min="2" max="2" width="52.140625" customWidth="1"/>
    <col min="3" max="3" width="14.28515625" customWidth="1"/>
    <col min="4" max="4" width="11.42578125" customWidth="1"/>
    <col min="5" max="5" width="9.85546875" bestFit="1" customWidth="1"/>
    <col min="6" max="6" width="9.5703125" bestFit="1" customWidth="1"/>
  </cols>
  <sheetData>
    <row r="4" spans="2:6" x14ac:dyDescent="0.25">
      <c r="B4" s="24"/>
      <c r="C4" s="24"/>
      <c r="D4" s="24"/>
      <c r="E4" s="24"/>
      <c r="F4" s="24"/>
    </row>
    <row r="5" spans="2:6" x14ac:dyDescent="0.25">
      <c r="B5" s="24"/>
      <c r="C5" s="24"/>
      <c r="D5" s="24"/>
      <c r="E5" s="24"/>
      <c r="F5" s="24"/>
    </row>
    <row r="6" spans="2:6" x14ac:dyDescent="0.25">
      <c r="B6" s="52" t="s">
        <v>24</v>
      </c>
      <c r="C6" s="52"/>
      <c r="D6" s="52"/>
      <c r="E6" s="52"/>
      <c r="F6" s="52"/>
    </row>
    <row r="7" spans="2:6" x14ac:dyDescent="0.25">
      <c r="B7" s="1"/>
      <c r="C7" s="1"/>
      <c r="D7" s="24"/>
      <c r="E7" s="24"/>
      <c r="F7" s="24"/>
    </row>
    <row r="8" spans="2:6" x14ac:dyDescent="0.25">
      <c r="B8" s="1" t="s">
        <v>0</v>
      </c>
      <c r="C8" s="1"/>
      <c r="D8" s="24"/>
      <c r="E8" s="24"/>
      <c r="F8" s="24"/>
    </row>
    <row r="9" spans="2:6" x14ac:dyDescent="0.25">
      <c r="B9" s="57" t="s">
        <v>25</v>
      </c>
      <c r="C9" s="57"/>
      <c r="D9" s="57"/>
      <c r="E9" s="57"/>
      <c r="F9" s="57"/>
    </row>
    <row r="10" spans="2:6" x14ac:dyDescent="0.25">
      <c r="B10" s="64"/>
      <c r="C10" s="64"/>
      <c r="D10" s="64"/>
      <c r="E10" s="64"/>
      <c r="F10" s="64"/>
    </row>
    <row r="11" spans="2:6" ht="12.75" customHeight="1" x14ac:dyDescent="0.25">
      <c r="B11" s="8" t="s">
        <v>34</v>
      </c>
      <c r="C11" s="8"/>
      <c r="D11" s="25"/>
      <c r="E11" s="25"/>
      <c r="F11" s="25"/>
    </row>
    <row r="12" spans="2:6" ht="13.5" customHeight="1" x14ac:dyDescent="0.25">
      <c r="B12" s="9" t="s">
        <v>1</v>
      </c>
      <c r="C12" s="9"/>
      <c r="D12" s="25"/>
      <c r="E12" s="25"/>
      <c r="F12" s="25"/>
    </row>
    <row r="13" spans="2:6" ht="21.75" customHeight="1" x14ac:dyDescent="0.25">
      <c r="B13" s="65" t="s">
        <v>10</v>
      </c>
      <c r="C13" s="65"/>
      <c r="D13" s="65"/>
      <c r="E13" s="65"/>
      <c r="F13" s="65"/>
    </row>
    <row r="14" spans="2:6" x14ac:dyDescent="0.25">
      <c r="B14" s="8" t="s">
        <v>8</v>
      </c>
      <c r="C14" s="8"/>
      <c r="D14" s="22" t="s">
        <v>6</v>
      </c>
      <c r="E14" s="22" t="s">
        <v>15</v>
      </c>
      <c r="F14" s="21" t="s">
        <v>7</v>
      </c>
    </row>
    <row r="15" spans="2:6" x14ac:dyDescent="0.25">
      <c r="B15" s="8"/>
      <c r="C15" s="8"/>
      <c r="D15" s="21"/>
      <c r="E15" s="21"/>
      <c r="F15" s="21"/>
    </row>
    <row r="16" spans="2:6" x14ac:dyDescent="0.25">
      <c r="B16" s="7" t="s">
        <v>26</v>
      </c>
      <c r="C16" s="27" t="s">
        <v>12</v>
      </c>
      <c r="D16" s="29">
        <v>16</v>
      </c>
      <c r="E16" s="26">
        <v>918.78</v>
      </c>
      <c r="F16" s="14">
        <f>D16*E16</f>
        <v>14700.48</v>
      </c>
    </row>
    <row r="17" spans="2:6" x14ac:dyDescent="0.25">
      <c r="B17" s="7" t="s">
        <v>27</v>
      </c>
      <c r="C17" s="27" t="s">
        <v>12</v>
      </c>
      <c r="D17" s="5">
        <v>5</v>
      </c>
      <c r="E17" s="26">
        <v>701.36</v>
      </c>
      <c r="F17" s="14">
        <f t="shared" ref="F17:F20" si="0">D17*E17</f>
        <v>3506.8</v>
      </c>
    </row>
    <row r="18" spans="2:6" x14ac:dyDescent="0.25">
      <c r="B18" s="7" t="s">
        <v>28</v>
      </c>
      <c r="C18" s="27" t="s">
        <v>12</v>
      </c>
      <c r="D18" s="29">
        <v>5</v>
      </c>
      <c r="E18" s="26">
        <v>787</v>
      </c>
      <c r="F18" s="14">
        <f t="shared" si="0"/>
        <v>3935</v>
      </c>
    </row>
    <row r="19" spans="2:6" x14ac:dyDescent="0.25">
      <c r="B19" s="7" t="s">
        <v>29</v>
      </c>
      <c r="C19" s="27" t="s">
        <v>12</v>
      </c>
      <c r="D19" s="5">
        <v>6</v>
      </c>
      <c r="E19" s="26">
        <v>4190</v>
      </c>
      <c r="F19" s="14">
        <f t="shared" si="0"/>
        <v>25140</v>
      </c>
    </row>
    <row r="20" spans="2:6" x14ac:dyDescent="0.25">
      <c r="B20" s="7" t="s">
        <v>30</v>
      </c>
      <c r="C20" s="27" t="s">
        <v>12</v>
      </c>
      <c r="D20" s="29">
        <v>2</v>
      </c>
      <c r="E20" s="26">
        <v>937.47</v>
      </c>
      <c r="F20" s="14">
        <f t="shared" si="0"/>
        <v>1874.94</v>
      </c>
    </row>
    <row r="21" spans="2:6" x14ac:dyDescent="0.25">
      <c r="B21" s="11" t="s">
        <v>33</v>
      </c>
      <c r="C21" s="11"/>
      <c r="D21" s="12"/>
      <c r="E21" s="14"/>
      <c r="F21" s="14"/>
    </row>
    <row r="22" spans="2:6" x14ac:dyDescent="0.25">
      <c r="B22" s="4"/>
      <c r="C22" s="4"/>
      <c r="D22" s="12"/>
      <c r="E22" s="13"/>
      <c r="F22" s="14"/>
    </row>
    <row r="23" spans="2:6" x14ac:dyDescent="0.25">
      <c r="B23" s="4"/>
      <c r="C23" s="4"/>
      <c r="D23" s="25"/>
      <c r="E23" s="4" t="s">
        <v>2</v>
      </c>
      <c r="F23" s="15">
        <f>SUM(F16:F22)</f>
        <v>49157.22</v>
      </c>
    </row>
    <row r="24" spans="2:6" x14ac:dyDescent="0.25">
      <c r="B24" s="4"/>
      <c r="C24" s="4"/>
      <c r="D24" s="4"/>
      <c r="E24" s="4" t="s">
        <v>3</v>
      </c>
      <c r="F24" s="15">
        <f>F23*16%</f>
        <v>7865.1552000000001</v>
      </c>
    </row>
    <row r="25" spans="2:6" x14ac:dyDescent="0.25">
      <c r="B25" s="4"/>
      <c r="C25" s="4"/>
      <c r="D25" s="20"/>
      <c r="E25" s="4" t="s">
        <v>4</v>
      </c>
      <c r="F25" s="15">
        <f>SUM(F23:F24)</f>
        <v>57022.375200000002</v>
      </c>
    </row>
    <row r="26" spans="2:6" x14ac:dyDescent="0.25">
      <c r="B26" s="4"/>
      <c r="C26" s="4"/>
      <c r="D26" s="20"/>
      <c r="E26" s="4"/>
      <c r="F26" s="15"/>
    </row>
    <row r="27" spans="2:6" x14ac:dyDescent="0.25">
      <c r="B27" s="1" t="s">
        <v>11</v>
      </c>
      <c r="C27" s="1"/>
      <c r="D27" s="24"/>
      <c r="E27" s="24"/>
      <c r="F27" s="24"/>
    </row>
    <row r="28" spans="2:6" ht="39" customHeight="1" x14ac:dyDescent="0.25">
      <c r="B28" s="65" t="s">
        <v>16</v>
      </c>
      <c r="C28" s="65"/>
      <c r="D28" s="65"/>
      <c r="E28" s="65"/>
      <c r="F28" s="65"/>
    </row>
    <row r="29" spans="2:6" ht="17.25" customHeight="1" x14ac:dyDescent="0.25">
      <c r="B29" s="65" t="s">
        <v>17</v>
      </c>
      <c r="C29" s="65"/>
      <c r="D29" s="65"/>
      <c r="E29" s="65"/>
      <c r="F29" s="65"/>
    </row>
    <row r="30" spans="2:6" ht="15" customHeight="1" x14ac:dyDescent="0.25">
      <c r="B30" s="65" t="s">
        <v>18</v>
      </c>
      <c r="C30" s="65"/>
      <c r="D30" s="65"/>
      <c r="E30" s="65"/>
      <c r="F30" s="65"/>
    </row>
    <row r="31" spans="2:6" ht="18" customHeight="1" x14ac:dyDescent="0.25">
      <c r="B31" s="65" t="s">
        <v>19</v>
      </c>
      <c r="C31" s="65"/>
      <c r="D31" s="65"/>
      <c r="E31" s="65"/>
      <c r="F31" s="65"/>
    </row>
    <row r="32" spans="2:6" ht="96.75" customHeight="1" x14ac:dyDescent="0.25">
      <c r="B32" s="65" t="s">
        <v>20</v>
      </c>
      <c r="C32" s="65"/>
      <c r="D32" s="65"/>
      <c r="E32" s="65"/>
      <c r="F32" s="65"/>
    </row>
    <row r="33" spans="2:15" x14ac:dyDescent="0.25">
      <c r="B33" s="24"/>
      <c r="C33" s="24"/>
      <c r="D33" s="24"/>
      <c r="E33" s="24"/>
      <c r="F33" s="24"/>
      <c r="H33" s="18"/>
    </row>
    <row r="34" spans="2:15" x14ac:dyDescent="0.25">
      <c r="B34" s="6" t="s">
        <v>21</v>
      </c>
      <c r="C34" s="6"/>
      <c r="D34" s="68" t="s">
        <v>22</v>
      </c>
      <c r="E34" s="68"/>
      <c r="F34" s="68"/>
    </row>
    <row r="35" spans="2:15" x14ac:dyDescent="0.25">
      <c r="B35" s="9"/>
      <c r="C35" s="9"/>
      <c r="D35" s="25"/>
      <c r="E35" s="25"/>
      <c r="F35" s="25"/>
    </row>
    <row r="36" spans="2:15" x14ac:dyDescent="0.25">
      <c r="B36" s="9"/>
      <c r="C36" s="9"/>
      <c r="D36" s="25"/>
      <c r="E36" s="25"/>
      <c r="F36" s="25"/>
    </row>
    <row r="37" spans="2:15" x14ac:dyDescent="0.25">
      <c r="B37" s="16" t="s">
        <v>23</v>
      </c>
      <c r="C37" s="16"/>
      <c r="D37" s="25"/>
      <c r="E37" s="25"/>
      <c r="F37" s="25"/>
    </row>
    <row r="38" spans="2:15" x14ac:dyDescent="0.25">
      <c r="B38" s="28" t="s">
        <v>31</v>
      </c>
      <c r="C38" s="28"/>
      <c r="D38" s="69" t="s">
        <v>13</v>
      </c>
      <c r="E38" s="69"/>
      <c r="F38" s="69"/>
    </row>
    <row r="39" spans="2:15" x14ac:dyDescent="0.25">
      <c r="B39" s="17"/>
      <c r="C39" s="17"/>
      <c r="D39" s="25"/>
      <c r="E39" s="25"/>
      <c r="F39" s="25"/>
    </row>
    <row r="40" spans="2:15" x14ac:dyDescent="0.25">
      <c r="B40" s="66" t="s">
        <v>14</v>
      </c>
      <c r="C40" s="66"/>
      <c r="D40" s="67"/>
      <c r="E40" s="67"/>
      <c r="F40" s="67"/>
      <c r="G40" s="23"/>
      <c r="H40" s="23"/>
      <c r="I40" s="23"/>
      <c r="J40" s="23"/>
      <c r="K40" s="23"/>
      <c r="L40" s="23"/>
      <c r="M40" s="23"/>
      <c r="N40" s="23"/>
      <c r="O40" s="23"/>
    </row>
    <row r="41" spans="2:15" x14ac:dyDescent="0.25">
      <c r="B41" s="67"/>
      <c r="C41" s="67"/>
      <c r="D41" s="67"/>
      <c r="E41" s="67"/>
      <c r="F41" s="67"/>
      <c r="G41" s="23"/>
      <c r="H41" s="23"/>
      <c r="I41" s="23"/>
      <c r="J41" s="23"/>
      <c r="K41" s="23"/>
      <c r="L41" s="23"/>
      <c r="M41" s="23"/>
      <c r="N41" s="23"/>
      <c r="O41" s="23"/>
    </row>
    <row r="42" spans="2:15" x14ac:dyDescent="0.25">
      <c r="B42" s="67"/>
      <c r="C42" s="67"/>
      <c r="D42" s="67"/>
      <c r="E42" s="67"/>
      <c r="F42" s="67"/>
      <c r="G42" s="23"/>
      <c r="H42" s="23"/>
      <c r="I42" s="23"/>
      <c r="J42" s="23"/>
      <c r="K42" s="23"/>
      <c r="L42" s="23"/>
      <c r="M42" s="23"/>
      <c r="N42" s="23"/>
      <c r="O42" s="23"/>
    </row>
    <row r="43" spans="2:15" x14ac:dyDescent="0.25">
      <c r="B43" s="67"/>
      <c r="C43" s="67"/>
      <c r="D43" s="67"/>
      <c r="E43" s="67"/>
      <c r="F43" s="67"/>
      <c r="G43" s="23"/>
      <c r="H43" s="23"/>
      <c r="I43" s="23"/>
      <c r="J43" s="23"/>
      <c r="K43" s="23"/>
      <c r="L43" s="23"/>
      <c r="M43" s="23"/>
      <c r="N43" s="23"/>
      <c r="O43" s="23"/>
    </row>
    <row r="44" spans="2:15" x14ac:dyDescent="0.25">
      <c r="B44" s="23"/>
      <c r="C44" s="23"/>
      <c r="D44" s="23"/>
      <c r="E44" s="23"/>
      <c r="F44" s="23"/>
      <c r="G44" s="23"/>
      <c r="H44" s="23"/>
      <c r="I44" s="23"/>
      <c r="J44" s="23"/>
      <c r="K44" s="23"/>
      <c r="L44" s="23"/>
      <c r="M44" s="23"/>
      <c r="N44" s="23"/>
      <c r="O44" s="23"/>
    </row>
    <row r="45" spans="2:15" x14ac:dyDescent="0.25">
      <c r="B45" s="23"/>
      <c r="C45" s="23"/>
      <c r="D45" s="23"/>
      <c r="E45" s="23"/>
      <c r="F45" s="23"/>
      <c r="G45" s="23"/>
      <c r="H45" s="23"/>
      <c r="I45" s="23"/>
      <c r="J45" s="23"/>
      <c r="K45" s="23"/>
      <c r="L45" s="23"/>
      <c r="M45" s="23"/>
      <c r="N45" s="23"/>
      <c r="O45" s="23"/>
    </row>
    <row r="46" spans="2:15" x14ac:dyDescent="0.25">
      <c r="B46" s="23"/>
      <c r="C46" s="23"/>
      <c r="D46" s="23"/>
      <c r="E46" s="23"/>
      <c r="F46" s="23"/>
      <c r="G46" s="23"/>
      <c r="H46" s="23"/>
      <c r="I46" s="23"/>
      <c r="J46" s="23"/>
      <c r="K46" s="23"/>
      <c r="L46" s="23"/>
      <c r="M46" s="23"/>
      <c r="N46" s="23"/>
      <c r="O46" s="23"/>
    </row>
    <row r="47" spans="2:15" x14ac:dyDescent="0.25">
      <c r="B47" s="23"/>
      <c r="C47" s="23"/>
      <c r="D47" s="23"/>
      <c r="E47" s="23"/>
      <c r="F47" s="23"/>
      <c r="G47" s="23"/>
      <c r="H47" s="23"/>
      <c r="I47" s="23"/>
      <c r="J47" s="23"/>
      <c r="K47" s="23"/>
      <c r="L47" s="23"/>
      <c r="M47" s="23"/>
      <c r="N47" s="23"/>
      <c r="O47" s="23"/>
    </row>
  </sheetData>
  <mergeCells count="12">
    <mergeCell ref="B40:F43"/>
    <mergeCell ref="D34:F34"/>
    <mergeCell ref="D38:F38"/>
    <mergeCell ref="B28:F28"/>
    <mergeCell ref="B29:F29"/>
    <mergeCell ref="B30:F30"/>
    <mergeCell ref="B31:F31"/>
    <mergeCell ref="B6:F6"/>
    <mergeCell ref="B9:F9"/>
    <mergeCell ref="B10:F10"/>
    <mergeCell ref="B13:F13"/>
    <mergeCell ref="B32:F32"/>
  </mergeCells>
  <pageMargins left="0.7" right="0.7" top="0.75" bottom="0.75" header="0.3" footer="0.3"/>
  <pageSetup paperSize="9" scale="84"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2025-12-01T19:20:37Z</cp:lastPrinted>
  <dcterms:created xsi:type="dcterms:W3CDTF">2020-12-14T19:54:01Z</dcterms:created>
  <dcterms:modified xsi:type="dcterms:W3CDTF">2026-01-30T22:11:55Z</dcterms:modified>
</cp:coreProperties>
</file>