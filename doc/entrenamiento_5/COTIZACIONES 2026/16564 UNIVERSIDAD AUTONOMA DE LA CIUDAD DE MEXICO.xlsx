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CB3E6009-77A6-4516-B027-0363BFC617AD}"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6" i="1" l="1"/>
  <c r="E28" i="1"/>
  <c r="E35" i="1" l="1"/>
  <c r="E39" i="1" s="1"/>
  <c r="E40" i="1" l="1"/>
  <c r="F20" i="3"/>
  <c r="F19" i="3"/>
  <c r="F18" i="3"/>
  <c r="F17" i="3"/>
  <c r="F16" i="3"/>
  <c r="E41" i="1" l="1"/>
  <c r="F23" i="3"/>
  <c r="F24" i="3" l="1"/>
  <c r="F25" i="3" s="1"/>
</calcChain>
</file>

<file path=xl/sharedStrings.xml><?xml version="1.0" encoding="utf-8"?>
<sst xmlns="http://schemas.openxmlformats.org/spreadsheetml/2006/main" count="79" uniqueCount="63">
  <si>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</si>
  <si>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</si>
  <si>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</si>
  <si>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</si>
  <si>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</si>
  <si>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</si>
  <si>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</si>
  <si>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</si>
  <si>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</si>
  <si>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</si>
  <si>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</si>
  <si>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</si>
  <si>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</si>
  <si>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</si>
  <si>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</si>
  <si>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</si>
  <si>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</si>
  <si>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</si>
  <si>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</si>
  <si>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</si>
  <si>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</si>
  <si>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</si>
  <si>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</si>
  <si>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PRESENTAMOS A SU AMABLE CONSIDERACIÓN EL PRESUPUESTO DE SUMINISTRO DE LOS SIGUIENTES MATERIALES: </t>
  </si>
  <si>
    <t xml:space="preserve">NOTAS: </t>
  </si>
  <si>
    <t>CUBETAS</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</si>
  <si>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</si>
  <si>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</si>
  <si>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</si>
  <si>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</si>
  <si>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</si>
  <si>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</si>
  <si>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</si>
  <si>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</si>
  <si>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</si>
  <si>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</si>
  <si>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</si>
  <si>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1.- ARENA SILICA (400 M2)</t>
  </si>
  <si>
    <t>2.-SELLADOR INICIAL (400 M2)</t>
  </si>
  <si>
    <t>3.- PRAIMER GLASS (400 M2)</t>
  </si>
  <si>
    <t>4.-CHISA GLASS (400 M2)</t>
  </si>
  <si>
    <t>5.-VITROGLASS (400 M2)</t>
  </si>
  <si>
    <t>VOLUMEN</t>
  </si>
  <si>
    <t xml:space="preserve">                                                                                                                                                                                                                                                         </t>
  </si>
  <si>
    <t>ATENTAMENTE</t>
  </si>
  <si>
    <r>
      <t>PRESENTAMOS  A  SU AMABLE  CONSIDERACIÓN EL PRESUPUESTO DE SUMINISTRO Y APLICACIÓN  DE  LOS SIGUIENTES CONCEPTOS.</t>
    </r>
    <r>
      <rPr>
        <b/>
        <sz val="9"/>
        <color theme="1"/>
        <rFont val="Times New Roman"/>
        <family val="1"/>
      </rPr>
      <t xml:space="preserve">                                                   </t>
    </r>
  </si>
  <si>
    <t>CIUDAD DE MEXICO A 18 DE SEPTIEMBRE DEL 2023</t>
  </si>
  <si>
    <t>AT´N: CONGAL CONSTRUCCIONES Y ASESORIAS SA DE CV</t>
  </si>
  <si>
    <t>PRES. REF. 15144-S/2022</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</si>
  <si>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</si>
  <si>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CIUDAD DE MEXICO A 11 DE JUNIO DEL 2026</t>
  </si>
  <si>
    <t>UNIVERSIDAD AUTONOMA DE LA CIUDAD DE MEXICO</t>
  </si>
  <si>
    <t>AT´N: ING. ISACC FRANCISCO DOMINGUEZ</t>
  </si>
  <si>
    <t>COORDINACION DE OBRAS Y PROYECTOS</t>
  </si>
  <si>
    <t>PRES. REF. 16564/2026CG</t>
  </si>
  <si>
    <r>
      <t>1.-</t>
    </r>
    <r>
      <rPr>
        <b/>
        <u/>
        <sz val="11"/>
        <color theme="1"/>
        <rFont val="Calibri"/>
        <family val="2"/>
        <scheme val="minor"/>
      </rPr>
      <t xml:space="preserve">RETIRO DE AZULEJO DE 50 POR 50X50 CM EN FANCHADAS INCLUYE: </t>
    </r>
    <r>
      <rPr>
        <sz val="11"/>
        <color theme="1"/>
        <rFont val="Calibri"/>
        <family val="2"/>
        <scheme val="minor"/>
      </rPr>
      <t>RETIRO DE PIEZAS DE AZULEJOS DE 50X50CM POR MEDIOS MANUALES, CON MARTILLO Y CINCEL, PROTECCIÓN DE SUPERFICIES, TODO A UNA ALTURA DE 13 MTS, RETIRO DE ESCOMBRO, MANO DE OBRA ESPECIALIZADA, EQUIPO Y HERRAMIENTA, INCLUYE ANDAMIAJE.</t>
    </r>
  </si>
  <si>
    <r>
      <t>2.-</t>
    </r>
    <r>
      <rPr>
        <b/>
        <u/>
        <sz val="11"/>
        <color theme="1"/>
        <rFont val="Calibri"/>
        <family val="2"/>
        <scheme val="minor"/>
      </rPr>
      <t xml:space="preserve">RETIRO DE RECUBRIMIENTO EXISTENTE EN MUROS DE FACHADA INCLUYE: </t>
    </r>
    <r>
      <rPr>
        <sz val="11"/>
        <color theme="1"/>
        <rFont val="Calibri"/>
        <family val="2"/>
        <scheme val="minor"/>
      </rPr>
      <t>RETIRO DE RECUBRIMIENTO EXISTENTE EN MUROS DE FACHADA POR MEDIOS MANUALES CON MARTILLO, CINCEL, PICOLETAS, LLANAS Y/O ESPÁTULAS METÁLICAS, PROTECCIÓN DE SUPERFICIES ADYACENTES, RETIRO DE ESCOMBRO, TODO LO ANTERIOR HASTA UNA ALTURA DE 13 MTS, INCLUYENDO ANDAMIAJE.</t>
    </r>
  </si>
  <si>
    <r>
      <t>3.-</t>
    </r>
    <r>
      <rPr>
        <b/>
        <u/>
        <sz val="11"/>
        <color theme="1"/>
        <rFont val="Calibri"/>
        <family val="2"/>
        <scheme val="minor"/>
      </rPr>
      <t>RESANE DE HUECOS Y FORMACIÓN DE GOTERO SOBRE MURO DE FACHADA INCLUYE:</t>
    </r>
    <r>
      <rPr>
        <sz val="11"/>
        <color theme="1"/>
        <rFont val="Calibri"/>
        <family val="2"/>
        <scheme val="minor"/>
      </rPr>
      <t xml:space="preserve"> RESANE Y FORMACIÓN DE GOTERO SOBRE MURO DE FACHADA DE 10X10 CM A BASE DE MORTERO CON PROPORCION DE 1 A 3  HASTA UNA ALTURA DE 13MTS, PROTECCIÓN DE SUPERFICIES ADYACENTES,  INCLUYE ANDAMIEAJE.</t>
    </r>
  </si>
  <si>
    <t>LOTE DE DETALLES</t>
  </si>
  <si>
    <r>
      <rPr>
        <b/>
        <u/>
        <sz val="11"/>
        <color theme="1"/>
        <rFont val="Calibri Light"/>
        <family val="2"/>
        <scheme val="major"/>
      </rPr>
      <t>4.-SUMINISTRO Y APLICACIÓN RECUBRIMIENTO CHISA PLAST REF COLOR INTEGRAL. EN MUROS CON APLANADO FINO DE MEZCLA</t>
    </r>
    <r>
      <rPr>
        <sz val="11"/>
        <color theme="1"/>
        <rFont val="Calibri Light"/>
        <family val="2"/>
        <scheme val="major"/>
      </rPr>
      <t xml:space="preserve"> </t>
    </r>
    <r>
      <rPr>
        <b/>
        <u/>
        <sz val="11"/>
        <color theme="1"/>
        <rFont val="Calibri Light"/>
        <family val="2"/>
        <scheme val="major"/>
      </rPr>
      <t>Y/O SUPERFICIE LISA, INCLUYE:</t>
    </r>
    <r>
      <rPr>
        <sz val="11"/>
        <color theme="1"/>
        <rFont val="Calibri Light"/>
        <family val="2"/>
        <scheme val="major"/>
      </rPr>
      <t xml:space="preserve"> LIMPIEZA, REBABEO Y/O LIJADO DE MURO, EN SU CASO APLICACIÓN DE SELLADOR ACRÍLICO 4648 A MANO CON RODILLO DE FELPA Y BROCHA, APLICACIÓN DE PRAIMER GLASS, APLICACIÓN DE RECUBRIMIENTO CHISA PLAST  CON LLANA METALICA, LOGRANDO TEXTURA CON LLANA ACRÍLICA, CEPILLO Y/O PEINETA TEXTURIZADORA, PROTECCIÓN DE SUPERFICIES ADYACENTES CON PAPEL Y MASKING TAPE, LIMPIEZA Y RETIRO DE SOBRANTES PROPIOS HASTA EL LUGAR INDICADO DENTRO DE OBRA, FLETE, Y MANO DE OBRA ESPECIALIZADA, TODO LO ANTERIOR CONSIDERADO HASTA UNA ALTURA DE 13 MTS. Y DEMÁS DERIVADOS DEL USO DE HERRAMIENTA, INCLUYE ANDAMIAJE.</t>
    </r>
  </si>
  <si>
    <r>
      <t xml:space="preserve">FORMA DE PAGO Y CONSIDERACIONES GENERALES CORRESPONDIENTES AL PRESUPUESTO </t>
    </r>
    <r>
      <rPr>
        <b/>
        <sz val="8"/>
        <color theme="1"/>
        <rFont val="Times New Roman"/>
        <family val="1"/>
      </rPr>
      <t>REF. 16564/2026CG.</t>
    </r>
  </si>
  <si>
    <t xml:space="preserve">                                      ING. ISACC FRANCISCO DOMINGUEZ                                                  CHISA RECUBRIMIENTOS, S.A. DE C.V</t>
  </si>
  <si>
    <t xml:space="preserve">                          ________________________________                                       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</si>
</sst>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b/>
      <u/>
      <sz val="11"/>
      <color theme="1"/>
      <name val="Calibri"/>
      <family val="2"/>
      <scheme val="minor"/>
    </font>
    <font>
      <sz val="11"/>
      <color theme="1"/>
      <name val="Calibri Light"/>
      <family val="2"/>
      <scheme val="major"/>
    </font>
    <font>
      <b/>
      <u/>
      <sz val="11"/>
      <color theme="1"/>
      <name val="Calibri Light"/>
      <family val="2"/>
      <scheme val="major"/>
    </font>
  </fonts>
  <fills count="2">
    <fill>
      <patternFill patternType="none"/>
    </fill>
    <fill>
      <patternFill patternType="gray125"/>
    </fill>
  </fills>
  <borders count="1">
    <border>
      <left/>
      <right/>
      <top/>
      <bottom/>
      <diagonal/>
    </border>
  </borders>
  <cellStyleXfs count="2">
    <xf numFmtId="0" fontId="0" fillId="0" borderId="0"/>
    <xf numFmtId="44" fontId="5" fillId="0" borderId="0" applyFont="0" applyFill="0" applyBorder="0" applyAlignment="0" applyProtection="0"/>
  </cellStyleXfs>
  <cellXfs count="65">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2"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1" fillId="0" borderId="0" xfId="0" applyFont="1" applyAlignment="1">
      <alignment horizontal="right" vertic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right" vertical="center"/>
    </xf>
    <xf numFmtId="0" fontId="1" fillId="0" borderId="0" xfId="0" applyFont="1" applyAlignment="1">
      <alignment horizontal="justify" vertical="justify"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0" fillId="0" borderId="0" xfId="0" applyAlignment="1">
      <alignment horizontal="justify" vertical="justify" wrapText="1"/>
    </xf>
    <xf numFmtId="0" fontId="12" fillId="0" borderId="0" xfId="0" applyFont="1" applyAlignment="1">
      <alignment horizontal="justify"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4"/>
  <sheetViews>
    <sheetView tabSelected="1" topLeftCell="A65" zoomScale="90" zoomScaleNormal="90" workbookViewId="0">
      <selection activeCell="A73" sqref="A73"/>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45"/>
      <c r="B1" s="46"/>
      <c r="C1" s="46"/>
      <c r="D1" s="46"/>
      <c r="E1" s="24"/>
    </row>
    <row r="2" spans="1:8" ht="12" customHeight="1" x14ac:dyDescent="0.25">
      <c r="A2" s="44"/>
      <c r="B2" s="22"/>
      <c r="C2" s="22"/>
      <c r="D2" s="22"/>
      <c r="E2" s="24"/>
    </row>
    <row r="3" spans="1:8" ht="12" customHeight="1" x14ac:dyDescent="0.25">
      <c r="A3" s="44"/>
      <c r="B3" s="22"/>
      <c r="C3" s="22"/>
      <c r="D3" s="22"/>
      <c r="E3" s="24"/>
    </row>
    <row r="4" spans="1:8" ht="12" customHeight="1" x14ac:dyDescent="0.25">
      <c r="A4" s="44"/>
      <c r="B4" s="22"/>
      <c r="C4" s="22"/>
      <c r="D4" s="22"/>
      <c r="E4" s="24"/>
    </row>
    <row r="5" spans="1:8" ht="12" customHeight="1" x14ac:dyDescent="0.25">
      <c r="A5" s="24"/>
      <c r="B5" s="24"/>
      <c r="C5" s="24"/>
      <c r="D5" s="24"/>
      <c r="E5" s="24"/>
    </row>
    <row r="6" spans="1:8" ht="12" customHeight="1" x14ac:dyDescent="0.25">
      <c r="A6" s="24"/>
      <c r="B6" s="24"/>
      <c r="C6" s="24"/>
      <c r="D6" s="24"/>
      <c r="E6" s="24"/>
    </row>
    <row r="7" spans="1:8" ht="12" customHeight="1" x14ac:dyDescent="0.25">
      <c r="A7" s="24"/>
      <c r="B7" s="24"/>
      <c r="C7" s="24"/>
      <c r="D7" s="24"/>
      <c r="E7" s="24"/>
    </row>
    <row r="8" spans="1:8" ht="12" customHeight="1" x14ac:dyDescent="0.25">
      <c r="A8" s="53" t="s">
        <v>50</v>
      </c>
      <c r="B8" s="53"/>
      <c r="C8" s="53"/>
      <c r="D8" s="53"/>
      <c r="E8" s="53"/>
      <c r="F8" s="6"/>
    </row>
    <row r="9" spans="1:8" ht="15" customHeight="1" x14ac:dyDescent="0.25">
      <c r="A9" s="38"/>
      <c r="B9" s="38"/>
      <c r="C9" s="38"/>
      <c r="D9" s="38"/>
      <c r="E9" s="38"/>
      <c r="F9" s="6"/>
    </row>
    <row r="10" spans="1:8" ht="15" customHeight="1" x14ac:dyDescent="0.25">
      <c r="A10" s="1"/>
      <c r="B10" s="39"/>
      <c r="C10" s="39"/>
      <c r="D10" s="39"/>
      <c r="E10" s="39"/>
      <c r="F10" s="39"/>
    </row>
    <row r="11" spans="1:8" ht="12" customHeight="1" x14ac:dyDescent="0.25">
      <c r="A11" s="1" t="s">
        <v>51</v>
      </c>
      <c r="B11" s="39"/>
      <c r="C11" s="39"/>
      <c r="D11" s="39"/>
      <c r="E11" s="39"/>
      <c r="F11" s="39"/>
    </row>
    <row r="12" spans="1:8" ht="12" customHeight="1" x14ac:dyDescent="0.25">
      <c r="A12" s="1" t="s">
        <v>53</v>
      </c>
      <c r="B12" s="39"/>
      <c r="C12" s="39"/>
      <c r="D12" s="39"/>
      <c r="E12" s="39"/>
      <c r="F12" s="39"/>
    </row>
    <row r="13" spans="1:8" ht="12" customHeight="1" x14ac:dyDescent="0.25">
      <c r="A13" s="1" t="s">
        <v>0</v>
      </c>
      <c r="B13" s="39"/>
      <c r="C13" s="39"/>
      <c r="D13" s="39"/>
      <c r="E13" s="39"/>
      <c r="F13" s="39"/>
    </row>
    <row r="14" spans="1:8" ht="18.75" customHeight="1" x14ac:dyDescent="0.25">
      <c r="A14" s="1"/>
      <c r="B14" s="39"/>
      <c r="C14" s="39"/>
      <c r="D14" s="39"/>
      <c r="E14" s="39"/>
      <c r="F14" s="39"/>
    </row>
    <row r="15" spans="1:8" ht="18.75" customHeight="1" x14ac:dyDescent="0.25">
      <c r="A15" s="1"/>
      <c r="B15" s="39"/>
      <c r="C15" s="39"/>
      <c r="D15" s="39"/>
      <c r="E15" s="39"/>
      <c r="F15" s="39"/>
      <c r="G15" s="1"/>
      <c r="H15" s="1"/>
    </row>
    <row r="16" spans="1:8" ht="12" customHeight="1" x14ac:dyDescent="0.25">
      <c r="A16" s="51" t="s">
        <v>52</v>
      </c>
      <c r="B16" s="51"/>
      <c r="C16" s="51"/>
      <c r="D16" s="51"/>
      <c r="E16" s="51"/>
      <c r="F16" s="41"/>
    </row>
    <row r="17" spans="1:8" ht="15" customHeight="1" x14ac:dyDescent="0.25">
      <c r="A17" s="43"/>
      <c r="B17" s="39"/>
      <c r="C17" s="39"/>
      <c r="D17" s="39"/>
      <c r="E17" s="39"/>
      <c r="F17" s="39"/>
    </row>
    <row r="18" spans="1:8" ht="15" customHeight="1" x14ac:dyDescent="0.25">
      <c r="A18" s="41"/>
      <c r="B18" s="41"/>
      <c r="C18" s="41"/>
      <c r="D18" s="41"/>
      <c r="E18" s="41"/>
      <c r="F18" s="41"/>
    </row>
    <row r="19" spans="1:8" ht="12" customHeight="1" x14ac:dyDescent="0.25">
      <c r="A19" s="1" t="s">
        <v>54</v>
      </c>
      <c r="B19" s="40"/>
      <c r="C19" s="40"/>
      <c r="D19" s="40"/>
      <c r="E19" s="39"/>
      <c r="F19" s="39"/>
    </row>
    <row r="20" spans="1:8" ht="12" customHeight="1" x14ac:dyDescent="0.25">
      <c r="A20" s="1"/>
      <c r="B20" s="40"/>
      <c r="C20" s="40"/>
      <c r="D20" s="40"/>
      <c r="E20" s="39"/>
      <c r="F20" s="39"/>
    </row>
    <row r="21" spans="1:8" ht="12" customHeight="1" x14ac:dyDescent="0.25">
      <c r="A21" s="9" t="s">
        <v>1</v>
      </c>
      <c r="B21" s="25"/>
      <c r="C21" s="25"/>
      <c r="D21" s="25"/>
      <c r="E21" s="24"/>
    </row>
    <row r="22" spans="1:8" ht="12" customHeight="1" x14ac:dyDescent="0.25">
      <c r="A22" s="55" t="s">
        <v>45</v>
      </c>
      <c r="B22" s="55"/>
      <c r="C22" s="55"/>
      <c r="D22" s="55"/>
      <c r="E22" s="55"/>
      <c r="F22" s="3"/>
      <c r="G22" s="3"/>
      <c r="H22" s="3"/>
    </row>
    <row r="23" spans="1:8" ht="12" customHeight="1" x14ac:dyDescent="0.25">
      <c r="A23" s="20"/>
      <c r="B23" s="20"/>
      <c r="C23" s="20"/>
      <c r="D23" s="20"/>
      <c r="E23" s="20"/>
      <c r="F23" s="3"/>
      <c r="G23" s="3"/>
      <c r="H23" s="3"/>
    </row>
    <row r="24" spans="1:8" ht="21.75" customHeight="1" x14ac:dyDescent="0.25">
      <c r="A24" s="30" t="s">
        <v>20</v>
      </c>
      <c r="B24" s="30" t="s">
        <v>42</v>
      </c>
      <c r="C24" s="30" t="s">
        <v>18</v>
      </c>
      <c r="D24" s="30" t="s">
        <v>28</v>
      </c>
      <c r="E24" s="30" t="s">
        <v>19</v>
      </c>
      <c r="F24" s="2"/>
      <c r="G24" s="2"/>
      <c r="H24" s="2"/>
    </row>
    <row r="25" spans="1:8" ht="21.75" customHeight="1" x14ac:dyDescent="0.25">
      <c r="A25" s="22"/>
      <c r="B25" s="30"/>
      <c r="C25" s="30"/>
      <c r="D25" s="30"/>
      <c r="E25" s="30"/>
      <c r="F25" s="2"/>
      <c r="G25" s="2"/>
      <c r="H25" s="2"/>
    </row>
    <row r="26" spans="1:8" ht="113.25" customHeight="1" x14ac:dyDescent="0.25">
      <c r="A26" s="63" t="s">
        <v>55</v>
      </c>
      <c r="B26" s="35" t="s">
        <v>21</v>
      </c>
      <c r="C26" s="36">
        <v>59.4</v>
      </c>
      <c r="D26" s="26">
        <v>589.39</v>
      </c>
      <c r="E26" s="14">
        <f>C26*D26</f>
        <v>35009.765999999996</v>
      </c>
      <c r="F26" s="2"/>
      <c r="G26" s="2"/>
      <c r="H26" s="2"/>
    </row>
    <row r="27" spans="1:8" ht="18.75" customHeight="1" x14ac:dyDescent="0.25">
      <c r="A27" s="63"/>
      <c r="B27" s="35"/>
      <c r="C27" s="36"/>
      <c r="D27" s="26"/>
      <c r="E27" s="14"/>
      <c r="F27" s="2"/>
      <c r="G27" s="2"/>
      <c r="H27" s="2"/>
    </row>
    <row r="28" spans="1:8" ht="123.75" customHeight="1" x14ac:dyDescent="0.25">
      <c r="A28" s="63" t="s">
        <v>56</v>
      </c>
      <c r="B28" s="35" t="s">
        <v>21</v>
      </c>
      <c r="C28" s="36">
        <v>2009.84</v>
      </c>
      <c r="D28" s="26">
        <v>610.09</v>
      </c>
      <c r="E28" s="14">
        <f t="shared" ref="E28" si="0">C28*D28</f>
        <v>1226183.2856000001</v>
      </c>
      <c r="F28" s="2"/>
      <c r="G28" s="2"/>
      <c r="H28" s="2"/>
    </row>
    <row r="29" spans="1:8" ht="123.75" customHeight="1" x14ac:dyDescent="0.25">
      <c r="A29" s="63"/>
      <c r="B29" s="35"/>
      <c r="C29" s="36"/>
      <c r="D29" s="26"/>
      <c r="E29" s="14"/>
      <c r="F29" s="2"/>
      <c r="G29" s="2"/>
      <c r="H29" s="2"/>
    </row>
    <row r="30" spans="1:8" ht="36.75" customHeight="1" x14ac:dyDescent="0.25">
      <c r="A30" s="63"/>
      <c r="B30" s="35"/>
      <c r="C30" s="36"/>
      <c r="D30" s="26"/>
      <c r="E30" s="14"/>
      <c r="F30" s="2"/>
      <c r="G30" s="2"/>
      <c r="H30" s="2"/>
    </row>
    <row r="31" spans="1:8" ht="36.75" customHeight="1" x14ac:dyDescent="0.25">
      <c r="A31" s="63"/>
      <c r="B31" s="35"/>
      <c r="C31" s="36"/>
      <c r="D31" s="26"/>
      <c r="E31" s="14"/>
      <c r="F31" s="2"/>
      <c r="G31" s="2"/>
      <c r="H31" s="2"/>
    </row>
    <row r="32" spans="1:8" ht="21.75" customHeight="1" x14ac:dyDescent="0.25">
      <c r="A32" s="63"/>
      <c r="B32" s="35"/>
      <c r="C32" s="36"/>
      <c r="D32" s="26"/>
      <c r="E32" s="14"/>
      <c r="F32" s="2"/>
      <c r="G32" s="2"/>
      <c r="H32" s="2"/>
    </row>
    <row r="33" spans="1:8" ht="91.5" customHeight="1" x14ac:dyDescent="0.25">
      <c r="A33" s="63" t="s">
        <v>57</v>
      </c>
      <c r="B33" s="35" t="s">
        <v>21</v>
      </c>
      <c r="C33" s="36" t="s">
        <v>58</v>
      </c>
      <c r="D33" s="26">
        <v>80935.12</v>
      </c>
      <c r="E33" s="26">
        <v>80935.12</v>
      </c>
      <c r="F33" s="2"/>
      <c r="G33" s="2"/>
      <c r="H33" s="2"/>
    </row>
    <row r="34" spans="1:8" ht="18" customHeight="1" x14ac:dyDescent="0.25">
      <c r="A34" s="42"/>
      <c r="B34" s="35"/>
      <c r="C34" s="36"/>
      <c r="D34" s="26"/>
      <c r="E34" s="14"/>
      <c r="F34" s="2"/>
      <c r="G34" s="2"/>
      <c r="H34" s="2"/>
    </row>
    <row r="35" spans="1:8" ht="237" customHeight="1" x14ac:dyDescent="0.25">
      <c r="A35" s="64" t="s">
        <v>59</v>
      </c>
      <c r="B35" s="35" t="s">
        <v>21</v>
      </c>
      <c r="C35" s="36">
        <v>2009.84</v>
      </c>
      <c r="D35" s="36">
        <v>369.9</v>
      </c>
      <c r="E35" s="26">
        <f t="shared" ref="E35" si="1">C35*D35</f>
        <v>743439.81599999988</v>
      </c>
    </row>
    <row r="36" spans="1:8" ht="28.5" customHeight="1" x14ac:dyDescent="0.25">
      <c r="A36" s="64"/>
      <c r="B36" s="35"/>
      <c r="C36" s="36"/>
      <c r="D36" s="36"/>
      <c r="E36" s="26"/>
    </row>
    <row r="37" spans="1:8" ht="28.5" customHeight="1" x14ac:dyDescent="0.25">
      <c r="A37" s="64"/>
      <c r="B37" s="35"/>
      <c r="C37" s="36"/>
      <c r="D37" s="36"/>
      <c r="E37" s="26"/>
    </row>
    <row r="38" spans="1:8" ht="28.5" customHeight="1" x14ac:dyDescent="0.25">
      <c r="A38" s="37"/>
      <c r="B38" s="35"/>
      <c r="C38" s="36"/>
      <c r="D38" s="36"/>
      <c r="E38" s="26"/>
    </row>
    <row r="39" spans="1:8" ht="18.75" customHeight="1" x14ac:dyDescent="0.25">
      <c r="A39" s="4"/>
      <c r="B39" s="25"/>
      <c r="C39" s="4"/>
      <c r="D39" s="4" t="s">
        <v>2</v>
      </c>
      <c r="E39" s="15">
        <f>SUM(E26:E35)</f>
        <v>2085567.9875999999</v>
      </c>
      <c r="F39" s="5"/>
    </row>
    <row r="40" spans="1:8" x14ac:dyDescent="0.25">
      <c r="A40" s="4"/>
      <c r="B40" s="4"/>
      <c r="C40" s="4"/>
      <c r="D40" s="4" t="s">
        <v>3</v>
      </c>
      <c r="E40" s="15">
        <f>E39*16%</f>
        <v>333690.87801599997</v>
      </c>
      <c r="F40" s="10"/>
    </row>
    <row r="41" spans="1:8" x14ac:dyDescent="0.25">
      <c r="A41" s="4"/>
      <c r="B41" s="20"/>
      <c r="C41" s="4"/>
      <c r="D41" s="4" t="s">
        <v>4</v>
      </c>
      <c r="E41" s="15">
        <f>E39+E40</f>
        <v>2419258.8656159998</v>
      </c>
      <c r="F41" s="10"/>
    </row>
    <row r="42" spans="1:8" x14ac:dyDescent="0.25">
      <c r="A42" s="4"/>
      <c r="B42" s="20"/>
      <c r="C42" s="4"/>
      <c r="D42" s="4"/>
      <c r="E42" s="15"/>
      <c r="F42" s="10"/>
    </row>
    <row r="43" spans="1:8" x14ac:dyDescent="0.25">
      <c r="A43" s="4"/>
      <c r="B43" s="20"/>
      <c r="C43" s="4"/>
      <c r="D43" s="4"/>
      <c r="E43" s="15"/>
      <c r="F43" s="10"/>
    </row>
    <row r="44" spans="1:8" x14ac:dyDescent="0.25">
      <c r="A44" s="4"/>
      <c r="B44" s="20"/>
      <c r="C44" s="4"/>
      <c r="D44" s="4"/>
      <c r="E44" s="15"/>
      <c r="F44" s="10"/>
    </row>
    <row r="45" spans="1:8" x14ac:dyDescent="0.25">
      <c r="A45" s="4"/>
      <c r="B45" s="20"/>
      <c r="C45" s="4"/>
      <c r="D45" s="4"/>
      <c r="E45" s="15"/>
      <c r="F45" s="10"/>
    </row>
    <row r="46" spans="1:8" x14ac:dyDescent="0.25">
      <c r="A46" s="4"/>
      <c r="B46" s="20"/>
      <c r="C46" s="4"/>
      <c r="D46" s="4"/>
      <c r="E46" s="15"/>
      <c r="F46" s="10"/>
    </row>
    <row r="47" spans="1:8" x14ac:dyDescent="0.25">
      <c r="A47" s="4"/>
      <c r="B47" s="20"/>
      <c r="C47" s="4"/>
      <c r="D47" s="4"/>
      <c r="E47" s="15"/>
      <c r="F47" s="10"/>
    </row>
    <row r="48" spans="1:8" x14ac:dyDescent="0.25">
      <c r="A48" s="4"/>
      <c r="B48" s="20"/>
      <c r="C48" s="4"/>
      <c r="D48" s="4"/>
      <c r="E48" s="15"/>
      <c r="F48" s="10"/>
    </row>
    <row r="49" spans="1:7" ht="21" customHeight="1" x14ac:dyDescent="0.25">
      <c r="A49" s="4"/>
      <c r="B49" s="20"/>
      <c r="C49" s="4"/>
      <c r="D49" s="4"/>
      <c r="E49" s="15"/>
      <c r="F49" s="10"/>
    </row>
    <row r="50" spans="1:7" ht="21" customHeight="1" x14ac:dyDescent="0.25">
      <c r="A50" s="4"/>
      <c r="B50" s="20"/>
      <c r="C50" s="4"/>
      <c r="D50" s="4"/>
      <c r="E50" s="15"/>
      <c r="F50" s="10"/>
    </row>
    <row r="51" spans="1:7" ht="21" customHeight="1" x14ac:dyDescent="0.25">
      <c r="A51" s="4"/>
      <c r="B51" s="20"/>
      <c r="C51" s="4"/>
      <c r="D51" s="4"/>
      <c r="E51" s="15"/>
      <c r="F51" s="10"/>
    </row>
    <row r="52" spans="1:7" ht="21" customHeight="1" x14ac:dyDescent="0.25">
      <c r="A52" s="4"/>
      <c r="B52" s="20"/>
      <c r="C52" s="4"/>
      <c r="D52" s="4"/>
      <c r="E52" s="15"/>
      <c r="F52" s="10"/>
    </row>
    <row r="53" spans="1:7" ht="21" customHeight="1" x14ac:dyDescent="0.25">
      <c r="A53" s="4"/>
      <c r="B53" s="20"/>
      <c r="C53" s="4"/>
      <c r="D53" s="4"/>
      <c r="E53" s="15"/>
      <c r="F53" s="10"/>
    </row>
    <row r="54" spans="1:7" ht="30.75" customHeight="1" x14ac:dyDescent="0.25">
      <c r="A54" s="54" t="s">
        <v>60</v>
      </c>
      <c r="B54" s="54"/>
      <c r="C54" s="54"/>
      <c r="D54" s="54"/>
      <c r="E54" s="54"/>
      <c r="F54" s="15"/>
      <c r="G54" s="15"/>
    </row>
    <row r="55" spans="1:7" ht="18" customHeight="1" x14ac:dyDescent="0.25">
      <c r="A55" s="47"/>
      <c r="B55" s="48"/>
      <c r="C55" s="48"/>
      <c r="D55" s="48"/>
      <c r="E55" s="48"/>
      <c r="F55" s="5"/>
      <c r="G55" s="15"/>
    </row>
    <row r="56" spans="1:7" ht="12" customHeight="1" x14ac:dyDescent="0.25">
      <c r="A56" s="56" t="s">
        <v>5</v>
      </c>
      <c r="B56" s="56"/>
      <c r="C56" s="56"/>
      <c r="D56" s="56"/>
      <c r="E56" s="56"/>
      <c r="F56" s="5"/>
      <c r="G56" s="15"/>
    </row>
    <row r="57" spans="1:7" ht="69" customHeight="1" x14ac:dyDescent="0.25">
      <c r="A57" s="49" t="s">
        <v>49</v>
      </c>
      <c r="B57" s="49"/>
      <c r="C57" s="49"/>
      <c r="D57" s="49"/>
      <c r="E57" s="49"/>
      <c r="F57" s="5"/>
      <c r="G57" s="15"/>
    </row>
    <row r="58" spans="1:7" ht="15" customHeight="1" x14ac:dyDescent="0.25">
      <c r="A58" s="56" t="s">
        <v>6</v>
      </c>
      <c r="B58" s="56"/>
      <c r="C58" s="56"/>
      <c r="D58" s="56"/>
      <c r="E58" s="56"/>
      <c r="F58" s="5"/>
    </row>
    <row r="59" spans="1:7" ht="33.75" customHeight="1" x14ac:dyDescent="0.25">
      <c r="A59" s="49" t="s">
        <v>7</v>
      </c>
      <c r="B59" s="49"/>
      <c r="C59" s="49"/>
      <c r="D59" s="49"/>
      <c r="E59" s="49"/>
    </row>
    <row r="60" spans="1:7" ht="43.5" customHeight="1" x14ac:dyDescent="0.25">
      <c r="A60" s="50" t="s">
        <v>8</v>
      </c>
      <c r="B60" s="50"/>
      <c r="C60" s="50"/>
      <c r="D60" s="50"/>
      <c r="E60" s="50"/>
    </row>
    <row r="61" spans="1:7" ht="46.5" customHeight="1" x14ac:dyDescent="0.25">
      <c r="A61" s="50" t="s">
        <v>9</v>
      </c>
      <c r="B61" s="50"/>
      <c r="C61" s="50"/>
      <c r="D61" s="50"/>
      <c r="E61" s="50"/>
    </row>
    <row r="62" spans="1:7" ht="21.75" customHeight="1" x14ac:dyDescent="0.25">
      <c r="A62" s="50" t="s">
        <v>10</v>
      </c>
      <c r="B62" s="50"/>
      <c r="C62" s="50"/>
      <c r="D62" s="50"/>
      <c r="E62" s="50"/>
      <c r="F62" s="5"/>
    </row>
    <row r="63" spans="1:7" ht="72" customHeight="1" x14ac:dyDescent="0.25">
      <c r="A63" s="49" t="s">
        <v>11</v>
      </c>
      <c r="B63" s="49"/>
      <c r="C63" s="49"/>
      <c r="D63" s="49"/>
      <c r="E63" s="49"/>
    </row>
    <row r="64" spans="1:7" ht="21.75" customHeight="1" x14ac:dyDescent="0.25">
      <c r="A64" s="49" t="s">
        <v>12</v>
      </c>
      <c r="B64" s="49"/>
      <c r="C64" s="49"/>
      <c r="D64" s="49"/>
      <c r="E64" s="49"/>
    </row>
    <row r="65" spans="1:5" ht="44.25" customHeight="1" x14ac:dyDescent="0.25">
      <c r="A65" s="49" t="s">
        <v>13</v>
      </c>
      <c r="B65" s="49"/>
      <c r="C65" s="49"/>
      <c r="D65" s="49"/>
      <c r="E65" s="49"/>
    </row>
    <row r="66" spans="1:5" ht="25.5" customHeight="1" x14ac:dyDescent="0.25">
      <c r="A66" s="49" t="s">
        <v>14</v>
      </c>
      <c r="B66" s="49"/>
      <c r="C66" s="49"/>
      <c r="D66" s="49"/>
      <c r="E66" s="49"/>
    </row>
    <row r="67" spans="1:5" ht="68.25" customHeight="1" x14ac:dyDescent="0.25">
      <c r="A67" s="50" t="s">
        <v>15</v>
      </c>
      <c r="B67" s="50"/>
      <c r="C67" s="50"/>
      <c r="D67" s="50"/>
      <c r="E67" s="50"/>
    </row>
    <row r="68" spans="1:5" ht="15" customHeight="1" x14ac:dyDescent="0.25">
      <c r="A68" s="49" t="s">
        <v>16</v>
      </c>
      <c r="B68" s="49"/>
      <c r="C68" s="49"/>
      <c r="D68" s="49"/>
      <c r="E68" s="49"/>
    </row>
    <row r="69" spans="1:5" ht="22.5" customHeight="1" x14ac:dyDescent="0.25">
      <c r="A69" s="9" t="s">
        <v>17</v>
      </c>
      <c r="B69" s="25"/>
      <c r="C69" s="25"/>
      <c r="D69" s="25"/>
      <c r="E69" s="24"/>
    </row>
    <row r="70" spans="1:5" ht="24" customHeight="1" x14ac:dyDescent="0.25">
      <c r="A70" s="31" t="s">
        <v>22</v>
      </c>
      <c r="B70" s="52" t="s">
        <v>44</v>
      </c>
      <c r="C70" s="52"/>
      <c r="D70" s="52"/>
      <c r="E70" s="24"/>
    </row>
    <row r="71" spans="1:5" ht="19.5" customHeight="1" x14ac:dyDescent="0.25">
      <c r="A71" s="9"/>
      <c r="B71" s="25"/>
      <c r="C71" s="25"/>
      <c r="D71" s="25"/>
      <c r="E71" s="24"/>
    </row>
    <row r="72" spans="1:5" ht="17.25" customHeight="1" x14ac:dyDescent="0.25">
      <c r="A72" s="9"/>
      <c r="B72" s="25"/>
      <c r="C72" s="25"/>
      <c r="D72" s="25"/>
      <c r="E72" s="24"/>
    </row>
    <row r="73" spans="1:5" x14ac:dyDescent="0.25">
      <c r="A73" s="16" t="s">
        <v>62</v>
      </c>
      <c r="B73" s="25"/>
      <c r="C73" s="25"/>
      <c r="D73" s="25"/>
      <c r="E73" s="24"/>
    </row>
    <row r="74" spans="1:5" x14ac:dyDescent="0.25">
      <c r="A74" s="32" t="s">
        <v>61</v>
      </c>
      <c r="B74" s="33"/>
      <c r="C74" s="33"/>
      <c r="D74" s="33"/>
      <c r="E74" s="34"/>
    </row>
  </sheetData>
  <mergeCells count="20">
    <mergeCell ref="B70:D70"/>
    <mergeCell ref="A8:E8"/>
    <mergeCell ref="A59:E59"/>
    <mergeCell ref="A57:E57"/>
    <mergeCell ref="A54:E54"/>
    <mergeCell ref="A60:E60"/>
    <mergeCell ref="A22:E22"/>
    <mergeCell ref="A61:E61"/>
    <mergeCell ref="A62:E62"/>
    <mergeCell ref="A64:E64"/>
    <mergeCell ref="A65:E65"/>
    <mergeCell ref="A68:E68"/>
    <mergeCell ref="A58:E58"/>
    <mergeCell ref="A56:E56"/>
    <mergeCell ref="A1:D1"/>
    <mergeCell ref="A55:E55"/>
    <mergeCell ref="A66:E66"/>
    <mergeCell ref="A67:E67"/>
    <mergeCell ref="A63:E63"/>
    <mergeCell ref="A16:E16"/>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47"/>
  <sheetViews>
    <sheetView topLeftCell="A31" zoomScaleNormal="100" zoomScalePageLayoutView="50" workbookViewId="0">
      <selection activeCell="B44" sqref="B44"/>
    </sheetView>
  </sheetViews>
  <sheetFormatPr baseColWidth="10" defaultRowHeight="15" x14ac:dyDescent="0.25"/>
  <cols>
    <col min="1" max="1" width="5.85546875" style="19" customWidth="1"/>
    <col min="2" max="2" width="52.140625" customWidth="1"/>
    <col min="3" max="3" width="14.28515625" customWidth="1"/>
    <col min="4" max="4" width="11.42578125" customWidth="1"/>
    <col min="5" max="5" width="9.85546875" bestFit="1" customWidth="1"/>
    <col min="6" max="6" width="9.5703125" bestFit="1" customWidth="1"/>
  </cols>
  <sheetData>
    <row r="4" spans="2:6" x14ac:dyDescent="0.25">
      <c r="B4" s="24"/>
      <c r="C4" s="24"/>
      <c r="D4" s="24"/>
      <c r="E4" s="24"/>
      <c r="F4" s="24"/>
    </row>
    <row r="5" spans="2:6" x14ac:dyDescent="0.25">
      <c r="B5" s="24"/>
      <c r="C5" s="24"/>
      <c r="D5" s="24"/>
      <c r="E5" s="24"/>
      <c r="F5" s="24"/>
    </row>
    <row r="6" spans="2:6" x14ac:dyDescent="0.25">
      <c r="B6" s="53" t="s">
        <v>46</v>
      </c>
      <c r="C6" s="53"/>
      <c r="D6" s="53"/>
      <c r="E6" s="53"/>
      <c r="F6" s="53"/>
    </row>
    <row r="7" spans="2:6" x14ac:dyDescent="0.25">
      <c r="B7" s="1"/>
      <c r="C7" s="1"/>
      <c r="D7" s="24"/>
      <c r="E7" s="24"/>
      <c r="F7" s="24"/>
    </row>
    <row r="8" spans="2:6" x14ac:dyDescent="0.25">
      <c r="B8" s="1" t="s">
        <v>0</v>
      </c>
      <c r="C8" s="1"/>
      <c r="D8" s="24"/>
      <c r="E8" s="24"/>
      <c r="F8" s="24"/>
    </row>
    <row r="9" spans="2:6" x14ac:dyDescent="0.25">
      <c r="B9" s="57" t="s">
        <v>47</v>
      </c>
      <c r="C9" s="57"/>
      <c r="D9" s="57"/>
      <c r="E9" s="57"/>
      <c r="F9" s="57"/>
    </row>
    <row r="10" spans="2:6" x14ac:dyDescent="0.25">
      <c r="B10" s="46"/>
      <c r="C10" s="46"/>
      <c r="D10" s="46"/>
      <c r="E10" s="46"/>
      <c r="F10" s="46"/>
    </row>
    <row r="11" spans="2:6" ht="12.75" customHeight="1" x14ac:dyDescent="0.25">
      <c r="B11" s="8" t="s">
        <v>48</v>
      </c>
      <c r="C11" s="8"/>
      <c r="D11" s="25"/>
      <c r="E11" s="25"/>
      <c r="F11" s="25"/>
    </row>
    <row r="12" spans="2:6" ht="13.5" customHeight="1" x14ac:dyDescent="0.25">
      <c r="B12" s="9" t="s">
        <v>1</v>
      </c>
      <c r="C12" s="9"/>
      <c r="D12" s="25"/>
      <c r="E12" s="25"/>
      <c r="F12" s="25"/>
    </row>
    <row r="13" spans="2:6" ht="21.75" customHeight="1" x14ac:dyDescent="0.25">
      <c r="B13" s="58" t="s">
        <v>23</v>
      </c>
      <c r="C13" s="58"/>
      <c r="D13" s="58"/>
      <c r="E13" s="58"/>
      <c r="F13" s="58"/>
    </row>
    <row r="14" spans="2:6" x14ac:dyDescent="0.25">
      <c r="B14" s="8" t="s">
        <v>20</v>
      </c>
      <c r="C14" s="8"/>
      <c r="D14" s="22" t="s">
        <v>18</v>
      </c>
      <c r="E14" s="22" t="s">
        <v>28</v>
      </c>
      <c r="F14" s="21" t="s">
        <v>19</v>
      </c>
    </row>
    <row r="15" spans="2:6" x14ac:dyDescent="0.25">
      <c r="B15" s="8"/>
      <c r="C15" s="8"/>
      <c r="D15" s="21"/>
      <c r="E15" s="21"/>
      <c r="F15" s="21"/>
    </row>
    <row r="16" spans="2:6" x14ac:dyDescent="0.25">
      <c r="B16" s="7" t="s">
        <v>37</v>
      </c>
      <c r="C16" s="27" t="s">
        <v>25</v>
      </c>
      <c r="D16" s="29">
        <v>2</v>
      </c>
      <c r="E16" s="26">
        <v>983.09</v>
      </c>
      <c r="F16" s="14">
        <f>D16*E16</f>
        <v>1966.18</v>
      </c>
    </row>
    <row r="17" spans="2:6" x14ac:dyDescent="0.25">
      <c r="B17" s="7" t="s">
        <v>38</v>
      </c>
      <c r="C17" s="27" t="s">
        <v>25</v>
      </c>
      <c r="D17" s="5">
        <v>1</v>
      </c>
      <c r="E17" s="26">
        <v>750.46</v>
      </c>
      <c r="F17" s="14">
        <f t="shared" ref="F17:F20" si="0">D17*E17</f>
        <v>750.46</v>
      </c>
    </row>
    <row r="18" spans="2:6" x14ac:dyDescent="0.25">
      <c r="B18" s="7" t="s">
        <v>39</v>
      </c>
      <c r="C18" s="27" t="s">
        <v>25</v>
      </c>
      <c r="D18" s="29">
        <v>1</v>
      </c>
      <c r="E18" s="26">
        <v>850.38</v>
      </c>
      <c r="F18" s="14">
        <f t="shared" si="0"/>
        <v>850.38</v>
      </c>
    </row>
    <row r="19" spans="2:6" x14ac:dyDescent="0.25">
      <c r="B19" s="7" t="s">
        <v>40</v>
      </c>
      <c r="C19" s="27" t="s">
        <v>25</v>
      </c>
      <c r="D19" s="5">
        <v>1</v>
      </c>
      <c r="E19" s="26">
        <v>4473.3</v>
      </c>
      <c r="F19" s="14">
        <f t="shared" si="0"/>
        <v>4473.3</v>
      </c>
    </row>
    <row r="20" spans="2:6" x14ac:dyDescent="0.25">
      <c r="B20" s="7" t="s">
        <v>41</v>
      </c>
      <c r="C20" s="27" t="s">
        <v>25</v>
      </c>
      <c r="D20" s="29">
        <v>1</v>
      </c>
      <c r="E20" s="26">
        <v>4154.8100000000004</v>
      </c>
      <c r="F20" s="14">
        <f t="shared" si="0"/>
        <v>4154.8100000000004</v>
      </c>
    </row>
    <row r="21" spans="2:6" x14ac:dyDescent="0.25">
      <c r="B21" s="11" t="s">
        <v>43</v>
      </c>
      <c r="C21" s="11"/>
      <c r="D21" s="12"/>
      <c r="E21" s="14"/>
      <c r="F21" s="14"/>
    </row>
    <row r="22" spans="2:6" x14ac:dyDescent="0.25">
      <c r="B22" s="4"/>
      <c r="C22" s="4"/>
      <c r="D22" s="12"/>
      <c r="E22" s="13"/>
      <c r="F22" s="14"/>
    </row>
    <row r="23" spans="2:6" x14ac:dyDescent="0.25">
      <c r="B23" s="4"/>
      <c r="C23" s="4"/>
      <c r="D23" s="25"/>
      <c r="E23" s="4" t="s">
        <v>2</v>
      </c>
      <c r="F23" s="15">
        <f>SUM(F16:F22)</f>
        <v>12195.130000000001</v>
      </c>
    </row>
    <row r="24" spans="2:6" x14ac:dyDescent="0.25">
      <c r="B24" s="4"/>
      <c r="C24" s="4"/>
      <c r="D24" s="4"/>
      <c r="E24" s="4" t="s">
        <v>3</v>
      </c>
      <c r="F24" s="15">
        <f>F23*16%</f>
        <v>1951.2208000000003</v>
      </c>
    </row>
    <row r="25" spans="2:6" x14ac:dyDescent="0.25">
      <c r="B25" s="4"/>
      <c r="C25" s="4"/>
      <c r="D25" s="20"/>
      <c r="E25" s="4" t="s">
        <v>4</v>
      </c>
      <c r="F25" s="15">
        <f>SUM(F23:F24)</f>
        <v>14146.350800000002</v>
      </c>
    </row>
    <row r="26" spans="2:6" x14ac:dyDescent="0.25">
      <c r="B26" s="4"/>
      <c r="C26" s="4"/>
      <c r="D26" s="20"/>
      <c r="E26" s="4"/>
      <c r="F26" s="15"/>
    </row>
    <row r="27" spans="2:6" x14ac:dyDescent="0.25">
      <c r="B27" s="1" t="s">
        <v>24</v>
      </c>
      <c r="C27" s="1"/>
      <c r="D27" s="24"/>
      <c r="E27" s="24"/>
      <c r="F27" s="24"/>
    </row>
    <row r="28" spans="2:6" ht="39" customHeight="1" x14ac:dyDescent="0.25">
      <c r="B28" s="58" t="s">
        <v>29</v>
      </c>
      <c r="C28" s="58"/>
      <c r="D28" s="58"/>
      <c r="E28" s="58"/>
      <c r="F28" s="58"/>
    </row>
    <row r="29" spans="2:6" ht="17.25" customHeight="1" x14ac:dyDescent="0.25">
      <c r="B29" s="58" t="s">
        <v>30</v>
      </c>
      <c r="C29" s="58"/>
      <c r="D29" s="58"/>
      <c r="E29" s="58"/>
      <c r="F29" s="58"/>
    </row>
    <row r="30" spans="2:6" ht="15" customHeight="1" x14ac:dyDescent="0.25">
      <c r="B30" s="58" t="s">
        <v>31</v>
      </c>
      <c r="C30" s="58"/>
      <c r="D30" s="58"/>
      <c r="E30" s="58"/>
      <c r="F30" s="58"/>
    </row>
    <row r="31" spans="2:6" ht="18" customHeight="1" x14ac:dyDescent="0.25">
      <c r="B31" s="58" t="s">
        <v>32</v>
      </c>
      <c r="C31" s="58"/>
      <c r="D31" s="58"/>
      <c r="E31" s="58"/>
      <c r="F31" s="58"/>
    </row>
    <row r="32" spans="2:6" ht="96.75" customHeight="1" x14ac:dyDescent="0.25">
      <c r="B32" s="58" t="s">
        <v>33</v>
      </c>
      <c r="C32" s="58"/>
      <c r="D32" s="58"/>
      <c r="E32" s="58"/>
      <c r="F32" s="58"/>
    </row>
    <row r="33" spans="2:15" x14ac:dyDescent="0.25">
      <c r="B33" s="24"/>
      <c r="C33" s="24"/>
      <c r="D33" s="24"/>
      <c r="E33" s="24"/>
      <c r="F33" s="24"/>
      <c r="H33" s="18"/>
    </row>
    <row r="34" spans="2:15" x14ac:dyDescent="0.25">
      <c r="B34" s="6" t="s">
        <v>34</v>
      </c>
      <c r="C34" s="6"/>
      <c r="D34" s="61" t="s">
        <v>35</v>
      </c>
      <c r="E34" s="61"/>
      <c r="F34" s="61"/>
    </row>
    <row r="35" spans="2:15" x14ac:dyDescent="0.25">
      <c r="B35" s="9"/>
      <c r="C35" s="9"/>
      <c r="D35" s="25"/>
      <c r="E35" s="25"/>
      <c r="F35" s="25"/>
    </row>
    <row r="36" spans="2:15" x14ac:dyDescent="0.25">
      <c r="B36" s="9"/>
      <c r="C36" s="9"/>
      <c r="D36" s="25"/>
      <c r="E36" s="25"/>
      <c r="F36" s="25"/>
    </row>
    <row r="37" spans="2:15" x14ac:dyDescent="0.25">
      <c r="B37" s="16" t="s">
        <v>36</v>
      </c>
      <c r="C37" s="16"/>
      <c r="D37" s="25"/>
      <c r="E37" s="25"/>
      <c r="F37" s="25"/>
    </row>
    <row r="38" spans="2:15" x14ac:dyDescent="0.25">
      <c r="B38" s="28"/>
      <c r="C38" s="28"/>
      <c r="D38" s="62" t="s">
        <v>26</v>
      </c>
      <c r="E38" s="62"/>
      <c r="F38" s="62"/>
    </row>
    <row r="39" spans="2:15" x14ac:dyDescent="0.25">
      <c r="B39" s="17"/>
      <c r="C39" s="17"/>
      <c r="D39" s="25"/>
      <c r="E39" s="25"/>
      <c r="F39" s="25"/>
    </row>
    <row r="40" spans="2:15" x14ac:dyDescent="0.25">
      <c r="B40" s="59" t="s">
        <v>27</v>
      </c>
      <c r="C40" s="59"/>
      <c r="D40" s="60"/>
      <c r="E40" s="60"/>
      <c r="F40" s="60"/>
      <c r="G40" s="23"/>
      <c r="H40" s="23"/>
      <c r="I40" s="23"/>
      <c r="J40" s="23"/>
      <c r="K40" s="23"/>
      <c r="L40" s="23"/>
      <c r="M40" s="23"/>
      <c r="N40" s="23"/>
      <c r="O40" s="23"/>
    </row>
    <row r="41" spans="2:15" x14ac:dyDescent="0.25">
      <c r="B41" s="60"/>
      <c r="C41" s="60"/>
      <c r="D41" s="60"/>
      <c r="E41" s="60"/>
      <c r="F41" s="60"/>
      <c r="G41" s="23"/>
      <c r="H41" s="23"/>
      <c r="I41" s="23"/>
      <c r="J41" s="23"/>
      <c r="K41" s="23"/>
      <c r="L41" s="23"/>
      <c r="M41" s="23"/>
      <c r="N41" s="23"/>
      <c r="O41" s="23"/>
    </row>
    <row r="42" spans="2:15" x14ac:dyDescent="0.25">
      <c r="B42" s="60"/>
      <c r="C42" s="60"/>
      <c r="D42" s="60"/>
      <c r="E42" s="60"/>
      <c r="F42" s="60"/>
      <c r="G42" s="23"/>
      <c r="H42" s="23"/>
      <c r="I42" s="23"/>
      <c r="J42" s="23"/>
      <c r="K42" s="23"/>
      <c r="L42" s="23"/>
      <c r="M42" s="23"/>
      <c r="N42" s="23"/>
      <c r="O42" s="23"/>
    </row>
    <row r="43" spans="2:15" x14ac:dyDescent="0.25">
      <c r="B43" s="60"/>
      <c r="C43" s="60"/>
      <c r="D43" s="60"/>
      <c r="E43" s="60"/>
      <c r="F43" s="60"/>
      <c r="G43" s="23"/>
      <c r="H43" s="23"/>
      <c r="I43" s="23"/>
      <c r="J43" s="23"/>
      <c r="K43" s="23"/>
      <c r="L43" s="23"/>
      <c r="M43" s="23"/>
      <c r="N43" s="23"/>
      <c r="O43" s="23"/>
    </row>
    <row r="44" spans="2:15" x14ac:dyDescent="0.25">
      <c r="B44" s="23"/>
      <c r="C44" s="23"/>
      <c r="D44" s="23"/>
      <c r="E44" s="23"/>
      <c r="F44" s="23"/>
      <c r="G44" s="23"/>
      <c r="H44" s="23"/>
      <c r="I44" s="23"/>
      <c r="J44" s="23"/>
      <c r="K44" s="23"/>
      <c r="L44" s="23"/>
      <c r="M44" s="23"/>
      <c r="N44" s="23"/>
      <c r="O44" s="23"/>
    </row>
    <row r="45" spans="2:15" x14ac:dyDescent="0.25">
      <c r="B45" s="23"/>
      <c r="C45" s="23"/>
      <c r="D45" s="23"/>
      <c r="E45" s="23"/>
      <c r="F45" s="23"/>
      <c r="G45" s="23"/>
      <c r="H45" s="23"/>
      <c r="I45" s="23"/>
      <c r="J45" s="23"/>
      <c r="K45" s="23"/>
      <c r="L45" s="23"/>
      <c r="M45" s="23"/>
      <c r="N45" s="23"/>
      <c r="O45" s="23"/>
    </row>
    <row r="46" spans="2:15" x14ac:dyDescent="0.25">
      <c r="B46" s="23"/>
      <c r="C46" s="23"/>
      <c r="D46" s="23"/>
      <c r="E46" s="23"/>
      <c r="F46" s="23"/>
      <c r="G46" s="23"/>
      <c r="H46" s="23"/>
      <c r="I46" s="23"/>
      <c r="J46" s="23"/>
      <c r="K46" s="23"/>
      <c r="L46" s="23"/>
      <c r="M46" s="23"/>
      <c r="N46" s="23"/>
      <c r="O46" s="23"/>
    </row>
    <row r="47" spans="2:15" x14ac:dyDescent="0.25">
      <c r="B47" s="23"/>
      <c r="C47" s="23"/>
      <c r="D47" s="23"/>
      <c r="E47" s="23"/>
      <c r="F47" s="23"/>
      <c r="G47" s="23"/>
      <c r="H47" s="23"/>
      <c r="I47" s="23"/>
      <c r="J47" s="23"/>
      <c r="K47" s="23"/>
      <c r="L47" s="23"/>
      <c r="M47" s="23"/>
      <c r="N47" s="23"/>
      <c r="O47" s="23"/>
    </row>
  </sheetData>
  <mergeCells count="12">
    <mergeCell ref="B40:F43"/>
    <mergeCell ref="D34:F34"/>
    <mergeCell ref="D38:F38"/>
    <mergeCell ref="B28:F28"/>
    <mergeCell ref="B29:F29"/>
    <mergeCell ref="B30:F30"/>
    <mergeCell ref="B31:F31"/>
    <mergeCell ref="B6:F6"/>
    <mergeCell ref="B9:F9"/>
    <mergeCell ref="B10:F10"/>
    <mergeCell ref="B13:F13"/>
    <mergeCell ref="B32:F32"/>
  </mergeCells>
  <pageMargins left="0.7" right="0.7" top="0.75" bottom="0.75" header="0.3" footer="0.3"/>
  <pageSetup paperSize="9"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2026-06-11T22:45:28Z</cp:lastPrinted>
  <dcterms:created xsi:type="dcterms:W3CDTF">2020-12-14T19:54:01Z</dcterms:created>
  <dcterms:modified xsi:type="dcterms:W3CDTF">2026-06-11T22:45:51Z</dcterms:modified>
</cp:coreProperties>
</file>