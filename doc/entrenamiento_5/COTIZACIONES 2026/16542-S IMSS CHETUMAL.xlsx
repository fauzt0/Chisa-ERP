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F632BE3-8FB8-4139-BD5C-0734E2A6BF4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3" l="1"/>
  <c r="F37" i="3"/>
  <c r="F32" i="3"/>
  <c r="F31" i="3"/>
  <c r="F36" i="3" l="1"/>
  <c r="D21" i="1"/>
  <c r="D22" i="1" s="1"/>
</calcChain>
</file>

<file path=xl/sharedStrings.xml><?xml version="1.0" encoding="utf-8"?>
<sst xmlns="http://schemas.openxmlformats.org/spreadsheetml/2006/main" count="68" uniqueCount="62">
  <si>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</si>
  <si>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</si>
  <si>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</si>
  <si>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</si>
  <si>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</si>
  <si>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</si>
  <si>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</si>
  <si>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</si>
  <si>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</si>
  <si>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</si>
  <si>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</si>
  <si>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</si>
  <si>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</si>
  <si>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</si>
  <si>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</si>
  <si>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</si>
  <si>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</si>
  <si>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</si>
  <si>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</si>
  <si>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</si>
  <si>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</si>
  <si>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</si>
  <si>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</si>
  <si>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</si>
  <si>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</si>
  <si>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</si>
  <si>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</si>
  <si>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</si>
  <si>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</si>
  <si>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</si>
  <si>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</si>
  <si>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</si>
  <si>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</si>
  <si>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</si>
  <si>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</si>
  <si>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</si>
  <si>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</si>
  <si>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</si>
  <si>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</si>
  <si>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</si>
  <si>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</si>
  <si>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</si>
  <si>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</si>
  <si>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</si>
  <si>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</si>
  <si>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</si>
  <si>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</si>
  <si>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</si>
  <si>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</si>
  <si>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</si>
  <si>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</si>
  <si>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</si>
  <si>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</si>
  <si>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CIUDAD DE MEXICO A 27 DE MAYO DEL 2026</t>
  </si>
  <si>
    <t>AT´N: ARQ. ANIBAL ESCOBAR</t>
  </si>
  <si>
    <t>PRES. REF. 16542-S/2026CG</t>
  </si>
  <si>
    <t>OBRA: IMSS CHETUMAL</t>
  </si>
  <si>
    <t xml:space="preserve">1.- PRAIMER GLASS REF. S.M.A (REND. 850M2) </t>
  </si>
  <si>
    <t>TAMBOS</t>
  </si>
  <si>
    <t>2.- MARMO FLEX REF. S.M.A (REND. 5M2)</t>
  </si>
  <si>
    <t xml:space="preserve">                           ARQ. ANIBAL ESCOBAR</t>
  </si>
  <si>
    <t xml:space="preserve">PRESENTAMOS A SU AMABLE CONSIDERACIÓN EL PRESUPUESTO DE SUMINISTRO PARA 13,648M2 DE LOS SIGUIENTES MATERIALES: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</si>
</sst>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6"/>
      <c r="B1" s="67"/>
      <c r="C1" s="67"/>
      <c r="D1" s="6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6" t="s">
        <v>37</v>
      </c>
      <c r="B4" s="56"/>
      <c r="C4" s="56"/>
      <c r="D4" s="56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3" t="s">
        <v>38</v>
      </c>
      <c r="B10" s="63"/>
      <c r="C10" s="63"/>
      <c r="D10" s="63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8" t="s">
        <v>40</v>
      </c>
      <c r="B13" s="69"/>
      <c r="C13" s="69"/>
      <c r="D13" s="6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32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4" t="s">
        <v>41</v>
      </c>
      <c r="B25" s="64"/>
      <c r="C25" s="64"/>
      <c r="D25" s="64"/>
      <c r="E25" s="11"/>
      <c r="F25" s="11"/>
    </row>
    <row r="26" spans="1:7" ht="12" customHeight="1" x14ac:dyDescent="0.25">
      <c r="A26" s="59" t="s">
        <v>6</v>
      </c>
      <c r="B26" s="59"/>
      <c r="C26" s="59"/>
      <c r="D26" s="59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59" t="s">
        <v>7</v>
      </c>
      <c r="B28" s="59"/>
      <c r="C28" s="59"/>
      <c r="D28" s="59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19" zoomScaleNormal="100" zoomScalePageLayoutView="50" workbookViewId="0">
      <selection activeCell="G34" sqref="G3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0.5703125" customWidth="1"/>
    <col min="4" max="4" width="11.42578125" customWidth="1"/>
    <col min="5" max="5" width="10.7109375" customWidth="1"/>
    <col min="6" max="6" width="12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6" t="s">
        <v>53</v>
      </c>
      <c r="C11" s="56"/>
      <c r="D11" s="56"/>
      <c r="E11" s="56"/>
      <c r="F11" s="56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7" t="s">
        <v>54</v>
      </c>
      <c r="C18" s="57"/>
      <c r="D18" s="57"/>
      <c r="E18" s="57"/>
      <c r="F18" s="57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8"/>
      <c r="C21" s="58"/>
      <c r="D21" s="58"/>
      <c r="E21" s="58"/>
      <c r="F21" s="58"/>
    </row>
    <row r="22" spans="2:6" ht="12.75" customHeight="1" x14ac:dyDescent="0.25">
      <c r="B22" s="8" t="s">
        <v>55</v>
      </c>
      <c r="C22" s="8"/>
      <c r="D22" s="21"/>
      <c r="E22" s="21"/>
      <c r="F22" s="21"/>
    </row>
    <row r="23" spans="2:6" ht="12.75" customHeight="1" x14ac:dyDescent="0.25">
      <c r="B23" s="49" t="s">
        <v>56</v>
      </c>
      <c r="C23" s="49"/>
      <c r="D23" s="49"/>
      <c r="E23" s="49"/>
      <c r="F23" s="49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3" t="s">
        <v>61</v>
      </c>
      <c r="C26" s="53"/>
      <c r="D26" s="53"/>
      <c r="E26" s="53"/>
      <c r="F26" s="53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57</v>
      </c>
      <c r="C31" s="40" t="s">
        <v>58</v>
      </c>
      <c r="D31" s="39">
        <v>16</v>
      </c>
      <c r="E31" s="48">
        <v>10281.799999999999</v>
      </c>
      <c r="F31" s="48">
        <f>D31*E31</f>
        <v>164508.79999999999</v>
      </c>
    </row>
    <row r="32" spans="2:6" x14ac:dyDescent="0.25">
      <c r="B32" s="41" t="s">
        <v>59</v>
      </c>
      <c r="C32" s="40" t="s">
        <v>46</v>
      </c>
      <c r="D32" s="39">
        <v>2429.6</v>
      </c>
      <c r="E32" s="48">
        <v>2598</v>
      </c>
      <c r="F32" s="48">
        <f>E32*D32</f>
        <v>6312100.7999999998</v>
      </c>
    </row>
    <row r="33" spans="2:6" x14ac:dyDescent="0.25">
      <c r="B33" s="47"/>
      <c r="C33" s="45"/>
      <c r="D33" s="46"/>
      <c r="E33" s="42"/>
      <c r="F33" s="42"/>
    </row>
    <row r="34" spans="2:6" x14ac:dyDescent="0.25">
      <c r="B34" s="47"/>
      <c r="C34" s="45"/>
      <c r="D34" s="46"/>
      <c r="E34" s="4"/>
      <c r="F34" s="44"/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SUM(F31:F35)</f>
        <v>6476609.5999999996</v>
      </c>
    </row>
    <row r="37" spans="2:6" x14ac:dyDescent="0.25">
      <c r="B37" s="4"/>
      <c r="C37" s="4"/>
      <c r="D37" s="16"/>
      <c r="E37" s="4" t="s">
        <v>44</v>
      </c>
      <c r="F37" s="11">
        <f>F36*16%</f>
        <v>1036257.536</v>
      </c>
    </row>
    <row r="38" spans="2:6" x14ac:dyDescent="0.25">
      <c r="B38" s="4"/>
      <c r="C38" s="4"/>
      <c r="D38" s="16"/>
      <c r="E38" s="4" t="s">
        <v>45</v>
      </c>
      <c r="F38" s="11">
        <f>F36+F37</f>
        <v>7512867.1359999999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59" t="s">
        <v>23</v>
      </c>
      <c r="C41" s="60"/>
      <c r="D41" s="60"/>
      <c r="E41" s="60"/>
      <c r="F41" s="60"/>
    </row>
    <row r="42" spans="2:6" ht="27.75" customHeight="1" x14ac:dyDescent="0.25">
      <c r="B42" s="53" t="s">
        <v>26</v>
      </c>
      <c r="C42" s="53"/>
      <c r="D42" s="53"/>
      <c r="E42" s="53"/>
      <c r="F42" s="53"/>
    </row>
    <row r="43" spans="2:6" ht="17.25" customHeight="1" x14ac:dyDescent="0.25">
      <c r="B43" s="53" t="s">
        <v>27</v>
      </c>
      <c r="C43" s="53"/>
      <c r="D43" s="53"/>
      <c r="E43" s="53"/>
      <c r="F43" s="53"/>
    </row>
    <row r="44" spans="2:6" ht="15" customHeight="1" x14ac:dyDescent="0.25">
      <c r="B44" s="53" t="s">
        <v>28</v>
      </c>
      <c r="C44" s="53"/>
      <c r="D44" s="53"/>
      <c r="E44" s="53"/>
      <c r="F44" s="53"/>
    </row>
    <row r="45" spans="2:6" ht="18" customHeight="1" x14ac:dyDescent="0.25">
      <c r="B45" s="53" t="s">
        <v>29</v>
      </c>
      <c r="C45" s="53"/>
      <c r="D45" s="53"/>
      <c r="E45" s="53"/>
      <c r="F45" s="53"/>
    </row>
    <row r="46" spans="2:6" ht="96.75" customHeight="1" x14ac:dyDescent="0.25">
      <c r="B46" s="53" t="s">
        <v>30</v>
      </c>
      <c r="C46" s="53"/>
      <c r="D46" s="53"/>
      <c r="E46" s="53"/>
      <c r="F46" s="53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52" t="s">
        <v>47</v>
      </c>
      <c r="E50" s="52"/>
      <c r="F50" s="52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49</v>
      </c>
      <c r="C53" s="12"/>
      <c r="D53" s="12"/>
      <c r="E53" s="12"/>
      <c r="F53" s="12"/>
    </row>
    <row r="54" spans="2:15" ht="15" customHeight="1" x14ac:dyDescent="0.25">
      <c r="B54" s="36" t="s">
        <v>60</v>
      </c>
      <c r="C54" s="54" t="s">
        <v>51</v>
      </c>
      <c r="D54" s="55"/>
      <c r="E54" s="55"/>
      <c r="F54" s="55"/>
      <c r="G54" s="55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50" t="s">
        <v>24</v>
      </c>
      <c r="C58" s="50"/>
      <c r="D58" s="51"/>
      <c r="E58" s="51"/>
      <c r="F58" s="51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51"/>
      <c r="C59" s="51"/>
      <c r="D59" s="51"/>
      <c r="E59" s="51"/>
      <c r="F59" s="51"/>
      <c r="G59" s="19"/>
      <c r="H59" s="19"/>
      <c r="I59" s="19"/>
      <c r="J59" s="19"/>
      <c r="K59" s="19"/>
      <c r="L59" s="19"/>
      <c r="M59" s="19"/>
      <c r="N59" s="19"/>
      <c r="O59" s="19"/>
    </row>
    <row r="60" spans="2:15" ht="4.5" customHeight="1" x14ac:dyDescent="0.25">
      <c r="B60" s="51"/>
      <c r="C60" s="51"/>
      <c r="D60" s="51"/>
      <c r="E60" s="51"/>
      <c r="F60" s="51"/>
      <c r="G60" s="19"/>
      <c r="H60" s="19"/>
      <c r="I60" s="19"/>
      <c r="J60" s="19"/>
      <c r="K60" s="19"/>
      <c r="L60" s="19"/>
      <c r="M60" s="19"/>
      <c r="N60" s="19"/>
      <c r="O60" s="19"/>
    </row>
    <row r="61" spans="2:15" hidden="1" x14ac:dyDescent="0.25">
      <c r="B61" s="51"/>
      <c r="C61" s="51"/>
      <c r="D61" s="51"/>
      <c r="E61" s="51"/>
      <c r="F61" s="51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3">
    <mergeCell ref="B11:F11"/>
    <mergeCell ref="B18:F18"/>
    <mergeCell ref="B21:F21"/>
    <mergeCell ref="B26:F26"/>
    <mergeCell ref="B46:F46"/>
    <mergeCell ref="B41:F41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2026-05-27T19:26:42Z</cp:lastPrinted>
  <dcterms:created xsi:type="dcterms:W3CDTF">2020-12-14T19:54:01Z</dcterms:created>
  <dcterms:modified xsi:type="dcterms:W3CDTF">2026-05-27T19:27:06Z</dcterms:modified>
</cp:coreProperties>
</file>