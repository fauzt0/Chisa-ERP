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4EF4BA2C-94EB-4F78-84D1-113BA6B95C8E}"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1" i="1" l="1"/>
  <c r="E19" i="1" l="1"/>
  <c r="E18" i="1"/>
  <c r="E25" i="1" l="1"/>
  <c r="E26" i="1" s="1"/>
  <c r="E27" i="1" s="1"/>
  <c r="F31" i="3"/>
  <c r="F27" i="3"/>
  <c r="F28" i="3" l="1"/>
  <c r="F29" i="3" s="1"/>
  <c r="F32" i="3"/>
  <c r="F33" i="3" s="1"/>
  <c r="F24" i="3"/>
  <c r="F25" i="3" l="1"/>
  <c r="F26" i="3"/>
</calcChain>
</file>

<file path=xl/sharedStrings.xml><?xml version="1.0" encoding="utf-8"?>
<sst xmlns="http://schemas.openxmlformats.org/spreadsheetml/2006/main" count="77" uniqueCount="64">
  <si>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</si>
  <si>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</si>
  <si>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</si>
  <si>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</si>
  <si>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</si>
  <si>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</si>
  <si>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</si>
  <si>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</si>
  <si>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</si>
  <si>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</si>
  <si>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</si>
  <si>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</si>
  <si>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</si>
  <si>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</si>
  <si>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SIN MAS POR EL MOMENTO, LE REITERO A USTED, LAS SEGURIDADES DE MI MAS DISTINGUIDA CONSIDERACIÓN. </t>
  </si>
  <si>
    <t xml:space="preserve">   </t>
  </si>
  <si>
    <t>CANTIDAD</t>
  </si>
  <si>
    <t>IMPORTE</t>
  </si>
  <si>
    <t>CONCEPTO</t>
  </si>
  <si>
    <t>M2</t>
  </si>
  <si>
    <t>ACEPTO</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</si>
  <si>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</si>
  <si>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</si>
  <si>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</si>
  <si>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</si>
  <si>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</si>
  <si>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</si>
  <si>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</si>
  <si>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</si>
  <si>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</si>
  <si>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</si>
  <si>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</si>
  <si>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</si>
  <si>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</si>
  <si>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</si>
  <si>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t>
  </si>
  <si>
    <t>CIUDAD DE MEXICO A 24 DE OCTUBRE DEL 2023</t>
  </si>
  <si>
    <t>AT´N: ING. SERGIO ALBERTO GUTIERREZ</t>
  </si>
  <si>
    <t>PRES. REF. 15216-S/2023</t>
  </si>
  <si>
    <r>
      <t xml:space="preserve">1.-PINTUFLEX (SIMILAR A VINIMEX) </t>
    </r>
    <r>
      <rPr>
        <sz val="9"/>
        <color theme="1"/>
        <rFont val="Times New Roman"/>
        <family val="1"/>
      </rPr>
      <t xml:space="preserve">Pintura Vinil - Acrilica semi mate para interiores o exteriores </t>
    </r>
  </si>
  <si>
    <r>
      <t xml:space="preserve">2.-CHISA VINIL (SIMILAR A PROMIL) </t>
    </r>
    <r>
      <rPr>
        <sz val="9"/>
        <color theme="1"/>
        <rFont val="Times New Roman"/>
        <family val="1"/>
      </rPr>
      <t xml:space="preserve">Pintura Vinil - Acrilica  mate para interiores o exteriores </t>
    </r>
  </si>
  <si>
    <t xml:space="preserve">             ING. SERGIO ALBERTO GUTIERREZ</t>
  </si>
  <si>
    <t xml:space="preserve"> LIC. CAROLINA GALVAN</t>
  </si>
  <si>
    <r>
      <t xml:space="preserve">3.-SELLADOR INICIAL 4648 , </t>
    </r>
    <r>
      <rPr>
        <sz val="9"/>
        <color theme="1"/>
        <rFont val="Times New Roman"/>
        <family val="1"/>
      </rPr>
      <t>precusor de adherencia para distintos recubrimientos</t>
    </r>
  </si>
  <si>
    <t>iva 16%</t>
  </si>
  <si>
    <t>ttl</t>
  </si>
  <si>
    <t xml:space="preserve">                                                      ATENTAMENTE</t>
  </si>
  <si>
    <t xml:space="preserve">CONSTRUCTORA: INGENIERÍA Y CONTROL DE PROYECTOS, S.A DE C.V. </t>
  </si>
  <si>
    <t xml:space="preserve">AT´N: ING. JESUS FLORES ALDANA </t>
  </si>
  <si>
    <r>
      <rPr>
        <b/>
        <u/>
        <sz val="9"/>
        <color theme="1"/>
        <rFont val="Times New Roman"/>
        <family val="1"/>
      </rPr>
      <t xml:space="preserve">1.-SUMINISTRO Y APLICACIÓN DE RECUBRIMIENTO CHISA GLASS REF-S.M.A. EN MUROS CON SUPERFICIE LISA, INCLUYE :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</si>
  <si>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PRESENTAMOS  A  SU AMABLE  CONSIDERACIÓN EL PRESUPUESTO DE SUMINISTRO Y APLICACIÓN  DE  LOS SIGUIENTES CONCEPTOS.</t>
    </r>
    <r>
      <rPr>
        <b/>
        <sz val="9"/>
        <color theme="1"/>
        <rFont val="Times New Roman"/>
        <family val="1"/>
      </rPr>
      <t xml:space="preserve">                                                   </t>
    </r>
  </si>
  <si>
    <r>
      <t xml:space="preserve">EN CASO DE SER ACEPTADO EL PRESENTE PRESUPUESTO REQUERIMOS DEL </t>
    </r>
    <r>
      <rPr>
        <b/>
        <sz val="8"/>
        <color theme="1"/>
        <rFont val="Times New Roman"/>
        <family val="1"/>
      </rPr>
      <t>70% DEL PAGO COMO ANTICIPO</t>
    </r>
    <r>
      <rPr>
        <sz val="8"/>
        <color theme="1"/>
        <rFont val="Times New Roman"/>
        <family val="1"/>
      </rPr>
      <t>, EL CUAL SERA APLICADO A LA FABRICACIÓN, Y GASTOS DE ENVIÓ DE MATERIALES AL LUGAR DE LOS TRABAJOS: EL PORCENTAJE RESTANTE AL IMPORTE DEL PRESUPUESTO SE PAGARA EN ESTIMACIONES SEMANALES SEGÚN EL AVANCE DE LOS TRABAJOS OBJETO DEL PRESENTE, AL OTORGAR EL PAGO DE ANTICIPO PARA LA EJECUCIÓN DE LOS TRABAJOS, SE CONSIDERA COMO ACEPTADO EL PRESUPUESTO EN TODOS SUS PUNTOS Y EL MISMO FUNGIRÁ COMO CONTRATO.</t>
    </r>
  </si>
  <si>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</si>
  <si>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</si>
  <si>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     CHISA RECUBRIMIENTOS SA DE CV</t>
  </si>
  <si>
    <t xml:space="preserve">                                     ING. JESUS FLORES ALDANA                                                  </t>
  </si>
  <si>
    <t xml:space="preserve">                         ___________________________________                                                     _________________________________________</t>
  </si>
  <si>
    <t>CIUDAD DE MEXICO A 14 DE ABRIL DEL 2026</t>
  </si>
  <si>
    <r>
      <t xml:space="preserve">3.-SUMINISTRO Y APLICACIÓN DE RECUBRIMIENTO  PROTECT PLUS  (PINTURA ANTIBACTERIAL) REF.- S.M.A EN MUROS CON SUPERFICIE LISA, INCLUYE: </t>
    </r>
    <r>
      <rPr>
        <sz val="8"/>
        <color theme="1"/>
        <rFont val="Times New Roman"/>
        <family val="1"/>
      </rPr>
      <t>LIMPIEZA, LIJADO Y/O REBABEO DE MURO, APLICACION DE SELLADOR ACRÍLICO 4648 A MANO CON RODILLO DE FELPA Y BROCHA,  APLICACIÓN DE PRAIMER GLASS REF. S.M.A.  A MANO CON RODILLO DE FELPA Y BROCHA, APLICACION DE RECUBRIMIENTO PROTECT PLUS REF. S.M.A. A MANO CON RODILLO DE FELPA Y/O LLANA METALICA, APLICACION DE VITROGLASS ECOLOGICO CON  RODILLO DE FELPA Y BROCHA, O POR ASPERSION DE AIRE, PROTECCION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</si>
  <si>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 xml:space="preserve">FORMA DE PAGO Y CONSIDERACIONES GENERALES CORRESPONDIENTES AL PRESUPUESTO </t>
    </r>
    <r>
      <rPr>
        <b/>
        <sz val="9"/>
        <color theme="1"/>
        <rFont val="Times New Roman"/>
        <family val="1"/>
      </rPr>
      <t>REF. 16487/2026CG.</t>
    </r>
  </si>
  <si>
    <r>
      <t>2.-SUMINISTRO Y APLICACIÓN RECUBRIMIENTO CHISA MAR REF. S.M.A., EN MUROS CON SUPERFICIE LISA, INCLUYE :</t>
    </r>
    <r>
      <rPr>
        <sz val="9"/>
        <color theme="1"/>
        <rFont val="Calibri"/>
        <family val="2"/>
        <scheme val="minor"/>
      </rPr>
      <t xml:space="preserve"> </t>
    </r>
    <r>
      <rPr>
        <sz val="9"/>
        <color theme="1"/>
        <rFont val="Times New Roman"/>
        <family val="1"/>
      </rPr>
      <t>LIMPIEZA Y LIJADO DE MURO CON LIJA DEL Nº 180,  APLICACIÓN DE SELLADOR ACRILICO 4648 A MANO CON RODILLO DE FELPA Y BROCHA, APLICACIÓN DE  PRAIMER GLASS CON RODILLO DE FELPA Y BROCHA, CONSIDERANDO EL COLOR PREDOMINANTE DEL RECUBRIMIENTO, APLICACIÓN RECUBRIMIENTO CHISA MAR REF. S.M.A. CON ESPÁTULA O  LLANA METALICA, ABRILLANTADO DEL SUSTRATO CON BISEL DE CUÑA METALICA, PROTECCION DE SUPERFICIES ADYACENTES CON PAPEL Y MASKING-TAPE, LIMPIEZA Y RETIRO DE SOBRANTES PROPIOS HASTA EL LUGAR INDICADO DENTRO DE OBRA, FLETE, Y MANO DE OBRA ESPECIALIZADA, HASTA UNA ALTURA DE 2.70 MTS. Y DEMAS DERIVADOS DEL USO DE HERRAMIENTA. NO INCLUYE ANDAMIAJE.</t>
    </r>
    <r>
      <rPr>
        <sz val="9"/>
        <color rgb="FF002060"/>
        <rFont val="Calibri"/>
        <family val="2"/>
        <scheme val="minor"/>
      </rPr>
      <t xml:space="preserve"> </t>
    </r>
  </si>
  <si>
    <t>PRES. REF. 16487/2026CG</t>
  </si>
  <si>
    <t>OBRA: HOSPITAL ISSSTE DE CANCÚN QUINTANA ROO</t>
  </si>
  <si>
    <t>OBRA: HOSPITAL ISSSTE DE  CANCÚN QUINTANA ROO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</si>
</sst>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80A]#,##0.00"/>
  </numFmts>
  <fonts count="17">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sz val="10"/>
      <name val="Arial"/>
      <family val="2"/>
    </font>
    <font>
      <sz val="9"/>
      <name val="Times New Roman"/>
      <family val="1"/>
    </font>
    <font>
      <sz val="10"/>
      <name val="BankGothic Md BT"/>
      <family val="2"/>
    </font>
    <font>
      <sz val="9"/>
      <color theme="1"/>
      <name val="Calibri"/>
      <family val="2"/>
      <scheme val="minor"/>
    </font>
    <font>
      <b/>
      <u/>
      <sz val="8"/>
      <color theme="1"/>
      <name val="Times New Roman"/>
      <family val="1"/>
    </font>
    <font>
      <sz val="9"/>
      <color rgb="FF002060"/>
      <name val="Calibri"/>
      <family val="2"/>
      <scheme val="minor"/>
    </font>
  </fonts>
  <fills count="2">
    <fill>
      <patternFill patternType="none"/>
    </fill>
    <fill>
      <patternFill patternType="gray125"/>
    </fill>
  </fills>
  <borders count="1">
    <border>
      <left/>
      <right/>
      <top/>
      <bottom/>
      <diagonal/>
    </border>
  </borders>
  <cellStyleXfs count="37">
    <xf numFmtId="0" fontId="0" fillId="0" borderId="0"/>
    <xf numFmtId="44" fontId="6" fillId="0" borderId="0" applyFont="0" applyFill="0" applyBorder="0" applyAlignment="0" applyProtection="0"/>
    <xf numFmtId="0" fontId="11" fillId="0" borderId="0"/>
    <xf numFmtId="0" fontId="6" fillId="0" borderId="0"/>
    <xf numFmtId="0" fontId="11" fillId="0" borderId="0"/>
    <xf numFmtId="0" fontId="6" fillId="0" borderId="0"/>
    <xf numFmtId="0" fontId="13" fillId="0" borderId="0"/>
    <xf numFmtId="0" fontId="11" fillId="0" borderId="0"/>
    <xf numFmtId="0" fontId="11"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1">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xf numFmtId="0" fontId="1" fillId="0" borderId="0" xfId="0" applyFont="1" applyAlignment="1">
      <alignment horizontal="justify" vertical="justify" wrapText="1"/>
    </xf>
    <xf numFmtId="0" fontId="11" fillId="0" borderId="0" xfId="2" applyAlignment="1">
      <alignment vertical="center" wrapText="1"/>
    </xf>
    <xf numFmtId="0" fontId="5" fillId="0" borderId="0" xfId="0" applyFont="1" applyAlignment="1">
      <alignment horizontal="justify" vertical="center"/>
    </xf>
    <xf numFmtId="0" fontId="1" fillId="0" borderId="0" xfId="0" applyFont="1" applyAlignment="1">
      <alignment horizontal="center"/>
    </xf>
    <xf numFmtId="4" fontId="1" fillId="0" borderId="0" xfId="0" applyNumberFormat="1" applyFont="1" applyAlignment="1">
      <alignment horizontal="center" wrapText="1"/>
    </xf>
    <xf numFmtId="44" fontId="1" fillId="0" borderId="0" xfId="1" applyFont="1" applyBorder="1" applyAlignment="1">
      <alignment horizontal="center" wrapText="1"/>
    </xf>
    <xf numFmtId="44" fontId="1" fillId="0" borderId="0" xfId="1" applyFont="1" applyBorder="1" applyAlignment="1">
      <alignment horizontal="right" wrapText="1"/>
    </xf>
    <xf numFmtId="4" fontId="1" fillId="0" borderId="0" xfId="0" applyNumberFormat="1" applyFont="1" applyAlignment="1">
      <alignment horizontal="right" wrapText="1"/>
    </xf>
    <xf numFmtId="0" fontId="1" fillId="0" borderId="0" xfId="0" applyFont="1" applyAlignment="1">
      <alignment horizontal="center" vertical="center"/>
    </xf>
    <xf numFmtId="4" fontId="11" fillId="0" borderId="0" xfId="2" applyNumberFormat="1" applyAlignment="1">
      <alignment vertical="center" wrapText="1"/>
    </xf>
    <xf numFmtId="164" fontId="11" fillId="0" borderId="0" xfId="2" applyNumberFormat="1" applyAlignment="1">
      <alignment vertical="center" wrapText="1"/>
    </xf>
    <xf numFmtId="8" fontId="1" fillId="0" borderId="0" xfId="1" applyNumberFormat="1" applyFont="1" applyAlignment="1">
      <alignment horizontal="right" wrapText="1"/>
    </xf>
    <xf numFmtId="0" fontId="1" fillId="0" borderId="0" xfId="0" applyFont="1" applyAlignment="1">
      <alignment wrapText="1"/>
    </xf>
    <xf numFmtId="0" fontId="1" fillId="0" borderId="0" xfId="0" applyFont="1" applyAlignment="1">
      <alignment vertical="center" wrapText="1"/>
    </xf>
    <xf numFmtId="0" fontId="2" fillId="0" borderId="0" xfId="0" applyFont="1" applyAlignment="1">
      <alignment horizontal="center" vertical="center"/>
    </xf>
    <xf numFmtId="0" fontId="12" fillId="0" borderId="0" xfId="2" applyFont="1" applyAlignment="1">
      <alignment vertical="center" wrapText="1"/>
    </xf>
    <xf numFmtId="0" fontId="2" fillId="0" borderId="0" xfId="0" applyFont="1" applyAlignment="1">
      <alignment horizontal="left" vertical="center" wrapText="1"/>
    </xf>
    <xf numFmtId="4" fontId="12" fillId="0" borderId="0" xfId="2" applyNumberFormat="1" applyFont="1" applyAlignment="1">
      <alignment vertical="center" wrapText="1"/>
    </xf>
    <xf numFmtId="164" fontId="12" fillId="0" borderId="0" xfId="2" applyNumberFormat="1" applyFont="1" applyAlignment="1">
      <alignment vertical="center" wrapText="1"/>
    </xf>
    <xf numFmtId="0" fontId="15" fillId="0" borderId="0" xfId="0" applyFont="1" applyAlignment="1">
      <alignment horizontal="justify" vertical="justify" wrapText="1"/>
    </xf>
    <xf numFmtId="0" fontId="4" fillId="0" borderId="0" xfId="0" applyFont="1" applyAlignment="1">
      <alignment horizontal="justify" vertical="center" wrapText="1"/>
    </xf>
    <xf numFmtId="0" fontId="4" fillId="0" borderId="0" xfId="0" applyFont="1" applyAlignment="1">
      <alignment horizontal="left" vertical="center" wrapText="1"/>
    </xf>
    <xf numFmtId="0" fontId="4" fillId="0" borderId="0" xfId="0" applyFont="1" applyAlignment="1">
      <alignment horizontal="justify" vertical="top" wrapText="1"/>
    </xf>
    <xf numFmtId="0" fontId="1" fillId="0" borderId="0" xfId="0" applyFont="1" applyAlignment="1">
      <alignment horizontal="justify"/>
    </xf>
    <xf numFmtId="0" fontId="0" fillId="0" borderId="0" xfId="0"/>
    <xf numFmtId="0" fontId="1" fillId="0" borderId="0" xfId="0" applyFont="1" applyAlignment="1">
      <alignment horizontal="left"/>
    </xf>
    <xf numFmtId="0" fontId="1" fillId="0" borderId="0" xfId="0" applyFont="1" applyAlignment="1">
      <alignment horizontal="right" vertical="center" wrapText="1"/>
    </xf>
    <xf numFmtId="0" fontId="1" fillId="0" borderId="0" xfId="0" applyFont="1" applyAlignment="1">
      <alignment vertical="center"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top" wrapText="1"/>
    </xf>
    <xf numFmtId="0" fontId="1" fillId="0" borderId="0" xfId="0" applyFont="1" applyAlignment="1">
      <alignment horizontal="justify" vertical="justify" wrapText="1"/>
    </xf>
    <xf numFmtId="0" fontId="2"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horizont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right" vertical="center"/>
    </xf>
  </cellXfs>
  <cellStyles count="37">
    <cellStyle name="Moneda" xfId="1" builtinId="4"/>
    <cellStyle name="Moneda 10" xfId="9" xr:uid="{7E4A63D8-251A-4B49-B834-8C4A3FB00766}"/>
    <cellStyle name="Moneda 2" xfId="10" xr:uid="{00683C94-FD87-40CE-818A-ADAE54DB57AF}"/>
    <cellStyle name="Moneda 2 2" xfId="12" xr:uid="{F57EC2AB-17FA-4D56-BFC7-80EDB364577A}"/>
    <cellStyle name="Moneda 2 2 2" xfId="24" xr:uid="{AC129FC2-02C7-48CE-8B59-B5607BCE4265}"/>
    <cellStyle name="Moneda 2 2 3" xfId="30" xr:uid="{55DB436D-C083-4DE6-91ED-4A0E2EE6B1DB}"/>
    <cellStyle name="Moneda 2 2 4" xfId="20" xr:uid="{F86D1EC3-DB10-4C04-B52E-C991E220025F}"/>
    <cellStyle name="Moneda 2 2 5" xfId="35" xr:uid="{AA2EC71E-630F-4C75-8EAF-D518718CDE19}"/>
    <cellStyle name="Moneda 2 3" xfId="22" xr:uid="{9AB49009-DDF0-42F1-8630-08D3D6DD4621}"/>
    <cellStyle name="Moneda 2 3 2" xfId="28" xr:uid="{6C9EF2F1-154F-45FF-B4B8-0DD591C3618A}"/>
    <cellStyle name="Moneda 2 4" xfId="18" xr:uid="{92CEA1E5-0DB0-4F47-BEFF-14724C852276}"/>
    <cellStyle name="Moneda 2 5" xfId="26" xr:uid="{C1E93094-635E-4224-9193-C4CBD9B50C01}"/>
    <cellStyle name="Moneda 2 6" xfId="15" xr:uid="{58FB7A06-1CA8-46B5-A20D-BB13B0D06280}"/>
    <cellStyle name="Moneda 2 7" xfId="33" xr:uid="{CA435ACA-BEE0-4B9D-A226-5FE8FAD8396D}"/>
    <cellStyle name="Moneda 3" xfId="11" xr:uid="{EABCFEF9-3565-4433-A599-3129B8FD8B52}"/>
    <cellStyle name="Moneda 3 2" xfId="23" xr:uid="{C130AD19-C6E4-4866-9029-D896FB16F25B}"/>
    <cellStyle name="Moneda 3 3" xfId="19" xr:uid="{F61B3180-4BAA-4872-8395-05D5B21F2C91}"/>
    <cellStyle name="Moneda 3 4" xfId="29" xr:uid="{2E94EF85-41D9-4246-B8A5-74A24B2A0741}"/>
    <cellStyle name="Moneda 3 5" xfId="16" xr:uid="{3C9A630D-F0E2-460F-8874-D7D754D99A33}"/>
    <cellStyle name="Moneda 3 6" xfId="34" xr:uid="{01B92F0B-53F3-4CA1-A9AF-C48ECDE77825}"/>
    <cellStyle name="Moneda 4" xfId="13" xr:uid="{E1ECC4EC-37CD-43E1-A3BE-36946D5E43B0}"/>
    <cellStyle name="Moneda 4 2" xfId="27" xr:uid="{1A120DDC-1523-44AD-9204-24735515E3D5}"/>
    <cellStyle name="Moneda 4 3" xfId="21" xr:uid="{DE57A3B8-D678-4F7C-A57D-7FD6616D59EA}"/>
    <cellStyle name="Moneda 4 4" xfId="36" xr:uid="{4A85C846-9E6E-4856-BC39-F083C65BD544}"/>
    <cellStyle name="Moneda 5" xfId="17" xr:uid="{54665BA1-A5D4-45F6-A5A0-653C35594BE8}"/>
    <cellStyle name="Moneda 6" xfId="25" xr:uid="{4E87AC68-B2AD-49F6-A762-6AD3A1B95D1B}"/>
    <cellStyle name="Moneda 7" xfId="14" xr:uid="{4340CC78-B8D5-4B51-8A84-25C64E24D2D4}"/>
    <cellStyle name="Moneda 8" xfId="31" xr:uid="{364E5EE2-52EE-4648-AA69-B7DD4D1CE068}"/>
    <cellStyle name="Moneda 9" xfId="32" xr:uid="{75C0ADA9-DD23-4FF7-8E25-B21E62E62CE6}"/>
    <cellStyle name="Normal" xfId="0" builtinId="0"/>
    <cellStyle name="Normal 17 2" xfId="7" xr:uid="{A56FDA9A-CA5C-404D-B2DF-7D056382F0D5}"/>
    <cellStyle name="Normal 2" xfId="2" xr:uid="{0BF4331E-A5A0-40D3-84B7-4DD9B98F3172}"/>
    <cellStyle name="Normal 2 2" xfId="5" xr:uid="{831EF290-9C31-4900-AC30-ADEC982DE70B}"/>
    <cellStyle name="Normal 2 2 2 2" xfId="8" xr:uid="{F84BE529-5670-45A1-806F-41FE4229B278}"/>
    <cellStyle name="Normal 3" xfId="3" xr:uid="{5D8C4F78-0789-41ED-8578-D22C3045EF37}"/>
    <cellStyle name="Normal 3 2" xfId="6" xr:uid="{794ADC17-50B5-4AE9-BEAE-57DF4B5FD1F7}"/>
    <cellStyle name="Normal 32" xfId="4" xr:uid="{8F05D983-89D6-4B03-BF14-0C120C8B62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1"/>
  <sheetViews>
    <sheetView tabSelected="1" topLeftCell="A20" zoomScale="90" zoomScaleNormal="90" workbookViewId="0">
      <selection activeCell="F21" sqref="F21"/>
    </sheetView>
  </sheetViews>
  <sheetFormatPr baseColWidth="10" defaultRowHeight="15"/>
  <cols>
    <col min="1" max="1" width="47.28515625" customWidth="1"/>
    <col min="2" max="2" width="12.42578125" customWidth="1"/>
    <col min="4" max="4" width="11.5703125" customWidth="1"/>
    <col min="5" max="5" width="15.42578125" customWidth="1"/>
    <col min="7" max="7" width="12.28515625" bestFit="1" customWidth="1"/>
  </cols>
  <sheetData>
    <row r="1" spans="1:8">
      <c r="A1" s="29"/>
      <c r="B1" s="29"/>
      <c r="C1" s="29"/>
      <c r="D1" s="29"/>
      <c r="E1" s="29"/>
    </row>
    <row r="2" spans="1:8">
      <c r="A2" s="29"/>
      <c r="B2" s="29"/>
      <c r="C2" s="29"/>
      <c r="D2" s="29"/>
      <c r="E2" s="29"/>
    </row>
    <row r="3" spans="1:8">
      <c r="A3" s="29"/>
      <c r="B3" s="29"/>
      <c r="C3" s="29"/>
      <c r="D3" s="29"/>
      <c r="E3" s="29"/>
    </row>
    <row r="4" spans="1:8">
      <c r="A4" s="29"/>
      <c r="B4" s="29"/>
      <c r="C4" s="29"/>
      <c r="D4" s="29"/>
      <c r="E4" s="29"/>
    </row>
    <row r="5" spans="1:8">
      <c r="A5" s="56" t="s">
        <v>57</v>
      </c>
      <c r="B5" s="56"/>
      <c r="C5" s="56"/>
      <c r="D5" s="56"/>
      <c r="E5" s="57"/>
      <c r="F5" s="5"/>
    </row>
    <row r="6" spans="1:8">
      <c r="A6" s="11"/>
      <c r="B6" s="11"/>
      <c r="C6" s="11"/>
      <c r="D6" s="11"/>
      <c r="E6" s="43"/>
    </row>
    <row r="7" spans="1:8">
      <c r="A7" s="62" t="s">
        <v>47</v>
      </c>
      <c r="B7" s="62"/>
      <c r="C7" s="62"/>
      <c r="D7" s="62"/>
      <c r="E7" s="62"/>
      <c r="F7" s="1"/>
      <c r="G7" s="1"/>
      <c r="H7" s="1"/>
    </row>
    <row r="8" spans="1:8">
      <c r="A8" s="1" t="s">
        <v>0</v>
      </c>
      <c r="B8" s="23"/>
      <c r="C8" s="23"/>
      <c r="D8" s="23"/>
      <c r="E8" s="23"/>
    </row>
    <row r="9" spans="1:8">
      <c r="A9" s="1"/>
      <c r="B9" s="23"/>
      <c r="C9" s="23"/>
      <c r="D9" s="23"/>
      <c r="E9" s="23"/>
    </row>
    <row r="10" spans="1:8">
      <c r="A10" s="58" t="s">
        <v>48</v>
      </c>
      <c r="B10" s="58"/>
      <c r="C10" s="58"/>
      <c r="D10" s="58"/>
      <c r="E10" s="58"/>
    </row>
    <row r="11" spans="1:8" ht="15.75" customHeight="1">
      <c r="A11" s="20"/>
      <c r="B11" s="23"/>
      <c r="C11" s="23"/>
      <c r="D11" s="23"/>
      <c r="E11" s="23"/>
      <c r="F11" s="2"/>
      <c r="G11" s="2"/>
      <c r="H11" s="2"/>
    </row>
    <row r="12" spans="1:8" ht="15" customHeight="1">
      <c r="A12" s="59" t="s">
        <v>62</v>
      </c>
      <c r="B12" s="59"/>
      <c r="C12" s="59"/>
      <c r="D12" s="59"/>
      <c r="E12" s="59"/>
      <c r="F12" s="4"/>
    </row>
    <row r="13" spans="1:8">
      <c r="A13" s="7" t="s">
        <v>61</v>
      </c>
      <c r="B13" s="24"/>
      <c r="C13" s="24"/>
      <c r="D13" s="24"/>
      <c r="E13" s="23"/>
      <c r="F13" s="9"/>
    </row>
    <row r="14" spans="1:8" ht="12" customHeight="1">
      <c r="A14" s="8"/>
      <c r="B14" s="24"/>
      <c r="C14" s="24"/>
      <c r="D14" s="24"/>
      <c r="E14" s="23"/>
      <c r="F14" s="4"/>
      <c r="G14" s="14"/>
    </row>
    <row r="15" spans="1:8" ht="12" customHeight="1">
      <c r="A15" s="60" t="s">
        <v>50</v>
      </c>
      <c r="B15" s="60"/>
      <c r="C15" s="60"/>
      <c r="D15" s="60"/>
      <c r="E15" s="60"/>
      <c r="F15" s="4"/>
      <c r="G15" s="14"/>
    </row>
    <row r="16" spans="1:8">
      <c r="A16" s="19"/>
      <c r="B16" s="19"/>
      <c r="C16" s="19"/>
      <c r="D16" s="19"/>
      <c r="E16" s="19"/>
      <c r="F16" s="4"/>
    </row>
    <row r="17" spans="1:6" ht="26.25" customHeight="1">
      <c r="A17" s="44" t="s">
        <v>18</v>
      </c>
      <c r="B17" s="44" t="s">
        <v>34</v>
      </c>
      <c r="C17" s="44" t="s">
        <v>16</v>
      </c>
      <c r="D17" s="44" t="s">
        <v>25</v>
      </c>
      <c r="E17" s="44" t="s">
        <v>17</v>
      </c>
      <c r="F17" s="4"/>
    </row>
    <row r="18" spans="1:6" ht="210.75" customHeight="1">
      <c r="A18" s="30" t="s">
        <v>49</v>
      </c>
      <c r="B18" s="28" t="s">
        <v>19</v>
      </c>
      <c r="C18" s="34">
        <v>1</v>
      </c>
      <c r="D18" s="41">
        <v>239.9</v>
      </c>
      <c r="E18" s="41">
        <f>C18*D18</f>
        <v>239.9</v>
      </c>
    </row>
    <row r="19" spans="1:6" ht="210.75" customHeight="1">
      <c r="A19" s="32" t="s">
        <v>60</v>
      </c>
      <c r="B19" s="28" t="s">
        <v>19</v>
      </c>
      <c r="C19" s="34">
        <v>1</v>
      </c>
      <c r="D19" s="41">
        <v>319.89999999999998</v>
      </c>
      <c r="E19" s="41">
        <f>C19*D19</f>
        <v>319.89999999999998</v>
      </c>
    </row>
    <row r="20" spans="1:6" ht="81" customHeight="1">
      <c r="A20" s="42"/>
      <c r="B20" s="28"/>
      <c r="C20" s="34"/>
      <c r="D20" s="41"/>
      <c r="E20" s="41"/>
    </row>
    <row r="21" spans="1:6" ht="198.75" customHeight="1">
      <c r="A21" s="49" t="s">
        <v>58</v>
      </c>
      <c r="B21" s="28" t="s">
        <v>19</v>
      </c>
      <c r="C21" s="34">
        <v>1</v>
      </c>
      <c r="D21" s="41">
        <v>159.9</v>
      </c>
      <c r="E21" s="41">
        <f>C21*D21</f>
        <v>159.9</v>
      </c>
    </row>
    <row r="22" spans="1:6" ht="65.25" customHeight="1">
      <c r="A22" s="42"/>
      <c r="B22" s="28"/>
      <c r="C22" s="34"/>
      <c r="D22" s="41"/>
      <c r="E22" s="41"/>
    </row>
    <row r="23" spans="1:6" ht="21.75" customHeight="1">
      <c r="A23" s="32"/>
      <c r="B23" s="28"/>
      <c r="C23" s="34"/>
      <c r="D23" s="41"/>
      <c r="E23" s="41"/>
    </row>
    <row r="24" spans="1:6" ht="21" customHeight="1">
      <c r="A24" s="32"/>
      <c r="B24" s="33"/>
      <c r="C24" s="34"/>
      <c r="D24" s="35"/>
      <c r="E24" s="36"/>
    </row>
    <row r="25" spans="1:6" ht="21.75" customHeight="1">
      <c r="A25" s="32"/>
      <c r="B25" s="37"/>
      <c r="C25" s="13"/>
      <c r="D25" s="3" t="s">
        <v>2</v>
      </c>
      <c r="E25" s="14">
        <f>E18+E19+E21</f>
        <v>719.69999999999993</v>
      </c>
    </row>
    <row r="26" spans="1:6" ht="21.75" customHeight="1">
      <c r="A26" s="32"/>
      <c r="B26" s="37"/>
      <c r="C26" s="13"/>
      <c r="D26" s="3" t="s">
        <v>3</v>
      </c>
      <c r="E26" s="14">
        <f>E25*16%</f>
        <v>115.15199999999999</v>
      </c>
    </row>
    <row r="27" spans="1:6" ht="21.75" customHeight="1">
      <c r="A27" s="7"/>
      <c r="B27" s="11"/>
      <c r="C27" s="12"/>
      <c r="D27" s="3" t="s">
        <v>4</v>
      </c>
      <c r="E27" s="14">
        <f>E25+E26</f>
        <v>834.85199999999986</v>
      </c>
    </row>
    <row r="28" spans="1:6" ht="21.75" customHeight="1">
      <c r="A28" s="7"/>
      <c r="B28" s="11"/>
      <c r="C28" s="12"/>
      <c r="D28" s="3"/>
      <c r="E28" s="14"/>
    </row>
    <row r="29" spans="1:6" ht="21.75" customHeight="1">
      <c r="A29" s="7"/>
      <c r="B29" s="11"/>
      <c r="C29" s="12"/>
      <c r="D29" s="3"/>
      <c r="E29" s="14"/>
    </row>
    <row r="30" spans="1:6" ht="21.75" customHeight="1">
      <c r="A30" s="7"/>
      <c r="B30" s="11"/>
      <c r="C30" s="12"/>
      <c r="D30" s="3"/>
      <c r="E30" s="14"/>
    </row>
    <row r="31" spans="1:6" ht="21.75" customHeight="1">
      <c r="A31" s="7"/>
      <c r="B31" s="11"/>
      <c r="C31" s="12"/>
      <c r="D31" s="3"/>
      <c r="E31" s="14"/>
    </row>
    <row r="32" spans="1:6" ht="21.75" customHeight="1">
      <c r="A32" s="7"/>
      <c r="B32" s="11"/>
      <c r="C32" s="12"/>
      <c r="D32" s="3"/>
      <c r="E32" s="14"/>
    </row>
    <row r="33" spans="1:5" ht="21.75" customHeight="1">
      <c r="A33" s="7"/>
      <c r="B33" s="11"/>
      <c r="C33" s="12"/>
      <c r="D33" s="3"/>
      <c r="E33" s="14"/>
    </row>
    <row r="34" spans="1:5" ht="21.75" customHeight="1">
      <c r="A34" s="7"/>
      <c r="B34" s="11"/>
      <c r="C34" s="12"/>
      <c r="D34" s="3"/>
      <c r="E34" s="14"/>
    </row>
    <row r="35" spans="1:5" ht="21.75" customHeight="1">
      <c r="A35" s="7"/>
      <c r="B35" s="11"/>
      <c r="C35" s="12"/>
      <c r="D35" s="3"/>
      <c r="E35" s="14"/>
    </row>
    <row r="36" spans="1:5" ht="21.75" customHeight="1">
      <c r="A36" s="7"/>
      <c r="B36" s="11"/>
      <c r="C36" s="12"/>
      <c r="D36" s="3"/>
      <c r="E36" s="14"/>
    </row>
    <row r="37" spans="1:5" ht="21.75" customHeight="1">
      <c r="A37" s="7"/>
      <c r="B37" s="11"/>
      <c r="C37" s="12"/>
      <c r="D37" s="3"/>
      <c r="E37" s="14"/>
    </row>
    <row r="38" spans="1:5" ht="21.75" customHeight="1">
      <c r="A38" s="7"/>
      <c r="B38" s="11"/>
      <c r="C38" s="12"/>
      <c r="D38" s="3"/>
      <c r="E38" s="14"/>
    </row>
    <row r="39" spans="1:5" ht="21.75" customHeight="1">
      <c r="A39" s="7"/>
      <c r="B39" s="11"/>
      <c r="C39" s="12"/>
      <c r="D39" s="3"/>
      <c r="E39" s="14"/>
    </row>
    <row r="40" spans="1:5" ht="21.75" customHeight="1">
      <c r="A40" s="7"/>
      <c r="B40" s="11"/>
      <c r="C40" s="12"/>
      <c r="D40" s="3"/>
      <c r="E40" s="14"/>
    </row>
    <row r="41" spans="1:5">
      <c r="A41" s="3"/>
      <c r="B41" s="19"/>
      <c r="C41" s="3"/>
      <c r="D41" s="3"/>
      <c r="E41" s="45"/>
    </row>
    <row r="42" spans="1:5">
      <c r="A42" s="3"/>
      <c r="B42" s="19"/>
      <c r="C42" s="3"/>
      <c r="D42" s="3"/>
      <c r="E42" s="45"/>
    </row>
    <row r="43" spans="1:5">
      <c r="A43" s="3"/>
      <c r="B43" s="19"/>
      <c r="C43" s="3"/>
      <c r="D43" s="3"/>
      <c r="E43" s="45"/>
    </row>
    <row r="44" spans="1:5">
      <c r="A44" s="3"/>
      <c r="B44" s="19"/>
      <c r="C44" s="3"/>
      <c r="D44" s="3"/>
      <c r="E44" s="45"/>
    </row>
    <row r="45" spans="1:5" ht="16.5" customHeight="1">
      <c r="A45" s="61" t="s">
        <v>59</v>
      </c>
      <c r="B45" s="61"/>
      <c r="C45" s="61"/>
      <c r="D45" s="61"/>
      <c r="E45" s="61"/>
    </row>
    <row r="46" spans="1:5">
      <c r="A46" s="59" t="s">
        <v>63</v>
      </c>
      <c r="B46" s="59"/>
      <c r="C46" s="59"/>
      <c r="D46" s="59"/>
      <c r="E46" s="45"/>
    </row>
    <row r="47" spans="1:5" ht="12.75" customHeight="1">
      <c r="A47" s="46"/>
      <c r="B47" s="46"/>
      <c r="C47" s="46"/>
      <c r="D47" s="46"/>
      <c r="E47" s="45"/>
    </row>
    <row r="48" spans="1:5" ht="12.75" customHeight="1">
      <c r="A48" s="63" t="s">
        <v>5</v>
      </c>
      <c r="B48" s="63"/>
      <c r="C48" s="63"/>
      <c r="D48" s="63"/>
      <c r="E48" s="63"/>
    </row>
    <row r="49" spans="1:5" ht="63" customHeight="1">
      <c r="A49" s="50" t="s">
        <v>51</v>
      </c>
      <c r="B49" s="50"/>
      <c r="C49" s="50"/>
      <c r="D49" s="50"/>
      <c r="E49" s="50"/>
    </row>
    <row r="50" spans="1:5" ht="29.25" customHeight="1">
      <c r="A50" s="64" t="s">
        <v>6</v>
      </c>
      <c r="B50" s="65"/>
      <c r="C50" s="65"/>
      <c r="D50" s="65"/>
      <c r="E50" s="65"/>
    </row>
    <row r="51" spans="1:5" ht="28.5" customHeight="1">
      <c r="A51" s="50" t="s">
        <v>7</v>
      </c>
      <c r="B51" s="50"/>
      <c r="C51" s="50"/>
      <c r="D51" s="50"/>
      <c r="E51" s="50"/>
    </row>
    <row r="52" spans="1:5" ht="34.5" customHeight="1">
      <c r="A52" s="52" t="s">
        <v>52</v>
      </c>
      <c r="B52" s="52"/>
      <c r="C52" s="52"/>
      <c r="D52" s="52"/>
      <c r="E52" s="52"/>
    </row>
    <row r="53" spans="1:5" ht="46.5" customHeight="1">
      <c r="A53" s="52" t="s">
        <v>8</v>
      </c>
      <c r="B53" s="52"/>
      <c r="C53" s="52"/>
      <c r="D53" s="52"/>
      <c r="E53" s="52"/>
    </row>
    <row r="54" spans="1:5" ht="22.5" customHeight="1">
      <c r="A54" s="52" t="s">
        <v>9</v>
      </c>
      <c r="B54" s="52"/>
      <c r="C54" s="52"/>
      <c r="D54" s="52"/>
      <c r="E54" s="52"/>
    </row>
    <row r="55" spans="1:5" ht="61.5" customHeight="1">
      <c r="A55" s="50" t="s">
        <v>10</v>
      </c>
      <c r="B55" s="50"/>
      <c r="C55" s="50"/>
      <c r="D55" s="50"/>
      <c r="E55" s="50"/>
    </row>
    <row r="56" spans="1:5" ht="18.75" customHeight="1">
      <c r="A56" s="50" t="s">
        <v>11</v>
      </c>
      <c r="B56" s="50"/>
      <c r="C56" s="50"/>
      <c r="D56" s="50"/>
      <c r="E56" s="50"/>
    </row>
    <row r="57" spans="1:5" ht="47.25" customHeight="1">
      <c r="A57" s="50" t="s">
        <v>12</v>
      </c>
      <c r="B57" s="50"/>
      <c r="C57" s="50"/>
      <c r="D57" s="50"/>
      <c r="E57" s="50"/>
    </row>
    <row r="58" spans="1:5" ht="29.25" customHeight="1">
      <c r="A58" s="51" t="s">
        <v>13</v>
      </c>
      <c r="B58" s="51"/>
      <c r="C58" s="51"/>
      <c r="D58" s="51"/>
      <c r="E58" s="51"/>
    </row>
    <row r="59" spans="1:5" ht="58.5" customHeight="1">
      <c r="A59" s="52" t="s">
        <v>53</v>
      </c>
      <c r="B59" s="52"/>
      <c r="C59" s="52"/>
      <c r="D59" s="52"/>
      <c r="E59" s="52"/>
    </row>
    <row r="60" spans="1:5" ht="15" customHeight="1">
      <c r="A60" s="50" t="s">
        <v>14</v>
      </c>
      <c r="B60" s="50"/>
      <c r="C60" s="50"/>
      <c r="D60" s="50"/>
      <c r="E60" s="50"/>
    </row>
    <row r="61" spans="1:5">
      <c r="A61" s="8" t="s">
        <v>15</v>
      </c>
      <c r="B61" s="24"/>
      <c r="C61" s="24"/>
      <c r="D61" s="24"/>
      <c r="E61" s="45"/>
    </row>
    <row r="62" spans="1:5">
      <c r="A62" s="38" t="s">
        <v>20</v>
      </c>
      <c r="B62" s="55" t="s">
        <v>46</v>
      </c>
      <c r="C62" s="55"/>
      <c r="D62" s="55"/>
      <c r="E62" s="54"/>
    </row>
    <row r="63" spans="1:5">
      <c r="A63" s="8"/>
      <c r="B63" s="24"/>
      <c r="C63" s="24"/>
      <c r="D63" s="24"/>
      <c r="E63" s="45"/>
    </row>
    <row r="64" spans="1:5">
      <c r="A64" s="15" t="s">
        <v>56</v>
      </c>
      <c r="B64" s="24"/>
      <c r="C64" s="24"/>
      <c r="D64" s="24"/>
      <c r="E64" s="45"/>
    </row>
    <row r="65" spans="1:5">
      <c r="A65" s="16" t="s">
        <v>55</v>
      </c>
      <c r="B65" s="24"/>
      <c r="C65" s="53" t="s">
        <v>54</v>
      </c>
      <c r="D65" s="54"/>
      <c r="E65" s="54"/>
    </row>
    <row r="66" spans="1:5">
      <c r="A66" s="16"/>
      <c r="B66" s="24"/>
      <c r="C66" s="24"/>
      <c r="D66" s="24"/>
      <c r="E66" s="45"/>
    </row>
    <row r="67" spans="1:5">
      <c r="A67" s="33"/>
      <c r="B67" s="24"/>
      <c r="C67" s="24"/>
      <c r="D67" s="24"/>
      <c r="E67" s="45"/>
    </row>
    <row r="68" spans="1:5">
      <c r="A68" s="23"/>
      <c r="B68" s="23"/>
      <c r="C68" s="23"/>
      <c r="D68" s="23"/>
      <c r="E68" s="45"/>
    </row>
    <row r="69" spans="1:5">
      <c r="A69" s="45"/>
      <c r="B69" s="45"/>
      <c r="C69" s="47"/>
      <c r="D69" s="48"/>
      <c r="E69" s="45"/>
    </row>
    <row r="70" spans="1:5">
      <c r="A70" s="45"/>
      <c r="B70" s="45"/>
      <c r="C70" s="47"/>
      <c r="D70" s="48"/>
      <c r="E70" s="45"/>
    </row>
    <row r="71" spans="1:5">
      <c r="A71" s="45"/>
      <c r="B71" s="45"/>
      <c r="C71" s="47"/>
      <c r="D71" s="48"/>
      <c r="E71" s="45"/>
    </row>
    <row r="72" spans="1:5">
      <c r="A72" s="45"/>
      <c r="B72" s="45"/>
      <c r="C72" s="47"/>
      <c r="D72" s="48"/>
      <c r="E72" s="45"/>
    </row>
    <row r="73" spans="1:5">
      <c r="A73" s="45"/>
      <c r="B73" s="45"/>
      <c r="C73" s="47"/>
      <c r="D73" s="48"/>
      <c r="E73" s="45"/>
    </row>
    <row r="74" spans="1:5">
      <c r="A74" s="45"/>
      <c r="B74" s="45"/>
      <c r="C74" s="47"/>
      <c r="D74" s="48"/>
      <c r="E74" s="45"/>
    </row>
    <row r="75" spans="1:5">
      <c r="A75" s="45"/>
      <c r="B75" s="45"/>
      <c r="C75" s="47"/>
      <c r="D75" s="48"/>
      <c r="E75" s="45"/>
    </row>
    <row r="76" spans="1:5">
      <c r="A76" s="45"/>
      <c r="B76" s="45"/>
      <c r="C76" s="47"/>
      <c r="D76" s="48"/>
      <c r="E76" s="45"/>
    </row>
    <row r="77" spans="1:5">
      <c r="A77" s="45"/>
      <c r="B77" s="45"/>
      <c r="C77" s="47"/>
      <c r="D77" s="48"/>
      <c r="E77" s="45"/>
    </row>
    <row r="78" spans="1:5">
      <c r="A78" s="45"/>
      <c r="B78" s="45"/>
      <c r="C78" s="47"/>
      <c r="D78" s="48"/>
      <c r="E78" s="45"/>
    </row>
    <row r="79" spans="1:5">
      <c r="A79" s="45"/>
      <c r="B79" s="45"/>
      <c r="C79" s="47"/>
      <c r="D79" s="48"/>
      <c r="E79" s="45"/>
    </row>
    <row r="80" spans="1:5">
      <c r="A80" s="45"/>
      <c r="B80" s="45"/>
      <c r="C80" s="47"/>
      <c r="D80" s="48"/>
      <c r="E80" s="45"/>
    </row>
    <row r="81" spans="1:5">
      <c r="A81" s="45"/>
      <c r="B81" s="45"/>
      <c r="C81" s="47"/>
      <c r="D81" s="48"/>
      <c r="E81" s="45"/>
    </row>
    <row r="82" spans="1:5">
      <c r="A82" s="45"/>
      <c r="B82" s="45"/>
      <c r="C82" s="47"/>
      <c r="D82" s="48"/>
      <c r="E82" s="45"/>
    </row>
    <row r="83" spans="1:5">
      <c r="A83" s="45"/>
      <c r="B83" s="45"/>
      <c r="C83" s="47"/>
      <c r="D83" s="48"/>
      <c r="E83" s="45"/>
    </row>
    <row r="84" spans="1:5">
      <c r="A84" s="45"/>
      <c r="B84" s="45"/>
      <c r="C84" s="47"/>
      <c r="D84" s="48"/>
      <c r="E84" s="45"/>
    </row>
    <row r="85" spans="1:5">
      <c r="A85" s="45"/>
      <c r="B85" s="45"/>
      <c r="C85" s="47"/>
      <c r="D85" s="48"/>
      <c r="E85" s="45"/>
    </row>
    <row r="86" spans="1:5">
      <c r="A86" s="45"/>
      <c r="B86" s="45"/>
      <c r="C86" s="47"/>
      <c r="D86" s="48"/>
      <c r="E86" s="45"/>
    </row>
    <row r="87" spans="1:5">
      <c r="A87" s="45"/>
      <c r="B87" s="45"/>
      <c r="C87" s="47"/>
      <c r="D87" s="48"/>
      <c r="E87" s="45"/>
    </row>
    <row r="88" spans="1:5">
      <c r="A88" s="45"/>
      <c r="B88" s="45"/>
      <c r="C88" s="47"/>
      <c r="D88" s="48"/>
      <c r="E88" s="45"/>
    </row>
    <row r="89" spans="1:5">
      <c r="A89" s="45"/>
      <c r="B89" s="45"/>
      <c r="C89" s="47"/>
      <c r="D89" s="48"/>
      <c r="E89" s="45"/>
    </row>
    <row r="90" spans="1:5">
      <c r="A90" s="45"/>
      <c r="B90" s="45"/>
      <c r="C90" s="47"/>
      <c r="D90" s="48"/>
      <c r="E90" s="45"/>
    </row>
    <row r="91" spans="1:5">
      <c r="A91" s="45"/>
      <c r="B91" s="45"/>
      <c r="C91" s="47"/>
      <c r="D91" s="48"/>
      <c r="E91" s="45"/>
    </row>
    <row r="92" spans="1:5">
      <c r="A92" s="45"/>
      <c r="B92" s="45"/>
      <c r="C92" s="47"/>
      <c r="D92" s="48"/>
      <c r="E92" s="45"/>
    </row>
    <row r="93" spans="1:5">
      <c r="A93" s="45"/>
      <c r="B93" s="45"/>
      <c r="C93" s="47"/>
      <c r="D93" s="48"/>
      <c r="E93" s="45"/>
    </row>
    <row r="94" spans="1:5">
      <c r="A94" s="45"/>
      <c r="B94" s="45"/>
      <c r="C94" s="47"/>
      <c r="D94" s="48"/>
      <c r="E94" s="45"/>
    </row>
    <row r="95" spans="1:5">
      <c r="A95" s="45"/>
      <c r="B95" s="45"/>
      <c r="C95" s="47"/>
      <c r="D95" s="48"/>
      <c r="E95" s="45"/>
    </row>
    <row r="96" spans="1:5">
      <c r="A96" s="45"/>
      <c r="B96" s="45"/>
      <c r="C96" s="47"/>
      <c r="D96" s="48"/>
      <c r="E96" s="45"/>
    </row>
    <row r="97" spans="1:5">
      <c r="A97" s="45"/>
      <c r="B97" s="45"/>
      <c r="C97" s="47"/>
      <c r="D97" s="48"/>
      <c r="E97" s="45"/>
    </row>
    <row r="98" spans="1:5">
      <c r="A98" s="45"/>
      <c r="B98" s="45"/>
      <c r="C98" s="47"/>
      <c r="D98" s="48"/>
      <c r="E98" s="45"/>
    </row>
    <row r="99" spans="1:5">
      <c r="A99" s="45"/>
      <c r="B99" s="45"/>
      <c r="C99" s="47"/>
      <c r="D99" s="48"/>
      <c r="E99" s="45"/>
    </row>
    <row r="100" spans="1:5">
      <c r="A100" s="45"/>
      <c r="B100" s="45"/>
      <c r="C100" s="47"/>
      <c r="D100" s="48"/>
      <c r="E100" s="45"/>
    </row>
    <row r="101" spans="1:5">
      <c r="A101" s="45"/>
      <c r="B101" s="45"/>
      <c r="C101" s="47"/>
      <c r="D101" s="48"/>
      <c r="E101" s="45"/>
    </row>
    <row r="102" spans="1:5">
      <c r="A102" s="45"/>
      <c r="B102" s="45"/>
      <c r="C102" s="47"/>
      <c r="D102" s="48"/>
      <c r="E102" s="45"/>
    </row>
    <row r="103" spans="1:5">
      <c r="A103" s="45"/>
      <c r="B103" s="45"/>
      <c r="C103" s="47"/>
      <c r="D103" s="48"/>
      <c r="E103" s="45"/>
    </row>
    <row r="104" spans="1:5">
      <c r="A104" s="45"/>
      <c r="B104" s="45"/>
      <c r="C104" s="47"/>
      <c r="D104" s="48"/>
      <c r="E104" s="45"/>
    </row>
    <row r="105" spans="1:5">
      <c r="A105" s="45"/>
      <c r="B105" s="45"/>
      <c r="C105" s="47"/>
      <c r="D105" s="48"/>
      <c r="E105" s="45"/>
    </row>
    <row r="106" spans="1:5">
      <c r="A106" s="45"/>
      <c r="B106" s="45"/>
      <c r="C106" s="47"/>
      <c r="D106" s="48"/>
      <c r="E106" s="45"/>
    </row>
    <row r="107" spans="1:5">
      <c r="A107" s="45"/>
      <c r="B107" s="45"/>
      <c r="C107" s="47"/>
      <c r="D107" s="48"/>
      <c r="E107" s="45"/>
    </row>
    <row r="108" spans="1:5">
      <c r="A108" s="45"/>
      <c r="B108" s="45"/>
      <c r="C108" s="47"/>
      <c r="D108" s="48"/>
      <c r="E108" s="45"/>
    </row>
    <row r="109" spans="1:5">
      <c r="A109" s="45"/>
      <c r="B109" s="45"/>
      <c r="C109" s="47"/>
      <c r="D109" s="48"/>
      <c r="E109" s="45"/>
    </row>
    <row r="110" spans="1:5">
      <c r="A110" s="45"/>
      <c r="B110" s="45"/>
      <c r="C110" s="47"/>
      <c r="D110" s="48"/>
      <c r="E110" s="45"/>
    </row>
    <row r="111" spans="1:5">
      <c r="A111" s="31"/>
      <c r="B111" s="31"/>
      <c r="C111" s="39"/>
      <c r="D111" s="40"/>
      <c r="E111" s="31"/>
    </row>
    <row r="112" spans="1:5">
      <c r="A112" s="31"/>
      <c r="B112" s="31"/>
      <c r="C112" s="39"/>
      <c r="D112" s="40"/>
      <c r="E112" s="31"/>
    </row>
    <row r="113" spans="1:5">
      <c r="A113" s="31"/>
      <c r="B113" s="31"/>
      <c r="C113" s="39"/>
      <c r="D113" s="40"/>
      <c r="E113" s="31"/>
    </row>
    <row r="114" spans="1:5">
      <c r="A114" s="31"/>
      <c r="B114" s="31"/>
      <c r="C114" s="39"/>
      <c r="D114" s="40"/>
      <c r="E114" s="31"/>
    </row>
    <row r="115" spans="1:5">
      <c r="A115" s="31"/>
      <c r="B115" s="31"/>
      <c r="C115" s="39"/>
      <c r="D115" s="40"/>
      <c r="E115" s="31"/>
    </row>
    <row r="116" spans="1:5">
      <c r="A116" s="31"/>
      <c r="B116" s="31"/>
      <c r="C116" s="39"/>
      <c r="D116" s="40"/>
      <c r="E116" s="31"/>
    </row>
    <row r="117" spans="1:5">
      <c r="A117" s="31"/>
      <c r="B117" s="31"/>
      <c r="C117" s="39"/>
      <c r="D117" s="40"/>
      <c r="E117" s="31"/>
    </row>
    <row r="118" spans="1:5">
      <c r="A118" s="31"/>
      <c r="B118" s="31"/>
      <c r="C118" s="39"/>
      <c r="D118" s="40"/>
      <c r="E118" s="31"/>
    </row>
    <row r="119" spans="1:5">
      <c r="A119" s="31"/>
      <c r="B119" s="31"/>
      <c r="C119" s="39"/>
      <c r="D119" s="40"/>
      <c r="E119" s="31"/>
    </row>
    <row r="120" spans="1:5">
      <c r="A120" s="31"/>
      <c r="B120" s="31"/>
      <c r="C120" s="39"/>
      <c r="D120" s="40"/>
      <c r="E120" s="31"/>
    </row>
    <row r="121" spans="1:5">
      <c r="A121" s="31"/>
      <c r="B121" s="31"/>
      <c r="C121" s="39"/>
      <c r="D121" s="40"/>
      <c r="E121" s="31"/>
    </row>
    <row r="122" spans="1:5">
      <c r="A122" s="31"/>
      <c r="B122" s="31"/>
      <c r="C122" s="39"/>
      <c r="D122" s="40"/>
      <c r="E122" s="31"/>
    </row>
    <row r="123" spans="1:5">
      <c r="A123" s="31"/>
      <c r="B123" s="31"/>
      <c r="C123" s="39"/>
      <c r="D123" s="40"/>
      <c r="E123" s="31"/>
    </row>
    <row r="124" spans="1:5">
      <c r="A124" s="31"/>
      <c r="B124" s="31"/>
      <c r="C124" s="39"/>
      <c r="D124" s="40"/>
      <c r="E124" s="31"/>
    </row>
    <row r="125" spans="1:5">
      <c r="A125" s="31"/>
      <c r="B125" s="31"/>
      <c r="C125" s="39"/>
      <c r="D125" s="40"/>
      <c r="E125" s="31"/>
    </row>
    <row r="126" spans="1:5">
      <c r="A126" s="31"/>
      <c r="B126" s="31"/>
      <c r="C126" s="39"/>
      <c r="D126" s="40"/>
      <c r="E126" s="31"/>
    </row>
    <row r="127" spans="1:5">
      <c r="A127" s="31"/>
      <c r="B127" s="31"/>
      <c r="C127" s="39"/>
      <c r="D127" s="40"/>
      <c r="E127" s="31"/>
    </row>
    <row r="128" spans="1:5">
      <c r="A128" s="31"/>
      <c r="B128" s="31"/>
      <c r="C128" s="39"/>
      <c r="D128" s="40"/>
      <c r="E128" s="31"/>
    </row>
    <row r="129" spans="1:5">
      <c r="A129" s="31"/>
      <c r="B129" s="31"/>
      <c r="C129" s="39"/>
      <c r="D129" s="40"/>
      <c r="E129" s="31"/>
    </row>
    <row r="130" spans="1:5">
      <c r="A130" s="31"/>
      <c r="B130" s="31"/>
      <c r="C130" s="39"/>
      <c r="D130" s="40"/>
      <c r="E130" s="31"/>
    </row>
    <row r="131" spans="1:5">
      <c r="A131" s="31"/>
      <c r="B131" s="31"/>
      <c r="C131" s="39"/>
      <c r="D131" s="40"/>
      <c r="E131" s="31"/>
    </row>
  </sheetData>
  <mergeCells count="22">
    <mergeCell ref="C65:E65"/>
    <mergeCell ref="B62:E62"/>
    <mergeCell ref="A5:E5"/>
    <mergeCell ref="A10:E10"/>
    <mergeCell ref="A12:E12"/>
    <mergeCell ref="A15:E15"/>
    <mergeCell ref="A45:E45"/>
    <mergeCell ref="A7:E7"/>
    <mergeCell ref="A46:D46"/>
    <mergeCell ref="A48:E48"/>
    <mergeCell ref="A50:E50"/>
    <mergeCell ref="A52:E52"/>
    <mergeCell ref="A54:E54"/>
    <mergeCell ref="A49:E49"/>
    <mergeCell ref="A51:E51"/>
    <mergeCell ref="A53:E53"/>
    <mergeCell ref="A60:E60"/>
    <mergeCell ref="A55:E55"/>
    <mergeCell ref="A56:E56"/>
    <mergeCell ref="A57:E57"/>
    <mergeCell ref="A58:E58"/>
    <mergeCell ref="A59:E59"/>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opLeftCell="A7" zoomScaleNormal="100" zoomScalePageLayoutView="50" workbookViewId="0">
      <selection activeCell="G32" sqref="G32"/>
    </sheetView>
  </sheetViews>
  <sheetFormatPr baseColWidth="10" defaultRowHeight="15"/>
  <cols>
    <col min="1" max="1" width="5.85546875" style="18" customWidth="1"/>
    <col min="2" max="2" width="52.140625" customWidth="1"/>
    <col min="3" max="3" width="14.28515625" customWidth="1"/>
    <col min="4" max="4" width="11.42578125" customWidth="1"/>
    <col min="5" max="5" width="9.85546875" bestFit="1" customWidth="1"/>
    <col min="6" max="6" width="10.85546875" customWidth="1"/>
  </cols>
  <sheetData>
    <row r="4" spans="2:6">
      <c r="B4" s="23"/>
      <c r="C4" s="23"/>
      <c r="D4" s="23"/>
      <c r="E4" s="23"/>
      <c r="F4" s="23"/>
    </row>
    <row r="5" spans="2:6">
      <c r="B5" s="23"/>
      <c r="C5" s="23"/>
      <c r="D5" s="23"/>
      <c r="E5" s="23"/>
      <c r="F5" s="23"/>
    </row>
    <row r="6" spans="2:6">
      <c r="B6" s="23"/>
      <c r="C6" s="23"/>
      <c r="D6" s="23"/>
      <c r="E6" s="23"/>
      <c r="F6" s="23"/>
    </row>
    <row r="7" spans="2:6">
      <c r="B7" s="23"/>
      <c r="C7" s="23"/>
      <c r="D7" s="23"/>
      <c r="E7" s="23"/>
      <c r="F7" s="23"/>
    </row>
    <row r="8" spans="2:6">
      <c r="B8" s="23"/>
      <c r="C8" s="23"/>
      <c r="D8" s="23"/>
      <c r="E8" s="23"/>
      <c r="F8" s="23"/>
    </row>
    <row r="9" spans="2:6">
      <c r="B9" s="70" t="s">
        <v>36</v>
      </c>
      <c r="C9" s="70"/>
      <c r="D9" s="70"/>
      <c r="E9" s="70"/>
      <c r="F9" s="70"/>
    </row>
    <row r="10" spans="2:6">
      <c r="B10" s="1"/>
      <c r="C10" s="1"/>
      <c r="D10" s="23"/>
      <c r="E10" s="23"/>
      <c r="F10" s="23"/>
    </row>
    <row r="11" spans="2:6">
      <c r="B11" s="1" t="s">
        <v>0</v>
      </c>
      <c r="C11" s="1"/>
      <c r="D11" s="23"/>
      <c r="E11" s="23"/>
      <c r="F11" s="23"/>
    </row>
    <row r="12" spans="2:6">
      <c r="B12" s="1"/>
      <c r="C12" s="1"/>
      <c r="D12" s="23"/>
      <c r="E12" s="23"/>
      <c r="F12" s="23"/>
    </row>
    <row r="13" spans="2:6">
      <c r="B13" s="58" t="s">
        <v>37</v>
      </c>
      <c r="C13" s="58"/>
      <c r="D13" s="58"/>
      <c r="E13" s="58"/>
      <c r="F13" s="58"/>
    </row>
    <row r="14" spans="2:6">
      <c r="B14" s="59"/>
      <c r="C14" s="59"/>
      <c r="D14" s="59"/>
      <c r="E14" s="59"/>
      <c r="F14" s="59"/>
    </row>
    <row r="15" spans="2:6">
      <c r="B15" s="21"/>
      <c r="C15" s="21"/>
      <c r="D15" s="21"/>
      <c r="E15" s="21"/>
      <c r="F15" s="21"/>
    </row>
    <row r="16" spans="2:6" ht="12.75" customHeight="1">
      <c r="B16" s="7" t="s">
        <v>38</v>
      </c>
      <c r="C16" s="7"/>
      <c r="D16" s="24"/>
      <c r="E16" s="24"/>
      <c r="F16" s="24"/>
    </row>
    <row r="17" spans="2:6" ht="12.75" customHeight="1">
      <c r="B17" s="7"/>
      <c r="C17" s="7"/>
      <c r="D17" s="24"/>
      <c r="E17" s="24"/>
      <c r="F17" s="24"/>
    </row>
    <row r="18" spans="2:6" ht="13.5" customHeight="1">
      <c r="B18" s="8" t="s">
        <v>1</v>
      </c>
      <c r="C18" s="8"/>
      <c r="D18" s="24"/>
      <c r="E18" s="24"/>
      <c r="F18" s="24"/>
    </row>
    <row r="19" spans="2:6" ht="21.75" customHeight="1">
      <c r="B19" s="61" t="s">
        <v>21</v>
      </c>
      <c r="C19" s="61"/>
      <c r="D19" s="61"/>
      <c r="E19" s="61"/>
      <c r="F19" s="61"/>
    </row>
    <row r="20" spans="2:6" ht="21.75" customHeight="1">
      <c r="B20" s="30"/>
      <c r="C20" s="30"/>
      <c r="D20" s="30"/>
      <c r="E20" s="30"/>
      <c r="F20" s="30"/>
    </row>
    <row r="21" spans="2:6">
      <c r="B21" s="7" t="s">
        <v>18</v>
      </c>
      <c r="C21" s="7"/>
      <c r="D21" s="21" t="s">
        <v>16</v>
      </c>
      <c r="E21" s="21" t="s">
        <v>25</v>
      </c>
      <c r="F21" s="20" t="s">
        <v>17</v>
      </c>
    </row>
    <row r="22" spans="2:6">
      <c r="B22" s="7"/>
      <c r="C22" s="7"/>
      <c r="D22" s="21"/>
      <c r="E22" s="21"/>
      <c r="F22" s="20"/>
    </row>
    <row r="23" spans="2:6">
      <c r="B23" s="7"/>
      <c r="C23" s="7"/>
      <c r="D23" s="20"/>
      <c r="E23" s="20"/>
      <c r="F23" s="20"/>
    </row>
    <row r="24" spans="2:6" ht="30" customHeight="1">
      <c r="B24" s="6" t="s">
        <v>39</v>
      </c>
      <c r="C24" s="26" t="s">
        <v>23</v>
      </c>
      <c r="D24" s="28">
        <v>20</v>
      </c>
      <c r="E24" s="25">
        <v>2300.3000000000002</v>
      </c>
      <c r="F24" s="13">
        <f>D24*E24</f>
        <v>46006</v>
      </c>
    </row>
    <row r="25" spans="2:6" ht="16.5" customHeight="1">
      <c r="B25" s="6"/>
      <c r="C25" s="26"/>
      <c r="D25" s="28"/>
      <c r="E25" s="25" t="s">
        <v>44</v>
      </c>
      <c r="F25" s="13">
        <f>F24*16%</f>
        <v>7360.96</v>
      </c>
    </row>
    <row r="26" spans="2:6" ht="16.5" customHeight="1">
      <c r="B26" s="6"/>
      <c r="C26" s="26"/>
      <c r="D26" s="28"/>
      <c r="E26" s="25" t="s">
        <v>45</v>
      </c>
      <c r="F26" s="13">
        <f>F24+F25</f>
        <v>53366.96</v>
      </c>
    </row>
    <row r="27" spans="2:6" ht="24">
      <c r="B27" s="6" t="s">
        <v>40</v>
      </c>
      <c r="C27" s="26" t="s">
        <v>23</v>
      </c>
      <c r="D27" s="28">
        <v>20</v>
      </c>
      <c r="E27" s="25">
        <v>1418.25</v>
      </c>
      <c r="F27" s="13">
        <f>D27*E27</f>
        <v>28365</v>
      </c>
    </row>
    <row r="28" spans="2:6">
      <c r="B28" s="6"/>
      <c r="C28" s="26"/>
      <c r="D28" s="28"/>
      <c r="E28" s="25" t="s">
        <v>44</v>
      </c>
      <c r="F28" s="13">
        <f>F27*16%</f>
        <v>4538.4000000000005</v>
      </c>
    </row>
    <row r="29" spans="2:6">
      <c r="B29" s="6"/>
      <c r="C29" s="26"/>
      <c r="D29" s="28"/>
      <c r="E29" s="25" t="s">
        <v>45</v>
      </c>
      <c r="F29" s="13">
        <f>F27+F28</f>
        <v>32903.4</v>
      </c>
    </row>
    <row r="30" spans="2:6">
      <c r="B30" s="6"/>
      <c r="C30" s="26"/>
      <c r="D30" s="28"/>
      <c r="E30" s="25"/>
      <c r="F30" s="13"/>
    </row>
    <row r="31" spans="2:6" ht="24">
      <c r="B31" s="6" t="s">
        <v>43</v>
      </c>
      <c r="C31" s="26" t="s">
        <v>23</v>
      </c>
      <c r="D31" s="28">
        <v>20</v>
      </c>
      <c r="E31" s="25">
        <v>750.46</v>
      </c>
      <c r="F31" s="13">
        <f>D31*E31</f>
        <v>15009.2</v>
      </c>
    </row>
    <row r="32" spans="2:6">
      <c r="B32" s="10" t="s">
        <v>35</v>
      </c>
      <c r="C32" s="10"/>
      <c r="D32" s="11"/>
      <c r="E32" s="25" t="s">
        <v>44</v>
      </c>
      <c r="F32" s="13">
        <f>F31*16%</f>
        <v>2401.4720000000002</v>
      </c>
    </row>
    <row r="33" spans="2:8">
      <c r="B33" s="3"/>
      <c r="C33" s="3"/>
      <c r="D33" s="11"/>
      <c r="E33" s="12" t="s">
        <v>45</v>
      </c>
      <c r="F33" s="13">
        <f>F31+F32</f>
        <v>17410.672000000002</v>
      </c>
    </row>
    <row r="34" spans="2:8">
      <c r="B34" s="3"/>
      <c r="C34" s="3"/>
      <c r="D34" s="24"/>
      <c r="E34" s="3"/>
      <c r="F34" s="14"/>
    </row>
    <row r="35" spans="2:8">
      <c r="B35" s="3"/>
      <c r="C35" s="3"/>
      <c r="D35" s="3"/>
      <c r="E35" s="3"/>
      <c r="F35" s="14"/>
    </row>
    <row r="36" spans="2:8">
      <c r="B36" s="3"/>
      <c r="C36" s="3"/>
      <c r="D36" s="19"/>
      <c r="E36" s="3"/>
      <c r="F36" s="14"/>
    </row>
    <row r="37" spans="2:8">
      <c r="B37" s="3"/>
      <c r="C37" s="3"/>
      <c r="D37" s="19"/>
      <c r="E37" s="3"/>
      <c r="F37" s="14"/>
    </row>
    <row r="38" spans="2:8">
      <c r="B38" s="1" t="s">
        <v>22</v>
      </c>
      <c r="C38" s="1"/>
      <c r="D38" s="23"/>
      <c r="E38" s="23"/>
      <c r="F38" s="23"/>
    </row>
    <row r="39" spans="2:8" ht="39" customHeight="1">
      <c r="B39" s="61" t="s">
        <v>26</v>
      </c>
      <c r="C39" s="61"/>
      <c r="D39" s="61"/>
      <c r="E39" s="61"/>
      <c r="F39" s="61"/>
    </row>
    <row r="40" spans="2:8" ht="17.25" customHeight="1">
      <c r="B40" s="61" t="s">
        <v>27</v>
      </c>
      <c r="C40" s="61"/>
      <c r="D40" s="61"/>
      <c r="E40" s="61"/>
      <c r="F40" s="61"/>
    </row>
    <row r="41" spans="2:8" ht="15" customHeight="1">
      <c r="B41" s="61" t="s">
        <v>28</v>
      </c>
      <c r="C41" s="61"/>
      <c r="D41" s="61"/>
      <c r="E41" s="61"/>
      <c r="F41" s="61"/>
    </row>
    <row r="42" spans="2:8" ht="18" customHeight="1">
      <c r="B42" s="61" t="s">
        <v>29</v>
      </c>
      <c r="C42" s="61"/>
      <c r="D42" s="61"/>
      <c r="E42" s="61"/>
      <c r="F42" s="61"/>
    </row>
    <row r="43" spans="2:8" ht="96.75" customHeight="1">
      <c r="B43" s="61" t="s">
        <v>30</v>
      </c>
      <c r="C43" s="61"/>
      <c r="D43" s="61"/>
      <c r="E43" s="61"/>
      <c r="F43" s="61"/>
    </row>
    <row r="44" spans="2:8" ht="20.25" customHeight="1">
      <c r="B44" s="30"/>
      <c r="C44" s="30"/>
      <c r="D44" s="30"/>
      <c r="E44" s="30"/>
      <c r="F44" s="30"/>
    </row>
    <row r="45" spans="2:8" ht="20.25" customHeight="1">
      <c r="B45" s="30"/>
      <c r="C45" s="30"/>
      <c r="D45" s="30"/>
      <c r="E45" s="30"/>
      <c r="F45" s="30"/>
    </row>
    <row r="46" spans="2:8" ht="20.25" customHeight="1">
      <c r="B46" s="30"/>
      <c r="C46" s="30"/>
      <c r="D46" s="30"/>
      <c r="E46" s="30"/>
      <c r="F46" s="30"/>
    </row>
    <row r="47" spans="2:8" ht="20.25" customHeight="1">
      <c r="B47" s="30"/>
      <c r="C47" s="30"/>
      <c r="D47" s="30"/>
      <c r="E47" s="30"/>
      <c r="F47" s="30"/>
    </row>
    <row r="48" spans="2:8">
      <c r="B48" s="23"/>
      <c r="C48" s="23"/>
      <c r="D48" s="23"/>
      <c r="E48" s="23"/>
      <c r="F48" s="23"/>
      <c r="H48" s="17"/>
    </row>
    <row r="49" spans="2:15">
      <c r="B49" s="5" t="s">
        <v>31</v>
      </c>
      <c r="C49" s="5"/>
      <c r="D49" s="68" t="s">
        <v>32</v>
      </c>
      <c r="E49" s="68"/>
      <c r="F49" s="68"/>
    </row>
    <row r="50" spans="2:15">
      <c r="B50" s="8"/>
      <c r="C50" s="8"/>
      <c r="D50" s="24"/>
      <c r="E50" s="24"/>
      <c r="F50" s="24"/>
    </row>
    <row r="51" spans="2:15">
      <c r="B51" s="8"/>
      <c r="C51" s="8"/>
      <c r="D51" s="24"/>
      <c r="E51" s="24"/>
      <c r="F51" s="24"/>
    </row>
    <row r="52" spans="2:15">
      <c r="B52" s="15" t="s">
        <v>33</v>
      </c>
      <c r="C52" s="15"/>
      <c r="D52" s="24"/>
      <c r="E52" s="24"/>
      <c r="F52" s="24"/>
    </row>
    <row r="53" spans="2:15">
      <c r="B53" s="27" t="s">
        <v>41</v>
      </c>
      <c r="C53" s="27"/>
      <c r="D53" s="69" t="s">
        <v>42</v>
      </c>
      <c r="E53" s="69"/>
      <c r="F53" s="69"/>
    </row>
    <row r="54" spans="2:15">
      <c r="B54" s="16"/>
      <c r="C54" s="16"/>
      <c r="D54" s="24"/>
      <c r="E54" s="24"/>
      <c r="F54" s="24"/>
    </row>
    <row r="55" spans="2:15">
      <c r="B55" s="16"/>
      <c r="C55" s="16"/>
      <c r="D55" s="24"/>
      <c r="E55" s="24"/>
      <c r="F55" s="24"/>
    </row>
    <row r="56" spans="2:15">
      <c r="B56" s="16"/>
      <c r="C56" s="16"/>
      <c r="D56" s="24"/>
      <c r="E56" s="24"/>
      <c r="F56" s="24"/>
    </row>
    <row r="57" spans="2:15">
      <c r="B57" s="16"/>
      <c r="C57" s="16"/>
      <c r="D57" s="24"/>
      <c r="E57" s="24"/>
      <c r="F57" s="24"/>
    </row>
    <row r="58" spans="2:15">
      <c r="B58" s="16"/>
      <c r="C58" s="16"/>
      <c r="D58" s="24"/>
      <c r="E58" s="24"/>
      <c r="F58" s="24"/>
    </row>
    <row r="59" spans="2:15">
      <c r="B59" s="66" t="s">
        <v>24</v>
      </c>
      <c r="C59" s="66"/>
      <c r="D59" s="67"/>
      <c r="E59" s="67"/>
      <c r="F59" s="67"/>
      <c r="G59" s="22"/>
      <c r="H59" s="22"/>
      <c r="I59" s="22"/>
      <c r="J59" s="22"/>
      <c r="K59" s="22"/>
      <c r="L59" s="22"/>
      <c r="M59" s="22"/>
      <c r="N59" s="22"/>
      <c r="O59" s="22"/>
    </row>
    <row r="60" spans="2:15">
      <c r="B60" s="67"/>
      <c r="C60" s="67"/>
      <c r="D60" s="67"/>
      <c r="E60" s="67"/>
      <c r="F60" s="67"/>
      <c r="G60" s="22"/>
      <c r="H60" s="22"/>
      <c r="I60" s="22"/>
      <c r="J60" s="22"/>
      <c r="K60" s="22"/>
      <c r="L60" s="22"/>
      <c r="M60" s="22"/>
      <c r="N60" s="22"/>
      <c r="O60" s="22"/>
    </row>
    <row r="61" spans="2:15">
      <c r="B61" s="67"/>
      <c r="C61" s="67"/>
      <c r="D61" s="67"/>
      <c r="E61" s="67"/>
      <c r="F61" s="67"/>
      <c r="G61" s="22"/>
      <c r="H61" s="22"/>
      <c r="I61" s="22"/>
      <c r="J61" s="22"/>
      <c r="K61" s="22"/>
      <c r="L61" s="22"/>
      <c r="M61" s="22"/>
      <c r="N61" s="22"/>
      <c r="O61" s="22"/>
    </row>
    <row r="62" spans="2:15">
      <c r="B62" s="67"/>
      <c r="C62" s="67"/>
      <c r="D62" s="67"/>
      <c r="E62" s="67"/>
      <c r="F62" s="67"/>
      <c r="G62" s="22"/>
      <c r="H62" s="22"/>
      <c r="I62" s="22"/>
      <c r="J62" s="22"/>
      <c r="K62" s="22"/>
      <c r="L62" s="22"/>
      <c r="M62" s="22"/>
      <c r="N62" s="22"/>
      <c r="O62" s="22"/>
    </row>
    <row r="63" spans="2:15">
      <c r="B63" s="22"/>
      <c r="C63" s="22"/>
      <c r="D63" s="22"/>
      <c r="E63" s="22"/>
      <c r="F63" s="22"/>
      <c r="G63" s="22"/>
      <c r="H63" s="22"/>
      <c r="I63" s="22"/>
      <c r="J63" s="22"/>
      <c r="K63" s="22"/>
      <c r="L63" s="22"/>
      <c r="M63" s="22"/>
      <c r="N63" s="22"/>
      <c r="O63" s="22"/>
    </row>
    <row r="64" spans="2:15">
      <c r="B64" s="22"/>
      <c r="C64" s="22"/>
      <c r="D64" s="22"/>
      <c r="E64" s="22"/>
      <c r="F64" s="22"/>
      <c r="G64" s="22"/>
      <c r="H64" s="22"/>
      <c r="I64" s="22"/>
      <c r="J64" s="22"/>
      <c r="K64" s="22"/>
      <c r="L64" s="22"/>
      <c r="M64" s="22"/>
      <c r="N64" s="22"/>
      <c r="O64" s="22"/>
    </row>
    <row r="65" spans="2:15">
      <c r="B65" s="22"/>
      <c r="C65" s="22"/>
      <c r="D65" s="22"/>
      <c r="E65" s="22"/>
      <c r="F65" s="22"/>
      <c r="G65" s="22"/>
      <c r="H65" s="22"/>
      <c r="I65" s="22"/>
      <c r="J65" s="22"/>
      <c r="K65" s="22"/>
      <c r="L65" s="22"/>
      <c r="M65" s="22"/>
      <c r="N65" s="22"/>
      <c r="O65" s="22"/>
    </row>
    <row r="66" spans="2:15">
      <c r="B66" s="22"/>
      <c r="C66" s="22"/>
      <c r="D66" s="22"/>
      <c r="E66" s="22"/>
      <c r="F66" s="22"/>
      <c r="G66" s="22"/>
      <c r="H66" s="22"/>
      <c r="I66" s="22"/>
      <c r="J66" s="22"/>
      <c r="K66" s="22"/>
      <c r="L66" s="22"/>
      <c r="M66" s="22"/>
      <c r="N66" s="22"/>
      <c r="O66" s="22"/>
    </row>
  </sheetData>
  <mergeCells count="12">
    <mergeCell ref="B9:F9"/>
    <mergeCell ref="B13:F13"/>
    <mergeCell ref="B14:F14"/>
    <mergeCell ref="B19:F19"/>
    <mergeCell ref="B43:F43"/>
    <mergeCell ref="B59:F62"/>
    <mergeCell ref="D49:F49"/>
    <mergeCell ref="D53:F53"/>
    <mergeCell ref="B39:F39"/>
    <mergeCell ref="B40:F40"/>
    <mergeCell ref="B41:F41"/>
    <mergeCell ref="B42:F42"/>
  </mergeCells>
  <pageMargins left="0.7" right="0.7" top="0.75" bottom="0.75" header="0.3" footer="0.3"/>
  <pageSetup paperSize="9" scale="6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2026-04-14T16:09:12Z</cp:lastPrinted>
  <dcterms:created xsi:type="dcterms:W3CDTF">2020-12-14T19:54:01Z</dcterms:created>
  <dcterms:modified xsi:type="dcterms:W3CDTF">2026-04-14T16:11:19Z</dcterms:modified>
</cp:coreProperties>
</file>