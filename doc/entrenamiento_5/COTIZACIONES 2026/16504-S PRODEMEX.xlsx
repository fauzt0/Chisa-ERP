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EACFE0F1-0DD5-47F7-A4C0-957E7A6A733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3" l="1"/>
  <c r="F34" i="3"/>
  <c r="F33" i="3" l="1"/>
  <c r="F32" i="3" l="1"/>
  <c r="F31" i="3" l="1"/>
  <c r="F30" i="3" l="1"/>
  <c r="F29" i="3"/>
  <c r="F28" i="3"/>
  <c r="F27" i="3"/>
  <c r="F37" i="3" l="1"/>
  <c r="F38" i="3" s="1"/>
  <c r="D21" i="1"/>
  <c r="D22" i="1" s="1"/>
</calcChain>
</file>

<file path=xl/sharedStrings.xml><?xml version="1.0" encoding="utf-8"?>
<sst xmlns="http://schemas.openxmlformats.org/spreadsheetml/2006/main" count="80" uniqueCount="68">
  <si>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</si>
  <si>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</si>
  <si>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</si>
  <si>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</si>
  <si>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</si>
  <si>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</si>
  <si>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</si>
  <si>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</si>
  <si>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</si>
  <si>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</si>
  <si>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</si>
  <si>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</si>
  <si>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</si>
  <si>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</si>
  <si>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</si>
  <si>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</si>
  <si>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</si>
  <si>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</si>
  <si>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</si>
  <si>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</si>
  <si>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</si>
  <si>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</si>
  <si>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</si>
  <si>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</si>
  <si>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</si>
  <si>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</si>
  <si>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</si>
  <si>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</si>
  <si>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</si>
  <si>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</si>
  <si>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</si>
  <si>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</si>
  <si>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</si>
  <si>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</si>
  <si>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</si>
  <si>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</si>
  <si>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</si>
  <si>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</si>
  <si>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</si>
  <si>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</si>
  <si>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</si>
  <si>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</si>
  <si>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</si>
  <si>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</si>
  <si>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</si>
  <si>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</si>
  <si>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</si>
  <si>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</si>
  <si>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</si>
  <si>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</si>
  <si>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</si>
  <si>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</si>
  <si>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>CIUDAD DE MEXICO A 27 DE ABRIL DEL 2026</t>
  </si>
  <si>
    <t>CONSTRUCTORA: PRODEMEX</t>
  </si>
  <si>
    <t>AT´N: LIC. CHRISTOPHER SALAS CASTRO</t>
  </si>
  <si>
    <t>OBRA:HOSPITAL GENERAL 90 CAMAS "DR GONZALO CASTAÑEDA ESCOBAR"</t>
  </si>
  <si>
    <t>PRES. REF. 16504-S/2026CG</t>
  </si>
  <si>
    <t>TAMBOS</t>
  </si>
  <si>
    <t xml:space="preserve">1.- SELLADOR INICIAL (REND. 900M2) </t>
  </si>
  <si>
    <t xml:space="preserve">2.- PRAIMER GLASS REF. S.M.A (REND. 850M2) </t>
  </si>
  <si>
    <t>4.- VITROGLASS REF. S.M.A (REND. 1800M2)</t>
  </si>
  <si>
    <t xml:space="preserve">              LIC. CHRISTOPHER SALAS CASTRO</t>
  </si>
  <si>
    <t xml:space="preserve">                                                  CHISA RECUBRIMIENTOS, S.A DE C.V</t>
  </si>
  <si>
    <t>5.- SHELL HARD (CASCARA LISO) (REND. 250M2)</t>
  </si>
  <si>
    <t xml:space="preserve">6.- PINTURA ANTIBACTERIAL REF. S.M.A. (SANI PAINT "H") (REND. 900M2) </t>
  </si>
  <si>
    <t>3.- CHISA GLASS REF. S.M.A (AQUAREL) (REND. 55-60M2)</t>
  </si>
  <si>
    <t>7.- POLY COLOR- CORT PLAST (STONGLAZE)REF- S.M.A. (REND 220)</t>
  </si>
  <si>
    <t>7.- COLOR GLASS 2 COMPONENTES (REND. 1000M2)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</si>
</sst>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8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44" fontId="1" fillId="0" borderId="0" xfId="118" applyFont="1" applyAlignment="1">
      <alignment wrapText="1"/>
    </xf>
    <xf numFmtId="44" fontId="1" fillId="0" borderId="0" xfId="0" applyNumberFormat="1" applyFont="1"/>
    <xf numFmtId="8" fontId="1" fillId="0" borderId="0" xfId="0" applyNumberFormat="1" applyFont="1"/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48">
    <cellStyle name="Moneda" xfId="1" builtinId="4"/>
    <cellStyle name="Moneda 10" xfId="26" xr:uid="{11296B4D-1C83-4EA4-8A52-0BBF4D7DF9BC}"/>
    <cellStyle name="Moneda 10 2" xfId="118" xr:uid="{B3AACAD6-D502-4581-A89F-A1E4BCA40AB8}"/>
    <cellStyle name="Moneda 10 3" xfId="83" xr:uid="{34FF4D9D-880C-4401-B3AD-9807D75719FA}"/>
    <cellStyle name="Moneda 11" xfId="42" xr:uid="{2EAC30AA-C943-4E47-BF68-3EFD833B430B}"/>
    <cellStyle name="Moneda 11 2" xfId="147" xr:uid="{BF46CA0B-EFE4-452E-BEB6-11F4810B77B8}"/>
    <cellStyle name="Moneda 12" xfId="25" xr:uid="{6DF6E868-078D-40E3-A765-ABDFB021FFBC}"/>
    <cellStyle name="Moneda 12 2" xfId="112" xr:uid="{DD784325-A9B5-4EF2-9B44-1593564FC5B8}"/>
    <cellStyle name="Moneda 13" xfId="44" xr:uid="{CAE0EF65-EAFF-4BF8-BCC0-9523BD0554A0}"/>
    <cellStyle name="Moneda 14" xfId="61" xr:uid="{8EABFE6B-7A92-4FAD-A552-1F0B5F0CB930}"/>
    <cellStyle name="Moneda 15" xfId="77" xr:uid="{3BAAF52F-DB08-4861-8CC2-01D8A2BA8185}"/>
    <cellStyle name="Moneda 2" xfId="3" xr:uid="{D3D43636-F670-4A3B-86BA-3AD6C377F933}"/>
    <cellStyle name="Moneda 2 10" xfId="63" xr:uid="{9819BDE9-F023-4D98-9A42-685DD6482E5A}"/>
    <cellStyle name="Moneda 2 11" xfId="79" xr:uid="{5A70FB0A-9EF0-4E01-8376-EC9E4E47AD5F}"/>
    <cellStyle name="Moneda 2 2" xfId="6" xr:uid="{B9BF51E9-79A0-4D6C-98B8-BEF01062A514}"/>
    <cellStyle name="Moneda 2 2 2" xfId="12" xr:uid="{6A67BA27-A5A0-44EF-8EFB-EC8EE994C89A}"/>
    <cellStyle name="Moneda 2 2 2 2" xfId="24" xr:uid="{93A80F1E-2F0A-4739-8998-799271EA85D5}"/>
    <cellStyle name="Moneda 2 2 2 2 2" xfId="130" xr:uid="{7DD3FB2E-78E9-4B57-A773-D17033DDF260}"/>
    <cellStyle name="Moneda 2 2 2 3" xfId="73" xr:uid="{762BE597-DBF3-4FD2-BCA0-1F5E18BBE045}"/>
    <cellStyle name="Moneda 2 2 2 4" xfId="95" xr:uid="{9F566920-6147-4A39-A6B4-A73CFA5BC58E}"/>
    <cellStyle name="Moneda 2 2 3" xfId="18" xr:uid="{E1694A00-5639-42BB-886E-60FB21DAE952}"/>
    <cellStyle name="Moneda 2 2 3 2" xfId="60" xr:uid="{C480851A-02DB-4CD4-B61F-E6C63A942BCF}"/>
    <cellStyle name="Moneda 2 2 3 2 2" xfId="139" xr:uid="{A1D65ACF-DA5B-4322-9FA6-C92719222900}"/>
    <cellStyle name="Moneda 2 2 3 3" xfId="104" xr:uid="{25243930-09F7-4B19-BD22-EEED9E1A60F4}"/>
    <cellStyle name="Moneda 2 2 4" xfId="41" xr:uid="{6B973A20-4143-4922-9E99-B16788740791}"/>
    <cellStyle name="Moneda 2 2 4 2" xfId="146" xr:uid="{EB722409-54CD-471C-B5BD-5CE77678931F}"/>
    <cellStyle name="Moneda 2 2 4 3" xfId="111" xr:uid="{A835141C-1590-4A32-AECA-511588AA194C}"/>
    <cellStyle name="Moneda 2 2 5" xfId="31" xr:uid="{DD8EFB3F-7A39-4B46-AF27-BA31F6EE49E2}"/>
    <cellStyle name="Moneda 2 2 5 2" xfId="123" xr:uid="{49E660D3-61DB-466A-B5BA-F88218754F0D}"/>
    <cellStyle name="Moneda 2 2 5 3" xfId="88" xr:uid="{B91EFA02-0386-465D-A70E-FE1EA21CEA16}"/>
    <cellStyle name="Moneda 2 2 6" xfId="49" xr:uid="{57049600-8986-4901-BFDB-9142F81E6498}"/>
    <cellStyle name="Moneda 2 2 6 2" xfId="117" xr:uid="{1B922659-09B7-4421-8BAE-EC35A54FD86C}"/>
    <cellStyle name="Moneda 2 2 7" xfId="66" xr:uid="{BFA4DECB-ACAE-41BC-90E7-5788068E57DF}"/>
    <cellStyle name="Moneda 2 2 8" xfId="82" xr:uid="{A9CF2549-F3D4-4AD1-91D8-1E4D9A0C8A77}"/>
    <cellStyle name="Moneda 2 3" xfId="9" xr:uid="{141B7262-18B4-4FC7-8131-5FA971AC7662}"/>
    <cellStyle name="Moneda 2 3 2" xfId="21" xr:uid="{AE9E1AED-4EE8-4CB4-B7E5-5E669DA93488}"/>
    <cellStyle name="Moneda 2 3 2 2" xfId="127" xr:uid="{EF389226-6898-4390-95DD-7B9137B97A7F}"/>
    <cellStyle name="Moneda 2 3 3" xfId="70" xr:uid="{285B5F70-68D5-467F-BD80-44956930F7CB}"/>
    <cellStyle name="Moneda 2 3 4" xfId="92" xr:uid="{1B29C8CB-83AF-424C-AEE4-51D712BD2C95}"/>
    <cellStyle name="Moneda 2 4" xfId="15" xr:uid="{E605E03F-E144-486E-A788-2B408600BB72}"/>
    <cellStyle name="Moneda 2 4 2" xfId="54" xr:uid="{C148C171-2699-4E13-AE98-A4D154C3D724}"/>
    <cellStyle name="Moneda 2 4 2 2" xfId="133" xr:uid="{20FB16FB-BEBA-43EB-BC8A-4F0CC72A8C97}"/>
    <cellStyle name="Moneda 2 4 3" xfId="76" xr:uid="{4D587C4B-D5B1-4686-BD7E-FFF1A7E5174F}"/>
    <cellStyle name="Moneda 2 4 4" xfId="98" xr:uid="{54505F97-90E2-4D8C-8D6E-61E92A6243A3}"/>
    <cellStyle name="Moneda 2 5" xfId="34" xr:uid="{04E35C62-4B66-41E2-8031-8877887AE8D0}"/>
    <cellStyle name="Moneda 2 5 2" xfId="57" xr:uid="{FB97A1D0-2954-4183-BBB3-D59A72650664}"/>
    <cellStyle name="Moneda 2 5 2 2" xfId="136" xr:uid="{9831E576-B359-48B7-9681-E939993C294D}"/>
    <cellStyle name="Moneda 2 5 3" xfId="101" xr:uid="{ED0BAACC-E579-4E4C-B756-BAB96C5BB075}"/>
    <cellStyle name="Moneda 2 6" xfId="37" xr:uid="{4E9A0947-E5F5-49C8-B61A-19297638010A}"/>
    <cellStyle name="Moneda 2 6 2" xfId="142" xr:uid="{074363AF-0889-4A3E-BE7D-B320F7C9213A}"/>
    <cellStyle name="Moneda 2 6 3" xfId="107" xr:uid="{5E21D6EA-2601-458E-BFC5-F1CA8CEAB50A}"/>
    <cellStyle name="Moneda 2 7" xfId="28" xr:uid="{940C0622-2892-4E26-ABBA-357DAD0D52E9}"/>
    <cellStyle name="Moneda 2 7 2" xfId="120" xr:uid="{9D9FA901-BB21-4AA5-8904-2C475F5362F9}"/>
    <cellStyle name="Moneda 2 7 3" xfId="85" xr:uid="{9C2A8C37-430D-4FC2-961D-91075A60952C}"/>
    <cellStyle name="Moneda 2 8" xfId="43" xr:uid="{8E4342F3-C6BE-452F-AFFE-B76B5DD0C784}"/>
    <cellStyle name="Moneda 2 8 2" xfId="114" xr:uid="{278904BB-F43E-4F1A-ACC1-2BBCF14B3E1E}"/>
    <cellStyle name="Moneda 2 9" xfId="46" xr:uid="{42840C56-2F40-4F55-AE9C-81780A6C3909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2 2 2" xfId="23" xr:uid="{BD77A226-8060-4D59-9506-56AC67DA18B4}"/>
    <cellStyle name="Moneda 3 2 2 2 2" xfId="129" xr:uid="{B841C4D6-3A37-42BC-9A68-FCDBBBE794AE}"/>
    <cellStyle name="Moneda 3 2 2 3" xfId="72" xr:uid="{AEE0CD57-AA9E-4B48-8542-B99C01551A41}"/>
    <cellStyle name="Moneda 3 2 2 4" xfId="94" xr:uid="{9C6E88FE-9BD1-4F3D-AA79-6F4CA0FF021A}"/>
    <cellStyle name="Moneda 3 2 3" xfId="17" xr:uid="{1F239727-954A-4B13-909C-9FB3B09BFC78}"/>
    <cellStyle name="Moneda 3 2 3 2" xfId="59" xr:uid="{CDACBF1C-C9E1-4A92-B473-4122E0744E80}"/>
    <cellStyle name="Moneda 3 2 3 2 2" xfId="138" xr:uid="{3BC5B849-9C60-4DA5-B4DE-5802F1D70E9B}"/>
    <cellStyle name="Moneda 3 2 3 3" xfId="103" xr:uid="{A35F141F-06FD-4A11-B1C1-D2D552C434B2}"/>
    <cellStyle name="Moneda 3 2 4" xfId="40" xr:uid="{5DE4A3BF-124E-4754-9B87-94CDE2A4F1A2}"/>
    <cellStyle name="Moneda 3 2 4 2" xfId="145" xr:uid="{3952C526-6AC0-44D2-BE0B-C24839213C51}"/>
    <cellStyle name="Moneda 3 2 4 3" xfId="110" xr:uid="{0E28862D-3984-4A4A-B680-0AF460DEE738}"/>
    <cellStyle name="Moneda 3 2 5" xfId="30" xr:uid="{9C563D53-C42D-4E98-9D62-916BDD79F7F7}"/>
    <cellStyle name="Moneda 3 2 5 2" xfId="122" xr:uid="{0207DDF2-E0C4-43F3-84AD-0C53158FDF0E}"/>
    <cellStyle name="Moneda 3 2 5 3" xfId="87" xr:uid="{7BFD47CD-BC09-4FC4-B2E0-532894361F9B}"/>
    <cellStyle name="Moneda 3 2 6" xfId="48" xr:uid="{D2B6EE8C-8476-444F-8D6C-89FC3473C790}"/>
    <cellStyle name="Moneda 3 2 6 2" xfId="116" xr:uid="{E1BF55B8-8E8D-458B-A834-E2BE14CC1D58}"/>
    <cellStyle name="Moneda 3 2 7" xfId="65" xr:uid="{CA5C830F-0232-48E2-9B4D-2DD1CBC448DA}"/>
    <cellStyle name="Moneda 3 2 8" xfId="81" xr:uid="{70DBAF76-A19A-48A4-B73D-031480B996CE}"/>
    <cellStyle name="Moneda 3 3" xfId="8" xr:uid="{5B2736B1-B215-4774-9C64-3D0EA68FFA38}"/>
    <cellStyle name="Moneda 3 3 2" xfId="20" xr:uid="{D64591E9-ED38-405B-8F2B-94D8D0683805}"/>
    <cellStyle name="Moneda 3 3 2 2" xfId="126" xr:uid="{7AE2945D-4E77-4E1C-8605-66C741B38323}"/>
    <cellStyle name="Moneda 3 3 3" xfId="69" xr:uid="{A840E86D-A54D-4073-A8EF-06402717936A}"/>
    <cellStyle name="Moneda 3 3 4" xfId="91" xr:uid="{01DC8802-1054-4E25-AAB8-3248B6930458}"/>
    <cellStyle name="Moneda 3 4" xfId="14" xr:uid="{3B39382F-D697-4B5B-8AD3-3BA9184EFC97}"/>
    <cellStyle name="Moneda 3 4 2" xfId="56" xr:uid="{1FB9B6EB-FBED-470F-BEAD-D91B35FA8525}"/>
    <cellStyle name="Moneda 3 4 2 2" xfId="135" xr:uid="{04284604-104D-43FA-BE31-1C064D76AECF}"/>
    <cellStyle name="Moneda 3 4 3" xfId="100" xr:uid="{019CB91E-9E78-41D8-9B6D-327EFBA328AB}"/>
    <cellStyle name="Moneda 3 5" xfId="36" xr:uid="{237B09AC-756C-49CE-882F-C928A909A363}"/>
    <cellStyle name="Moneda 3 5 2" xfId="141" xr:uid="{4D34A809-BB78-4409-91B9-C7022146D677}"/>
    <cellStyle name="Moneda 3 5 3" xfId="106" xr:uid="{45640A1B-2C07-4BDC-B4F2-90F49F9FBEF4}"/>
    <cellStyle name="Moneda 3 6" xfId="27" xr:uid="{45BC755B-0423-4ABB-9A49-56CF5E642DBB}"/>
    <cellStyle name="Moneda 3 6 2" xfId="119" xr:uid="{ADA6FB58-DC16-4F21-AD8E-9782F79403EA}"/>
    <cellStyle name="Moneda 3 6 3" xfId="84" xr:uid="{C44B73E1-35B1-4102-8280-8ED2F2B5705A}"/>
    <cellStyle name="Moneda 3 7" xfId="45" xr:uid="{59AA556D-05BE-4F1C-AF31-4CE935671695}"/>
    <cellStyle name="Moneda 3 7 2" xfId="113" xr:uid="{7E59CF7E-1867-4543-B21B-76CA439AD44B}"/>
    <cellStyle name="Moneda 3 8" xfId="62" xr:uid="{BC27679A-CEEB-4AED-B2F3-ACB04881750C}"/>
    <cellStyle name="Moneda 3 9" xfId="78" xr:uid="{5E1EBF3F-B669-4B98-A3DA-3FB8CFFC500A}"/>
    <cellStyle name="Moneda 4" xfId="4" xr:uid="{B22E587E-BDF3-423E-A826-5C51B4AD70C8}"/>
    <cellStyle name="Moneda 4 2" xfId="10" xr:uid="{5CEB0C48-2E7A-4308-B9A3-BFB973B08EE8}"/>
    <cellStyle name="Moneda 4 2 2" xfId="22" xr:uid="{81A340E9-2217-4140-9800-74F93AD927E8}"/>
    <cellStyle name="Moneda 4 2 2 2" xfId="128" xr:uid="{4B102F63-0F7A-4218-8162-A0790D379F6D}"/>
    <cellStyle name="Moneda 4 2 3" xfId="71" xr:uid="{56493BD8-8ED9-44AB-8B48-97FAB95468B0}"/>
    <cellStyle name="Moneda 4 2 4" xfId="93" xr:uid="{B8FB87B6-CC62-4B61-B819-FF117C0A82ED}"/>
    <cellStyle name="Moneda 4 3" xfId="16" xr:uid="{11FC3289-4ACE-4E79-A1E0-2CCA47AA3CEB}"/>
    <cellStyle name="Moneda 4 3 2" xfId="58" xr:uid="{D19295B4-3317-422F-BE5E-8C3A3E77B305}"/>
    <cellStyle name="Moneda 4 3 2 2" xfId="137" xr:uid="{F9BD513C-5CA0-4C93-ADD4-600567F68566}"/>
    <cellStyle name="Moneda 4 3 3" xfId="102" xr:uid="{CD4CACF4-5027-4676-A598-19D40DE527AF}"/>
    <cellStyle name="Moneda 4 4" xfId="38" xr:uid="{0EC777C6-A209-4EA8-8409-E3FC5144DE88}"/>
    <cellStyle name="Moneda 4 4 2" xfId="143" xr:uid="{468FA312-0364-45DC-9463-2575EBCDF775}"/>
    <cellStyle name="Moneda 4 4 3" xfId="108" xr:uid="{59A9CC6E-DF2D-414E-AC3F-6C3915DBCE85}"/>
    <cellStyle name="Moneda 4 5" xfId="29" xr:uid="{B4E54C89-6933-4F24-8FDA-5204A3FF8D76}"/>
    <cellStyle name="Moneda 4 5 2" xfId="121" xr:uid="{C40E9C41-3A5E-413A-929D-621EFE904D28}"/>
    <cellStyle name="Moneda 4 5 3" xfId="86" xr:uid="{EB87344B-4828-4AE0-B356-3C810EA03F32}"/>
    <cellStyle name="Moneda 4 6" xfId="47" xr:uid="{3F6660B5-6A27-478D-847A-0A307F861B08}"/>
    <cellStyle name="Moneda 4 6 2" xfId="115" xr:uid="{BB08F0C1-12D2-498D-86F1-0479F6E3752A}"/>
    <cellStyle name="Moneda 4 7" xfId="64" xr:uid="{C175EAE8-95FB-4642-8F21-645F56F8EC22}"/>
    <cellStyle name="Moneda 4 8" xfId="80" xr:uid="{8DF09C3C-4062-440E-B41D-C03B13193B50}"/>
    <cellStyle name="Moneda 5" xfId="7" xr:uid="{63303DA7-CF9D-47B0-8BE4-65AD59A06A8B}"/>
    <cellStyle name="Moneda 5 2" xfId="19" xr:uid="{6F1CE09B-1925-4B73-868B-DB47F6A5AAC7}"/>
    <cellStyle name="Moneda 5 2 2" xfId="52" xr:uid="{F3AD2899-B563-4146-959F-574A40CD6566}"/>
    <cellStyle name="Moneda 5 2 2 2" xfId="131" xr:uid="{C67673C2-C5AE-430F-B1DD-5EB3B5C9D61E}"/>
    <cellStyle name="Moneda 5 2 3" xfId="74" xr:uid="{D9F1E618-F1C4-41A8-9C49-6BCA14644F2E}"/>
    <cellStyle name="Moneda 5 2 4" xfId="96" xr:uid="{A5C14CCC-6197-40D0-8A7E-48F07C1908C0}"/>
    <cellStyle name="Moneda 5 3" xfId="39" xr:uid="{334AE0B5-8A70-44B7-8411-2596CE61614F}"/>
    <cellStyle name="Moneda 5 3 2" xfId="144" xr:uid="{3F207240-8EDC-4292-9654-44150F35FD97}"/>
    <cellStyle name="Moneda 5 3 3" xfId="109" xr:uid="{CFC7C74B-EE53-4BF4-AFDC-C75319C23627}"/>
    <cellStyle name="Moneda 5 4" xfId="50" xr:uid="{758E73DB-2EA6-4419-BF0F-F0490053FA7E}"/>
    <cellStyle name="Moneda 5 4 2" xfId="124" xr:uid="{A5EF613B-8637-40A0-BB68-A70197D70D03}"/>
    <cellStyle name="Moneda 5 5" xfId="67" xr:uid="{891A20D2-50C5-478F-97EC-76C9F3F9E4E8}"/>
    <cellStyle name="Moneda 5 6" xfId="89" xr:uid="{46438AC3-2C19-4557-8CDA-62960D77CAAA}"/>
    <cellStyle name="Moneda 6" xfId="13" xr:uid="{D0160E02-B12A-4F11-B22D-21C627C8D4D8}"/>
    <cellStyle name="Moneda 6 2" xfId="51" xr:uid="{93357CEB-C121-48B1-8F7B-C566DB48D245}"/>
    <cellStyle name="Moneda 6 2 2" xfId="125" xr:uid="{362ED326-AB3A-409D-ACB4-B001C200A1CB}"/>
    <cellStyle name="Moneda 6 3" xfId="68" xr:uid="{E3FB42C1-16F2-44CB-A876-668A92E7B814}"/>
    <cellStyle name="Moneda 6 4" xfId="90" xr:uid="{D17840D2-23BD-4F30-B035-54A80C9ABEA9}"/>
    <cellStyle name="Moneda 7" xfId="32" xr:uid="{E05F8B14-7D78-4320-A62D-5C3B87C80BEF}"/>
    <cellStyle name="Moneda 7 2" xfId="53" xr:uid="{3BFC20A2-5AA3-4E6D-9BDC-0C986217BCF2}"/>
    <cellStyle name="Moneda 7 2 2" xfId="132" xr:uid="{ACF628B7-D729-4E57-8137-D4155B6FABE3}"/>
    <cellStyle name="Moneda 7 3" xfId="75" xr:uid="{D751C7A0-61DA-4095-8C1C-33F1B73043F4}"/>
    <cellStyle name="Moneda 7 4" xfId="97" xr:uid="{5A598E41-4409-4336-8CFB-3245AB49F8DE}"/>
    <cellStyle name="Moneda 8" xfId="33" xr:uid="{D2B9AFE8-3BBA-496F-A200-893ECFD2FD3C}"/>
    <cellStyle name="Moneda 8 2" xfId="55" xr:uid="{B4A7AAD3-69F7-4D86-B4CC-57842D1FE4F5}"/>
    <cellStyle name="Moneda 8 2 2" xfId="134" xr:uid="{F756B03C-72C1-45E4-9C73-1094F1F0C20B}"/>
    <cellStyle name="Moneda 8 3" xfId="99" xr:uid="{28E88AF5-6C18-4D45-B0F8-ECCFDF045CBE}"/>
    <cellStyle name="Moneda 9" xfId="35" xr:uid="{5BCDF126-AF71-4928-BB49-34B1F4D4E960}"/>
    <cellStyle name="Moneda 9 2" xfId="140" xr:uid="{158886BE-6596-4700-BC4A-3D4CBA0E4381}"/>
    <cellStyle name="Moneda 9 3" xfId="105" xr:uid="{B0B3DF11-5E34-4642-9F4B-2B36DE91434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4"/>
      <c r="B1" s="56"/>
      <c r="C1" s="56"/>
      <c r="D1" s="56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4" t="s">
        <v>37</v>
      </c>
      <c r="B4" s="54"/>
      <c r="C4" s="54"/>
      <c r="D4" s="54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1" t="s">
        <v>38</v>
      </c>
      <c r="B10" s="61"/>
      <c r="C10" s="61"/>
      <c r="D10" s="61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5" t="s">
        <v>40</v>
      </c>
      <c r="B13" s="66"/>
      <c r="C13" s="66"/>
      <c r="D13" s="66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3" t="s">
        <v>32</v>
      </c>
      <c r="B16" s="63"/>
      <c r="C16" s="63"/>
      <c r="D16" s="63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2" t="s">
        <v>41</v>
      </c>
      <c r="B25" s="62"/>
      <c r="C25" s="62"/>
      <c r="D25" s="62"/>
      <c r="E25" s="11"/>
      <c r="F25" s="11"/>
    </row>
    <row r="26" spans="1:7" ht="12" customHeight="1" x14ac:dyDescent="0.25">
      <c r="A26" s="57" t="s">
        <v>6</v>
      </c>
      <c r="B26" s="57"/>
      <c r="C26" s="57"/>
      <c r="D26" s="57"/>
      <c r="E26" s="5"/>
      <c r="F26" s="11"/>
    </row>
    <row r="27" spans="1:7" ht="57" customHeight="1" x14ac:dyDescent="0.25">
      <c r="A27" s="60" t="s">
        <v>35</v>
      </c>
      <c r="B27" s="60"/>
      <c r="C27" s="60"/>
      <c r="D27" s="60"/>
      <c r="E27" s="5"/>
      <c r="F27" s="11"/>
    </row>
    <row r="28" spans="1:7" ht="15" customHeight="1" x14ac:dyDescent="0.25">
      <c r="A28" s="57" t="s">
        <v>7</v>
      </c>
      <c r="B28" s="57"/>
      <c r="C28" s="57"/>
      <c r="D28" s="57"/>
      <c r="E28" s="5"/>
    </row>
    <row r="29" spans="1:7" ht="33.75" customHeight="1" x14ac:dyDescent="0.25">
      <c r="A29" s="60" t="s">
        <v>8</v>
      </c>
      <c r="B29" s="60"/>
      <c r="C29" s="60"/>
      <c r="D29" s="60"/>
    </row>
    <row r="30" spans="1:7" ht="51" customHeight="1" x14ac:dyDescent="0.25">
      <c r="A30" s="63" t="s">
        <v>9</v>
      </c>
      <c r="B30" s="63"/>
      <c r="C30" s="63"/>
      <c r="D30" s="63"/>
    </row>
    <row r="31" spans="1:7" ht="57" customHeight="1" x14ac:dyDescent="0.25">
      <c r="A31" s="63" t="s">
        <v>10</v>
      </c>
      <c r="B31" s="63"/>
      <c r="C31" s="63"/>
      <c r="D31" s="63"/>
    </row>
    <row r="32" spans="1:7" ht="25.5" customHeight="1" x14ac:dyDescent="0.25">
      <c r="A32" s="63" t="s">
        <v>11</v>
      </c>
      <c r="B32" s="63"/>
      <c r="C32" s="63"/>
      <c r="D32" s="63"/>
      <c r="E32" s="5"/>
    </row>
    <row r="33" spans="1:4" ht="72" customHeight="1" x14ac:dyDescent="0.25">
      <c r="A33" s="60" t="s">
        <v>12</v>
      </c>
      <c r="B33" s="60"/>
      <c r="C33" s="60"/>
      <c r="D33" s="60"/>
    </row>
    <row r="34" spans="1:4" ht="27.75" customHeight="1" x14ac:dyDescent="0.25">
      <c r="A34" s="60" t="s">
        <v>13</v>
      </c>
      <c r="B34" s="60"/>
      <c r="C34" s="60"/>
      <c r="D34" s="60"/>
    </row>
    <row r="35" spans="1:4" ht="61.5" customHeight="1" x14ac:dyDescent="0.25">
      <c r="A35" s="60" t="s">
        <v>14</v>
      </c>
      <c r="B35" s="60"/>
      <c r="C35" s="60"/>
      <c r="D35" s="60"/>
    </row>
    <row r="36" spans="1:4" ht="25.5" customHeight="1" x14ac:dyDescent="0.25">
      <c r="A36" s="60" t="s">
        <v>15</v>
      </c>
      <c r="B36" s="60"/>
      <c r="C36" s="60"/>
      <c r="D36" s="60"/>
    </row>
    <row r="37" spans="1:4" ht="68.25" customHeight="1" x14ac:dyDescent="0.25">
      <c r="A37" s="63" t="s">
        <v>16</v>
      </c>
      <c r="B37" s="63"/>
      <c r="C37" s="63"/>
      <c r="D37" s="63"/>
    </row>
    <row r="38" spans="1:4" ht="29.25" customHeight="1" x14ac:dyDescent="0.25">
      <c r="A38" s="60" t="s">
        <v>17</v>
      </c>
      <c r="B38" s="60"/>
      <c r="C38" s="60"/>
      <c r="D38" s="60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9" t="s">
        <v>31</v>
      </c>
      <c r="C40" s="59"/>
      <c r="D40" s="59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7"/>
  <sheetViews>
    <sheetView tabSelected="1" topLeftCell="A25" zoomScaleNormal="100" zoomScalePageLayoutView="50" workbookViewId="0">
      <selection activeCell="F37" sqref="F37"/>
    </sheetView>
  </sheetViews>
  <sheetFormatPr baseColWidth="10" defaultRowHeight="15" x14ac:dyDescent="0.25"/>
  <cols>
    <col min="1" max="1" width="3.42578125" style="15" customWidth="1"/>
    <col min="2" max="2" width="49.85546875" customWidth="1"/>
    <col min="3" max="3" width="12.85546875" customWidth="1"/>
    <col min="4" max="4" width="11.42578125" customWidth="1"/>
    <col min="5" max="5" width="10.7109375" customWidth="1"/>
    <col min="6" max="6" width="15.1406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54" t="s">
        <v>52</v>
      </c>
      <c r="C9" s="54"/>
      <c r="D9" s="54"/>
      <c r="E9" s="54"/>
      <c r="F9" s="54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53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51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55" t="s">
        <v>54</v>
      </c>
      <c r="C16" s="55"/>
      <c r="D16" s="55"/>
      <c r="E16" s="55"/>
      <c r="F16" s="55"/>
    </row>
    <row r="17" spans="2:6" x14ac:dyDescent="0.25">
      <c r="B17" s="38"/>
      <c r="C17" s="38"/>
      <c r="D17" s="38"/>
      <c r="E17" s="38"/>
      <c r="F17" s="38"/>
    </row>
    <row r="18" spans="2:6" x14ac:dyDescent="0.25">
      <c r="B18" s="38"/>
      <c r="C18" s="38"/>
      <c r="D18" s="38"/>
      <c r="E18" s="38"/>
      <c r="F18" s="38"/>
    </row>
    <row r="19" spans="2:6" x14ac:dyDescent="0.25">
      <c r="B19" s="56" t="s">
        <v>55</v>
      </c>
      <c r="C19" s="56"/>
      <c r="D19" s="56"/>
      <c r="E19" s="56"/>
      <c r="F19" s="56"/>
    </row>
    <row r="20" spans="2:6" ht="12.75" customHeight="1" x14ac:dyDescent="0.25">
      <c r="B20" s="8" t="s">
        <v>56</v>
      </c>
      <c r="C20" s="8"/>
      <c r="D20" s="21"/>
      <c r="E20" s="21"/>
      <c r="F20" s="21"/>
    </row>
    <row r="21" spans="2:6" ht="12.75" customHeight="1" x14ac:dyDescent="0.25">
      <c r="B21" s="8"/>
      <c r="C21" s="8"/>
      <c r="D21" s="21"/>
      <c r="E21" s="21"/>
      <c r="F21" s="2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51" t="s">
        <v>49</v>
      </c>
      <c r="C23" s="51"/>
      <c r="D23" s="51"/>
      <c r="E23" s="51"/>
      <c r="F23" s="51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25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43" t="s">
        <v>58</v>
      </c>
      <c r="C27" s="40" t="s">
        <v>57</v>
      </c>
      <c r="D27" s="39">
        <v>101.48</v>
      </c>
      <c r="E27" s="46">
        <v>9073.7000000000007</v>
      </c>
      <c r="F27" s="46">
        <f>D27*E27</f>
        <v>920799.07600000012</v>
      </c>
    </row>
    <row r="28" spans="2:6" x14ac:dyDescent="0.25">
      <c r="B28" s="41" t="s">
        <v>59</v>
      </c>
      <c r="C28" s="40" t="s">
        <v>57</v>
      </c>
      <c r="D28" s="39">
        <v>94</v>
      </c>
      <c r="E28" s="46">
        <v>10281.799999999999</v>
      </c>
      <c r="F28" s="46">
        <f t="shared" ref="F28:F30" si="0">D28*E28</f>
        <v>966489.2</v>
      </c>
    </row>
    <row r="29" spans="2:6" x14ac:dyDescent="0.25">
      <c r="B29" s="41" t="s">
        <v>65</v>
      </c>
      <c r="C29" s="40" t="s">
        <v>46</v>
      </c>
      <c r="D29" s="39">
        <v>999</v>
      </c>
      <c r="E29" s="46">
        <v>4797.13</v>
      </c>
      <c r="F29" s="46">
        <f t="shared" si="0"/>
        <v>4792332.87</v>
      </c>
    </row>
    <row r="30" spans="2:6" x14ac:dyDescent="0.25">
      <c r="B30" s="43" t="s">
        <v>60</v>
      </c>
      <c r="C30" s="40" t="s">
        <v>57</v>
      </c>
      <c r="D30" s="39">
        <v>50</v>
      </c>
      <c r="E30" s="46">
        <v>50235.7</v>
      </c>
      <c r="F30" s="46">
        <f t="shared" si="0"/>
        <v>2511785</v>
      </c>
    </row>
    <row r="31" spans="2:6" x14ac:dyDescent="0.25">
      <c r="B31" s="44" t="s">
        <v>63</v>
      </c>
      <c r="C31" s="40" t="s">
        <v>57</v>
      </c>
      <c r="D31" s="5">
        <v>45</v>
      </c>
      <c r="E31" s="45">
        <v>21830.400000000001</v>
      </c>
      <c r="F31" s="45">
        <f>D31*E31</f>
        <v>982368.00000000012</v>
      </c>
    </row>
    <row r="32" spans="2:6" ht="24" x14ac:dyDescent="0.25">
      <c r="B32" s="7" t="s">
        <v>64</v>
      </c>
      <c r="C32" s="40" t="s">
        <v>57</v>
      </c>
      <c r="D32" s="25">
        <v>22</v>
      </c>
      <c r="E32" s="46">
        <v>41181.9</v>
      </c>
      <c r="F32" s="46">
        <f>D32*E32</f>
        <v>906001.8</v>
      </c>
    </row>
    <row r="33" spans="2:6" ht="24" x14ac:dyDescent="0.25">
      <c r="B33" s="41" t="s">
        <v>66</v>
      </c>
      <c r="C33" s="40" t="s">
        <v>57</v>
      </c>
      <c r="D33" s="25">
        <v>48</v>
      </c>
      <c r="E33" s="46">
        <v>23736.400000000001</v>
      </c>
      <c r="F33" s="46">
        <f>D33*E33</f>
        <v>1139347.2000000002</v>
      </c>
    </row>
    <row r="34" spans="2:6" x14ac:dyDescent="0.25">
      <c r="B34" s="7" t="s">
        <v>67</v>
      </c>
      <c r="C34" s="40" t="s">
        <v>57</v>
      </c>
      <c r="D34" s="25">
        <v>14</v>
      </c>
      <c r="E34" s="47">
        <v>52293.99</v>
      </c>
      <c r="F34" s="47">
        <f>D34*E34</f>
        <v>732115.86</v>
      </c>
    </row>
    <row r="35" spans="2:6" x14ac:dyDescent="0.25">
      <c r="B35" s="7"/>
      <c r="C35" s="40"/>
      <c r="D35" s="25"/>
      <c r="E35" s="46"/>
      <c r="F35" s="46"/>
    </row>
    <row r="36" spans="2:6" x14ac:dyDescent="0.25">
      <c r="B36" s="9"/>
      <c r="C36" s="4"/>
      <c r="D36" s="16"/>
      <c r="E36" s="4" t="s">
        <v>3</v>
      </c>
      <c r="F36" s="22">
        <f>SUM(F27:F35)</f>
        <v>12951239.006000001</v>
      </c>
    </row>
    <row r="37" spans="2:6" x14ac:dyDescent="0.25">
      <c r="B37" s="4"/>
      <c r="C37" s="4"/>
      <c r="D37" s="16"/>
      <c r="E37" s="4" t="s">
        <v>44</v>
      </c>
      <c r="F37" s="22">
        <f>F36*16%</f>
        <v>2072198.2409600003</v>
      </c>
    </row>
    <row r="38" spans="2:6" x14ac:dyDescent="0.25">
      <c r="B38" s="4"/>
      <c r="C38" s="4"/>
      <c r="D38" s="16"/>
      <c r="E38" s="4" t="s">
        <v>45</v>
      </c>
      <c r="F38" s="22">
        <f>F36+F37</f>
        <v>15023437.246960001</v>
      </c>
    </row>
    <row r="39" spans="2:6" x14ac:dyDescent="0.25">
      <c r="B39" s="4"/>
      <c r="C39" s="4"/>
      <c r="D39" s="16"/>
      <c r="E39" s="4"/>
      <c r="F39" s="11"/>
    </row>
    <row r="40" spans="2:6" x14ac:dyDescent="0.25">
      <c r="B40" s="41"/>
      <c r="C40" s="4"/>
      <c r="D40" s="16"/>
      <c r="E40" s="4"/>
      <c r="F40" s="11"/>
    </row>
    <row r="41" spans="2:6" x14ac:dyDescent="0.25">
      <c r="B41" s="41"/>
      <c r="C41" s="4"/>
      <c r="D41" s="16"/>
      <c r="E41" s="4"/>
      <c r="F41" s="11"/>
    </row>
    <row r="42" spans="2:6" x14ac:dyDescent="0.25">
      <c r="B42" s="57" t="s">
        <v>23</v>
      </c>
      <c r="C42" s="58"/>
      <c r="D42" s="58"/>
      <c r="E42" s="58"/>
      <c r="F42" s="58"/>
    </row>
    <row r="43" spans="2:6" x14ac:dyDescent="0.25">
      <c r="B43" s="24"/>
      <c r="C43" s="42"/>
      <c r="D43" s="42"/>
      <c r="E43" s="42"/>
      <c r="F43" s="42"/>
    </row>
    <row r="44" spans="2:6" ht="27.75" customHeight="1" x14ac:dyDescent="0.25">
      <c r="B44" s="51" t="s">
        <v>26</v>
      </c>
      <c r="C44" s="51"/>
      <c r="D44" s="51"/>
      <c r="E44" s="51"/>
      <c r="F44" s="51"/>
    </row>
    <row r="45" spans="2:6" ht="17.25" customHeight="1" x14ac:dyDescent="0.25">
      <c r="B45" s="51" t="s">
        <v>27</v>
      </c>
      <c r="C45" s="51"/>
      <c r="D45" s="51"/>
      <c r="E45" s="51"/>
      <c r="F45" s="51"/>
    </row>
    <row r="46" spans="2:6" ht="15" customHeight="1" x14ac:dyDescent="0.25">
      <c r="B46" s="51" t="s">
        <v>28</v>
      </c>
      <c r="C46" s="51"/>
      <c r="D46" s="51"/>
      <c r="E46" s="51"/>
      <c r="F46" s="51"/>
    </row>
    <row r="47" spans="2:6" ht="18" customHeight="1" x14ac:dyDescent="0.25">
      <c r="B47" s="51" t="s">
        <v>29</v>
      </c>
      <c r="C47" s="51"/>
      <c r="D47" s="51"/>
      <c r="E47" s="51"/>
      <c r="F47" s="51"/>
    </row>
    <row r="48" spans="2:6" ht="96.75" customHeight="1" x14ac:dyDescent="0.25">
      <c r="B48" s="51" t="s">
        <v>30</v>
      </c>
      <c r="C48" s="51"/>
      <c r="D48" s="51"/>
      <c r="E48" s="51"/>
      <c r="F48" s="51"/>
    </row>
    <row r="49" spans="2:15" ht="14.25" customHeight="1" x14ac:dyDescent="0.25">
      <c r="B49" s="34"/>
      <c r="C49" s="34"/>
      <c r="D49" s="34"/>
      <c r="E49" s="34"/>
      <c r="F49" s="34"/>
    </row>
    <row r="50" spans="2:15" ht="14.25" customHeight="1" x14ac:dyDescent="0.25">
      <c r="B50" s="34"/>
      <c r="C50" s="34"/>
      <c r="D50" s="34"/>
      <c r="E50" s="34"/>
      <c r="F50" s="34"/>
    </row>
    <row r="51" spans="2:15" x14ac:dyDescent="0.25">
      <c r="B51" s="20"/>
      <c r="C51" s="20"/>
      <c r="D51" s="20"/>
      <c r="E51" s="20"/>
      <c r="F51" s="20"/>
      <c r="H51" s="14"/>
    </row>
    <row r="52" spans="2:15" x14ac:dyDescent="0.25">
      <c r="B52" s="18" t="s">
        <v>48</v>
      </c>
      <c r="C52" s="37"/>
      <c r="D52" s="50" t="s">
        <v>47</v>
      </c>
      <c r="E52" s="50"/>
      <c r="F52" s="50"/>
    </row>
    <row r="53" spans="2:15" x14ac:dyDescent="0.25">
      <c r="B53" s="9"/>
      <c r="C53" s="9"/>
      <c r="D53" s="21"/>
      <c r="E53" s="21"/>
      <c r="F53" s="21"/>
    </row>
    <row r="54" spans="2:15" x14ac:dyDescent="0.25">
      <c r="B54" s="9"/>
      <c r="C54" s="9"/>
      <c r="D54" s="21"/>
      <c r="E54" s="21"/>
      <c r="F54" s="21"/>
    </row>
    <row r="55" spans="2:15" x14ac:dyDescent="0.25">
      <c r="B55" s="12" t="s">
        <v>50</v>
      </c>
      <c r="C55" s="12"/>
      <c r="D55" s="12"/>
      <c r="E55" s="12"/>
      <c r="F55" s="12"/>
    </row>
    <row r="56" spans="2:15" ht="15" customHeight="1" x14ac:dyDescent="0.25">
      <c r="B56" s="36" t="s">
        <v>61</v>
      </c>
      <c r="C56" s="52" t="s">
        <v>62</v>
      </c>
      <c r="D56" s="53"/>
      <c r="E56" s="53"/>
      <c r="F56" s="53"/>
      <c r="G56" s="53"/>
    </row>
    <row r="57" spans="2:15" x14ac:dyDescent="0.25">
      <c r="B57" s="23"/>
      <c r="C57" s="35"/>
      <c r="D57" s="35"/>
      <c r="E57" s="35"/>
      <c r="F57" s="35"/>
    </row>
    <row r="58" spans="2:15" x14ac:dyDescent="0.25">
      <c r="B58" s="23"/>
      <c r="C58" s="35"/>
      <c r="D58" s="35"/>
      <c r="E58" s="35"/>
      <c r="F58" s="35"/>
    </row>
    <row r="59" spans="2:15" x14ac:dyDescent="0.25">
      <c r="B59" s="13"/>
      <c r="C59" s="13"/>
      <c r="D59" s="21"/>
      <c r="E59" s="21"/>
      <c r="F59" s="21"/>
    </row>
    <row r="60" spans="2:15" x14ac:dyDescent="0.25">
      <c r="B60" s="48" t="s">
        <v>24</v>
      </c>
      <c r="C60" s="48"/>
      <c r="D60" s="49"/>
      <c r="E60" s="49"/>
      <c r="F60" s="49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49"/>
      <c r="C61" s="49"/>
      <c r="D61" s="49"/>
      <c r="E61" s="49"/>
      <c r="F61" s="49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49"/>
      <c r="C62" s="49"/>
      <c r="D62" s="49"/>
      <c r="E62" s="49"/>
      <c r="F62" s="4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49"/>
      <c r="C63" s="49"/>
      <c r="D63" s="49"/>
      <c r="E63" s="49"/>
      <c r="F63" s="4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</sheetData>
  <mergeCells count="13">
    <mergeCell ref="B9:F9"/>
    <mergeCell ref="B16:F16"/>
    <mergeCell ref="B19:F19"/>
    <mergeCell ref="B23:F23"/>
    <mergeCell ref="B48:F48"/>
    <mergeCell ref="B42:F42"/>
    <mergeCell ref="B60:F63"/>
    <mergeCell ref="D52:F52"/>
    <mergeCell ref="B44:F44"/>
    <mergeCell ref="B45:F45"/>
    <mergeCell ref="B46:F46"/>
    <mergeCell ref="B47:F47"/>
    <mergeCell ref="C56:G56"/>
  </mergeCells>
  <pageMargins left="0.7" right="0.7" top="0.75" bottom="0.75" header="0.3" footer="0.3"/>
  <pageSetup paperSize="9" scale="71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2026-04-29T17:29:53Z</cp:lastPrinted>
  <dcterms:created xsi:type="dcterms:W3CDTF">2020-12-14T19:54:01Z</dcterms:created>
  <dcterms:modified xsi:type="dcterms:W3CDTF">2026-04-29T17:47:19Z</dcterms:modified>
</cp:coreProperties>
</file>