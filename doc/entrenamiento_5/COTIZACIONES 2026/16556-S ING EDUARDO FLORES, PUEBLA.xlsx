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3792513A-4BDF-4789-B473-13B05B0FAACA}"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3" l="1"/>
  <c r="F22" i="3"/>
  <c r="F27" i="3" l="1"/>
  <c r="F29" i="3" s="1"/>
  <c r="F30" i="3" l="1"/>
  <c r="E15" i="1"/>
  <c r="F31" i="3" l="1"/>
  <c r="E18" i="1"/>
  <c r="E16" i="1"/>
  <c r="E21" i="1" l="1"/>
  <c r="E22" i="1" l="1"/>
  <c r="E23" i="1" s="1"/>
</calcChain>
</file>

<file path=xl/sharedStrings.xml><?xml version="1.0" encoding="utf-8"?>
<sst xmlns="http://schemas.openxmlformats.org/spreadsheetml/2006/main" count="76" uniqueCount="65">
  <si>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</si>
  <si>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</si>
  <si>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</si>
  <si>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</si>
  <si>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</si>
  <si>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</si>
  <si>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</si>
  <si>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</si>
  <si>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</si>
  <si>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</si>
  <si>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</si>
  <si>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</si>
  <si>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</si>
  <si>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</si>
  <si>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</si>
  <si>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</si>
  <si>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</si>
  <si>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</si>
  <si>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</si>
  <si>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</si>
  <si>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</si>
  <si>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</si>
  <si>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</si>
  <si>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</si>
  <si>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</si>
  <si>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</si>
  <si>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</si>
  <si>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</si>
  <si>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</si>
  <si>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</si>
  <si>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</si>
  <si>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</si>
  <si>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</si>
  <si>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</si>
  <si>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</si>
  <si>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</si>
  <si>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</si>
  <si>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</si>
  <si>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</si>
  <si>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</si>
  <si>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</si>
  <si>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r>
      <t xml:space="preserve">                                                   ARQ ARIEL LUGO            </t>
    </r>
    <r>
      <rPr>
        <b/>
        <sz val="8"/>
        <color theme="1"/>
        <rFont val="Times New Roman"/>
        <family val="1"/>
      </rPr>
      <t xml:space="preserve"> </t>
    </r>
    <r>
      <rPr>
        <sz val="8"/>
        <color theme="1"/>
        <rFont val="Times New Roman"/>
        <family val="1"/>
      </rPr>
      <t xml:space="preserve">                                                                        CHISA RECUBRIMIENTOS, S.A. DE C.V</t>
    </r>
  </si>
  <si>
    <t xml:space="preserve">                               ATENTAMENTE</t>
  </si>
  <si>
    <t xml:space="preserve">                        ____________________________________                                                                   _______________________________________</t>
  </si>
  <si>
    <t xml:space="preserve">                                                                                                                                                                                                                                                                                                                                                                                </t>
  </si>
  <si>
    <r>
      <t>EN CASO DE SER ACEPTADO EL PRESENTE PRESUPUESTO REQUERIMOS DEL 100</t>
    </r>
    <r>
      <rPr>
        <b/>
        <sz val="8"/>
        <color theme="1"/>
        <rFont val="Times New Roman"/>
        <family val="1"/>
      </rPr>
      <t>% DEL PAGO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</si>
  <si>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</si>
  <si>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r>
      <t>2.-SUMINISTRO Y APLICACIÓN DE ARENA SILICA MALLA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 TODO LO ANTERIOR CONSIDERADO HASTA UNA ALTURA DE  2.70  MTS.   Y  DEMÁS DERIVADOS DEL USO DE HERRAMIENTA, NO INCLUYE ANDAMIAJE</t>
    </r>
  </si>
  <si>
    <r>
      <t>3.-SUMINISTRO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</si>
  <si>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CIUDAD DE MEXICO A 27 DE ENERO DEL 2023</t>
  </si>
  <si>
    <t>OBRA: SAN FRANCISCO CAMPECHE</t>
  </si>
  <si>
    <t xml:space="preserve">AT´N: </t>
  </si>
  <si>
    <t>PRES. REF. 14766/2023</t>
  </si>
  <si>
    <r>
      <t xml:space="preserve">FORMA DE PAGO Y CONSIDERACIONES GENERALES CORRESPONDIENTES AL PRESUPUESTO </t>
    </r>
    <r>
      <rPr>
        <b/>
        <sz val="8"/>
        <color theme="1"/>
        <rFont val="Times New Roman"/>
        <family val="1"/>
      </rPr>
      <t>REF. 14766/2023.</t>
    </r>
  </si>
  <si>
    <t>ENVIO</t>
  </si>
  <si>
    <t>SUBTOTAL</t>
  </si>
  <si>
    <t>AT´N: ING. EDUARDO FLORES PEREZ</t>
  </si>
  <si>
    <t xml:space="preserve">                   ING. EDUARDO FLORES PEREZ</t>
  </si>
  <si>
    <r>
      <t>2.-AL ACEPTAR EL PRESENTE PRESUPUESTO REQUERIMOS DEL</t>
    </r>
    <r>
      <rPr>
        <sz val="11"/>
        <color theme="1"/>
        <rFont val="Times New Roman"/>
        <family val="1"/>
      </rPr>
      <t xml:space="preserve"> </t>
    </r>
    <r>
      <rPr>
        <b/>
        <sz val="11"/>
        <color theme="1"/>
        <rFont val="Times New Roman"/>
        <family val="1"/>
      </rPr>
      <t>PAGO TOTAL ANTICIPADO</t>
    </r>
  </si>
  <si>
    <t>CHISA RECUBRIMIENTOS, S.A. DE C.V</t>
  </si>
  <si>
    <t xml:space="preserve">      ______________________________________________</t>
  </si>
  <si>
    <t>CIUDAD DE MEXICO A 30 DE ENERO DEL 2025</t>
  </si>
  <si>
    <t>1.- SELLADOR INICIAL 4648 (REND 90M2)</t>
  </si>
  <si>
    <t>PRES. REF. 16556-S/2026</t>
  </si>
  <si>
    <t xml:space="preserve">2.- MORTERO PLASTICO (REND. 160-180M2)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</si>
</sst>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u/>
      <sz val="8"/>
      <color theme="1"/>
      <name val="Times New Roman"/>
      <family val="1"/>
    </font>
    <font>
      <sz val="11"/>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6">
    <xf numFmtId="0" fontId="0" fillId="0" borderId="0"/>
    <xf numFmtId="44"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cellStyleXfs>
  <cellXfs count="76">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center" wrapText="1"/>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vertical="center"/>
    </xf>
    <xf numFmtId="0" fontId="10" fillId="0" borderId="0" xfId="0" applyFont="1"/>
    <xf numFmtId="0" fontId="3" fillId="0" borderId="0" xfId="0" applyFont="1" applyAlignment="1">
      <alignment horizontal="right" vertical="center"/>
    </xf>
    <xf numFmtId="0" fontId="10" fillId="0" borderId="0" xfId="0" applyFont="1" applyAlignment="1">
      <alignment horizontal="justify"/>
    </xf>
    <xf numFmtId="44" fontId="4" fillId="0" borderId="0" xfId="1" applyFont="1" applyAlignment="1">
      <alignment horizontal="right" wrapText="1"/>
    </xf>
    <xf numFmtId="0" fontId="4" fillId="0" borderId="0" xfId="0" applyFont="1" applyAlignment="1">
      <alignment horizontal="right" vertical="center" wrapText="1"/>
    </xf>
    <xf numFmtId="8" fontId="4" fillId="0" borderId="0" xfId="0" applyNumberFormat="1" applyFont="1" applyAlignment="1">
      <alignment horizontal="right" wrapText="1"/>
    </xf>
    <xf numFmtId="44" fontId="4" fillId="0" borderId="0" xfId="1" applyFont="1" applyAlignment="1">
      <alignment horizontal="right" vertical="center" wrapText="1"/>
    </xf>
    <xf numFmtId="0" fontId="10" fillId="0" borderId="0" xfId="0" applyFont="1" applyAlignment="1">
      <alignment horizontal="justify" vertical="top"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5" fillId="0" borderId="0" xfId="0" applyFont="1" applyAlignment="1">
      <alignment horizontal="justify" vertical="center"/>
    </xf>
    <xf numFmtId="0" fontId="11" fillId="0" borderId="0" xfId="0" applyFont="1" applyAlignment="1">
      <alignment horizontal="center" vertical="top" wrapText="1"/>
    </xf>
    <xf numFmtId="4" fontId="4" fillId="0" borderId="0" xfId="0" applyNumberFormat="1" applyFont="1" applyAlignment="1">
      <alignment horizontal="center" wrapText="1"/>
    </xf>
    <xf numFmtId="44" fontId="4" fillId="0" borderId="0" xfId="1" applyFont="1" applyAlignment="1">
      <alignment horizontal="center" wrapText="1"/>
    </xf>
    <xf numFmtId="44" fontId="0" fillId="0" borderId="0" xfId="0" applyNumberFormat="1"/>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center" vertical="top"/>
    </xf>
    <xf numFmtId="0" fontId="1"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justify" vertical="top"/>
    </xf>
    <xf numFmtId="0" fontId="3" fillId="0" borderId="0" xfId="0" applyFont="1" applyAlignment="1">
      <alignment horizontal="right" vertical="center"/>
    </xf>
    <xf numFmtId="0" fontId="4" fillId="0" borderId="0" xfId="0" applyFont="1" applyAlignment="1">
      <alignment horizontal="right" vertical="center"/>
    </xf>
    <xf numFmtId="0" fontId="4" fillId="0" borderId="0" xfId="0" applyFont="1" applyAlignment="1">
      <alignment horizontal="left" vertical="center"/>
    </xf>
    <xf numFmtId="0" fontId="10" fillId="0" borderId="0" xfId="0" applyFont="1"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10" fillId="0" borderId="0" xfId="0" applyFont="1" applyAlignment="1">
      <alignment horizontal="justify" vertical="top" wrapText="1"/>
    </xf>
    <xf numFmtId="0" fontId="0" fillId="0" borderId="0" xfId="0"/>
    <xf numFmtId="0" fontId="2" fillId="0" borderId="0" xfId="0" applyFont="1" applyAlignment="1">
      <alignment vertical="center"/>
    </xf>
    <xf numFmtId="0" fontId="0" fillId="0" borderId="0" xfId="0" applyAlignment="1">
      <alignment horizontal="right" vertical="top"/>
    </xf>
    <xf numFmtId="0" fontId="2" fillId="0" borderId="0" xfId="0" applyFont="1" applyAlignment="1">
      <alignment horizontal="right" vertical="center"/>
    </xf>
    <xf numFmtId="0" fontId="1" fillId="0" borderId="0" xfId="0" applyFont="1"/>
    <xf numFmtId="0" fontId="1" fillId="0" borderId="0" xfId="0" applyFont="1" applyAlignment="1">
      <alignment horizontal="center"/>
    </xf>
    <xf numFmtId="0" fontId="5" fillId="0" borderId="0" xfId="0" applyFont="1" applyAlignment="1">
      <alignment horizontal="justify" vertical="center" wrapText="1"/>
    </xf>
    <xf numFmtId="167" fontId="1" fillId="0" borderId="0" xfId="0" applyNumberFormat="1" applyFont="1" applyAlignment="1">
      <alignment horizontal="right" vertical="center"/>
    </xf>
    <xf numFmtId="0" fontId="2" fillId="0" borderId="0" xfId="0" applyFont="1" applyAlignment="1">
      <alignment horizontal="left" vertical="center"/>
    </xf>
  </cellXfs>
  <cellStyles count="6">
    <cellStyle name="Moneda" xfId="1" builtinId="4"/>
    <cellStyle name="Moneda 2" xfId="5" xr:uid="{C852297A-DDEB-4462-9CB1-A445D031002E}"/>
    <cellStyle name="Moneda 3" xfId="4" xr:uid="{FBA7609F-9BEB-4E05-B3D3-39C6A167C3E1}"/>
    <cellStyle name="Moneda 4" xfId="3" xr:uid="{9634A3AE-521E-4BAE-9460-6F7EF86F90ED}"/>
    <cellStyle name="Moneda 5" xfId="2" xr:uid="{F85101E0-A6EF-4ADF-A466-597F2157236F}"/>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123825</xdr:colOff>
      <xdr:row>1</xdr:row>
      <xdr:rowOff>19050</xdr:rowOff>
    </xdr:from>
    <xdr:to>
      <xdr:col>5</xdr:col>
      <xdr:colOff>638175</xdr:colOff>
      <xdr:row>4</xdr:row>
      <xdr:rowOff>85725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5705475" y="20955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9"/>
  <sheetViews>
    <sheetView topLeftCell="A21" zoomScale="80" zoomScaleNormal="80" workbookViewId="0">
      <selection activeCell="A28" sqref="A28:E28"/>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2" spans="1:8" x14ac:dyDescent="0.25">
      <c r="A2" s="60" t="s">
        <v>49</v>
      </c>
      <c r="B2" s="60"/>
      <c r="C2" s="60"/>
      <c r="D2" s="60"/>
      <c r="E2" s="60"/>
      <c r="F2" s="7"/>
    </row>
    <row r="3" spans="1:8" x14ac:dyDescent="0.25">
      <c r="A3" s="28"/>
      <c r="B3" s="28"/>
      <c r="C3" s="29"/>
      <c r="D3" s="29"/>
      <c r="E3" s="29"/>
    </row>
    <row r="4" spans="1:8" x14ac:dyDescent="0.25">
      <c r="A4" s="28"/>
      <c r="B4" s="28"/>
      <c r="C4" s="29"/>
      <c r="D4" s="29"/>
      <c r="E4" s="29"/>
    </row>
    <row r="5" spans="1:8" x14ac:dyDescent="0.25">
      <c r="A5" s="28" t="s">
        <v>0</v>
      </c>
      <c r="B5" s="28"/>
      <c r="C5" s="29"/>
      <c r="D5" s="29"/>
      <c r="E5" s="29"/>
    </row>
    <row r="6" spans="1:8" x14ac:dyDescent="0.25">
      <c r="A6" s="28" t="s">
        <v>1</v>
      </c>
      <c r="B6" s="28"/>
      <c r="C6" s="29"/>
      <c r="D6" s="29"/>
      <c r="E6" s="29"/>
    </row>
    <row r="7" spans="1:8" x14ac:dyDescent="0.25">
      <c r="A7" s="59" t="s">
        <v>51</v>
      </c>
      <c r="B7" s="59"/>
      <c r="C7" s="59"/>
      <c r="D7" s="59"/>
      <c r="E7" s="59"/>
      <c r="F7" s="1"/>
      <c r="G7" s="1"/>
      <c r="H7" s="1"/>
    </row>
    <row r="8" spans="1:8" x14ac:dyDescent="0.25">
      <c r="A8" s="30"/>
      <c r="B8" s="30"/>
      <c r="C8" s="29"/>
      <c r="D8" s="29"/>
      <c r="E8" s="29"/>
    </row>
    <row r="9" spans="1:8" x14ac:dyDescent="0.25">
      <c r="A9" s="30"/>
      <c r="B9" s="30"/>
      <c r="C9" s="29"/>
      <c r="D9" s="29"/>
      <c r="E9" s="29"/>
    </row>
    <row r="10" spans="1:8" x14ac:dyDescent="0.25">
      <c r="A10" s="57" t="s">
        <v>50</v>
      </c>
      <c r="B10" s="57"/>
      <c r="C10" s="57"/>
      <c r="D10" s="57"/>
      <c r="E10" s="57"/>
    </row>
    <row r="11" spans="1:8" x14ac:dyDescent="0.25">
      <c r="A11" s="2" t="s">
        <v>52</v>
      </c>
      <c r="B11" s="2"/>
      <c r="C11" s="31"/>
      <c r="D11" s="31"/>
      <c r="E11" s="31"/>
    </row>
    <row r="12" spans="1:8" x14ac:dyDescent="0.25">
      <c r="A12" s="6" t="s">
        <v>2</v>
      </c>
      <c r="B12" s="6"/>
      <c r="C12" s="31"/>
      <c r="D12" s="31"/>
      <c r="E12" s="31"/>
    </row>
    <row r="13" spans="1:8" ht="30" customHeight="1" x14ac:dyDescent="0.25">
      <c r="A13" s="58" t="s">
        <v>3</v>
      </c>
      <c r="B13" s="58"/>
      <c r="C13" s="58"/>
      <c r="D13" s="58"/>
      <c r="E13" s="58"/>
      <c r="F13" s="3"/>
      <c r="G13" s="3"/>
      <c r="H13" s="3"/>
    </row>
    <row r="14" spans="1:8" ht="21.75" customHeight="1" x14ac:dyDescent="0.25">
      <c r="A14" s="2" t="s">
        <v>24</v>
      </c>
      <c r="B14" s="2" t="s">
        <v>40</v>
      </c>
      <c r="C14" s="2" t="s">
        <v>22</v>
      </c>
      <c r="D14" s="2" t="s">
        <v>25</v>
      </c>
      <c r="E14" s="2" t="s">
        <v>23</v>
      </c>
      <c r="F14" s="2"/>
      <c r="G14" s="2"/>
      <c r="H14" s="2"/>
    </row>
    <row r="15" spans="1:8" ht="196.5" customHeight="1" x14ac:dyDescent="0.25">
      <c r="A15" s="42" t="s">
        <v>46</v>
      </c>
      <c r="B15" s="41" t="s">
        <v>26</v>
      </c>
      <c r="C15" s="44">
        <v>150</v>
      </c>
      <c r="D15" s="45">
        <v>126.6</v>
      </c>
      <c r="E15" s="32">
        <f>C15*D15</f>
        <v>18990</v>
      </c>
      <c r="F15" s="2"/>
      <c r="G15" s="2"/>
      <c r="H15" s="2"/>
    </row>
    <row r="16" spans="1:8" ht="204.75" customHeight="1" x14ac:dyDescent="0.25">
      <c r="A16" s="42" t="s">
        <v>47</v>
      </c>
      <c r="B16" s="41" t="s">
        <v>26</v>
      </c>
      <c r="C16" s="44">
        <v>150</v>
      </c>
      <c r="D16" s="45">
        <v>114.83</v>
      </c>
      <c r="E16" s="32">
        <f>C16*D16</f>
        <v>17224.5</v>
      </c>
    </row>
    <row r="17" spans="1:7" ht="15" customHeight="1" x14ac:dyDescent="0.25">
      <c r="A17" s="9"/>
      <c r="B17" s="43"/>
      <c r="C17" s="44"/>
      <c r="D17" s="45"/>
      <c r="E17" s="32"/>
    </row>
    <row r="18" spans="1:7" ht="231" customHeight="1" x14ac:dyDescent="0.25">
      <c r="A18" s="42" t="s">
        <v>48</v>
      </c>
      <c r="B18" s="41" t="s">
        <v>26</v>
      </c>
      <c r="C18" s="44">
        <v>150</v>
      </c>
      <c r="D18" s="45">
        <v>237.37</v>
      </c>
      <c r="E18" s="45">
        <f>C18*D18</f>
        <v>35605.5</v>
      </c>
      <c r="F18" s="5"/>
    </row>
    <row r="19" spans="1:7" x14ac:dyDescent="0.25">
      <c r="A19" s="21"/>
      <c r="B19" s="21"/>
      <c r="C19" s="33" t="s">
        <v>44</v>
      </c>
      <c r="D19" s="32"/>
      <c r="E19" s="32"/>
      <c r="F19" s="11"/>
    </row>
    <row r="20" spans="1:7" x14ac:dyDescent="0.25">
      <c r="A20" s="21"/>
      <c r="B20" s="21"/>
      <c r="C20" s="33"/>
      <c r="D20" s="34"/>
      <c r="E20" s="32"/>
      <c r="F20" s="11"/>
    </row>
    <row r="21" spans="1:7" x14ac:dyDescent="0.25">
      <c r="A21" s="21"/>
      <c r="B21" s="21"/>
      <c r="C21" s="31"/>
      <c r="D21" s="21" t="s">
        <v>5</v>
      </c>
      <c r="E21" s="35">
        <f>SUM(E15:E18)</f>
        <v>71820</v>
      </c>
      <c r="F21" s="5"/>
      <c r="G21" s="13"/>
    </row>
    <row r="22" spans="1:7" x14ac:dyDescent="0.25">
      <c r="A22" s="21"/>
      <c r="B22" s="21"/>
      <c r="C22" s="21"/>
      <c r="D22" s="21" t="s">
        <v>6</v>
      </c>
      <c r="E22" s="35">
        <f>E21*16%</f>
        <v>11491.2</v>
      </c>
      <c r="F22" s="13"/>
      <c r="G22" s="13"/>
    </row>
    <row r="23" spans="1:7" ht="12" customHeight="1" x14ac:dyDescent="0.25">
      <c r="A23" s="21"/>
      <c r="B23" s="21"/>
      <c r="C23" s="36"/>
      <c r="D23" s="21" t="s">
        <v>7</v>
      </c>
      <c r="E23" s="35">
        <f>SUM(E21:E22)</f>
        <v>83311.199999999997</v>
      </c>
      <c r="F23" s="5"/>
      <c r="G23" s="13"/>
    </row>
    <row r="24" spans="1:7" ht="12" customHeight="1" x14ac:dyDescent="0.25">
      <c r="A24" s="21"/>
      <c r="B24" s="21"/>
      <c r="C24" s="36"/>
      <c r="D24" s="21"/>
      <c r="E24" s="35"/>
      <c r="F24" s="5"/>
      <c r="G24" s="13"/>
    </row>
    <row r="25" spans="1:7" ht="12" customHeight="1" x14ac:dyDescent="0.25">
      <c r="A25" s="21"/>
      <c r="B25" s="21"/>
      <c r="C25" s="36"/>
      <c r="D25" s="21"/>
      <c r="E25" s="35"/>
      <c r="F25" s="5"/>
      <c r="G25" s="13"/>
    </row>
    <row r="26" spans="1:7" x14ac:dyDescent="0.25">
      <c r="A26" s="21"/>
      <c r="B26" s="21"/>
      <c r="C26" s="36"/>
      <c r="D26" s="21"/>
      <c r="E26" s="21"/>
      <c r="F26" s="5"/>
    </row>
    <row r="27" spans="1:7" x14ac:dyDescent="0.25">
      <c r="A27" s="61" t="s">
        <v>53</v>
      </c>
      <c r="B27" s="61"/>
      <c r="C27" s="61"/>
      <c r="D27" s="61"/>
      <c r="E27" s="61"/>
    </row>
    <row r="28" spans="1:7" x14ac:dyDescent="0.25">
      <c r="A28" s="57"/>
      <c r="B28" s="57"/>
      <c r="C28" s="57"/>
      <c r="D28" s="57"/>
      <c r="E28" s="57"/>
    </row>
    <row r="29" spans="1:7" x14ac:dyDescent="0.25">
      <c r="A29" s="64" t="s">
        <v>8</v>
      </c>
      <c r="B29" s="64"/>
      <c r="C29" s="64"/>
      <c r="D29" s="64"/>
      <c r="E29" s="64"/>
    </row>
    <row r="30" spans="1:7" ht="69" customHeight="1" x14ac:dyDescent="0.25">
      <c r="A30" s="63" t="s">
        <v>45</v>
      </c>
      <c r="B30" s="63"/>
      <c r="C30" s="63"/>
      <c r="D30" s="63"/>
      <c r="E30" s="63"/>
      <c r="F30" s="5"/>
    </row>
    <row r="31" spans="1:7" x14ac:dyDescent="0.25">
      <c r="A31" s="2" t="s">
        <v>9</v>
      </c>
      <c r="B31" s="2"/>
      <c r="C31" s="31"/>
      <c r="D31" s="31"/>
      <c r="E31" s="31"/>
    </row>
    <row r="32" spans="1:7" ht="40.5" customHeight="1" x14ac:dyDescent="0.25">
      <c r="A32" s="63" t="s">
        <v>10</v>
      </c>
      <c r="B32" s="63"/>
      <c r="C32" s="63"/>
      <c r="D32" s="63"/>
      <c r="E32" s="63"/>
    </row>
    <row r="33" spans="1:5" ht="50.25" customHeight="1" x14ac:dyDescent="0.25">
      <c r="A33" s="65" t="s">
        <v>11</v>
      </c>
      <c r="B33" s="65"/>
      <c r="C33" s="65"/>
      <c r="D33" s="65"/>
      <c r="E33" s="65"/>
    </row>
    <row r="34" spans="1:5" ht="49.5" customHeight="1" x14ac:dyDescent="0.25">
      <c r="A34" s="65" t="s">
        <v>12</v>
      </c>
      <c r="B34" s="65"/>
      <c r="C34" s="65"/>
      <c r="D34" s="65"/>
      <c r="E34" s="65"/>
    </row>
    <row r="35" spans="1:5" ht="27.75" customHeight="1" x14ac:dyDescent="0.25">
      <c r="A35" s="65" t="s">
        <v>13</v>
      </c>
      <c r="B35" s="65"/>
      <c r="C35" s="65"/>
      <c r="D35" s="65"/>
      <c r="E35" s="65"/>
    </row>
    <row r="36" spans="1:5" ht="77.25" customHeight="1" x14ac:dyDescent="0.25">
      <c r="A36" s="63" t="s">
        <v>14</v>
      </c>
      <c r="B36" s="63"/>
      <c r="C36" s="63"/>
      <c r="D36" s="63"/>
      <c r="E36" s="63"/>
    </row>
    <row r="37" spans="1:5" ht="30.75" customHeight="1" x14ac:dyDescent="0.25">
      <c r="A37" s="63" t="s">
        <v>15</v>
      </c>
      <c r="B37" s="63"/>
      <c r="C37" s="63"/>
      <c r="D37" s="63"/>
      <c r="E37" s="63"/>
    </row>
    <row r="38" spans="1:5" ht="57" customHeight="1" x14ac:dyDescent="0.25">
      <c r="A38" s="63" t="s">
        <v>16</v>
      </c>
      <c r="B38" s="63"/>
      <c r="C38" s="63"/>
      <c r="D38" s="63"/>
      <c r="E38" s="63"/>
    </row>
    <row r="39" spans="1:5" ht="24" customHeight="1" x14ac:dyDescent="0.25">
      <c r="A39" s="63" t="s">
        <v>17</v>
      </c>
      <c r="B39" s="63"/>
      <c r="C39" s="63"/>
      <c r="D39" s="63"/>
      <c r="E39" s="31"/>
    </row>
    <row r="40" spans="1:5" ht="94.5" customHeight="1" x14ac:dyDescent="0.25">
      <c r="A40" s="66" t="s">
        <v>18</v>
      </c>
      <c r="B40" s="66"/>
      <c r="C40" s="66"/>
      <c r="D40" s="66"/>
      <c r="E40" s="66"/>
    </row>
    <row r="41" spans="1:5" ht="24.75" customHeight="1" x14ac:dyDescent="0.25">
      <c r="A41" s="63" t="s">
        <v>19</v>
      </c>
      <c r="B41" s="63"/>
      <c r="C41" s="63"/>
      <c r="D41" s="63"/>
      <c r="E41" s="63"/>
    </row>
    <row r="42" spans="1:5" x14ac:dyDescent="0.25">
      <c r="A42" s="6" t="s">
        <v>20</v>
      </c>
      <c r="B42" s="6"/>
      <c r="C42" s="31"/>
      <c r="D42" s="31"/>
      <c r="E42" s="31"/>
    </row>
    <row r="43" spans="1:5" x14ac:dyDescent="0.25">
      <c r="A43" s="6" t="s">
        <v>21</v>
      </c>
      <c r="B43" s="6"/>
      <c r="C43" s="31"/>
      <c r="D43" s="31"/>
      <c r="E43" s="31"/>
    </row>
    <row r="44" spans="1:5" x14ac:dyDescent="0.25">
      <c r="A44" s="37" t="s">
        <v>27</v>
      </c>
      <c r="B44" s="37"/>
      <c r="C44" s="62" t="s">
        <v>42</v>
      </c>
      <c r="D44" s="62"/>
      <c r="E44" s="62"/>
    </row>
    <row r="45" spans="1:5" x14ac:dyDescent="0.25">
      <c r="A45" s="6"/>
      <c r="B45" s="6"/>
      <c r="C45" s="31"/>
      <c r="D45" s="31"/>
      <c r="E45" s="31"/>
    </row>
    <row r="46" spans="1:5" x14ac:dyDescent="0.25">
      <c r="A46" s="6"/>
      <c r="B46" s="6"/>
      <c r="C46" s="31"/>
      <c r="D46" s="31"/>
      <c r="E46" s="31"/>
    </row>
    <row r="47" spans="1:5" x14ac:dyDescent="0.25">
      <c r="A47" s="38" t="s">
        <v>43</v>
      </c>
      <c r="B47" s="38"/>
      <c r="C47" s="31"/>
      <c r="D47" s="31"/>
      <c r="E47" s="31"/>
    </row>
    <row r="48" spans="1:5" x14ac:dyDescent="0.25">
      <c r="A48" s="39" t="s">
        <v>41</v>
      </c>
      <c r="B48" s="40"/>
      <c r="C48" s="31"/>
      <c r="D48" s="31"/>
      <c r="E48" s="31"/>
    </row>
    <row r="49" spans="1:5" x14ac:dyDescent="0.25">
      <c r="A49" s="40"/>
      <c r="B49" s="40"/>
      <c r="C49" s="31"/>
      <c r="D49" s="31"/>
      <c r="E49" s="31"/>
    </row>
    <row r="50" spans="1:5" x14ac:dyDescent="0.25">
      <c r="A50" s="41"/>
      <c r="B50" s="41"/>
      <c r="C50" s="31"/>
      <c r="D50" s="31"/>
      <c r="E50" s="31"/>
    </row>
    <row r="51" spans="1:5" x14ac:dyDescent="0.25">
      <c r="A51" s="6"/>
      <c r="B51" s="6"/>
      <c r="C51" s="31"/>
      <c r="D51" s="31"/>
      <c r="E51" s="31"/>
    </row>
    <row r="52" spans="1:5" x14ac:dyDescent="0.25">
      <c r="A52" s="29"/>
      <c r="B52" s="29"/>
      <c r="C52" s="29"/>
      <c r="D52" s="29"/>
      <c r="E52" s="29"/>
    </row>
    <row r="53" spans="1:5" x14ac:dyDescent="0.25">
      <c r="A53" s="29"/>
      <c r="B53" s="29"/>
      <c r="C53" s="29"/>
      <c r="D53" s="29"/>
      <c r="E53" s="29"/>
    </row>
    <row r="54" spans="1:5" x14ac:dyDescent="0.25">
      <c r="A54" s="29"/>
      <c r="B54" s="29"/>
      <c r="C54" s="29"/>
      <c r="D54" s="29"/>
      <c r="E54" s="29"/>
    </row>
    <row r="56" spans="1:5" x14ac:dyDescent="0.25">
      <c r="A56" s="6"/>
      <c r="B56" s="6"/>
    </row>
    <row r="57" spans="1:5" x14ac:dyDescent="0.25">
      <c r="A57" s="6" t="s">
        <v>4</v>
      </c>
      <c r="B57" s="6"/>
    </row>
    <row r="59" spans="1:5" x14ac:dyDescent="0.25">
      <c r="A59" s="2"/>
      <c r="B59" s="2"/>
    </row>
  </sheetData>
  <mergeCells count="19">
    <mergeCell ref="C44:E44"/>
    <mergeCell ref="A41:E41"/>
    <mergeCell ref="A29:E29"/>
    <mergeCell ref="A30:E30"/>
    <mergeCell ref="A32:E32"/>
    <mergeCell ref="A33:E33"/>
    <mergeCell ref="A36:E36"/>
    <mergeCell ref="A37:E37"/>
    <mergeCell ref="A38:E38"/>
    <mergeCell ref="A40:E40"/>
    <mergeCell ref="A39:D39"/>
    <mergeCell ref="A34:E34"/>
    <mergeCell ref="A35:E35"/>
    <mergeCell ref="A28:E28"/>
    <mergeCell ref="A13:E13"/>
    <mergeCell ref="A7:E7"/>
    <mergeCell ref="A2:E2"/>
    <mergeCell ref="A10:E10"/>
    <mergeCell ref="A27:E27"/>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3"/>
  <sheetViews>
    <sheetView tabSelected="1" topLeftCell="A13" zoomScaleNormal="100" zoomScalePageLayoutView="50" workbookViewId="0">
      <selection activeCell="F23" sqref="F23"/>
    </sheetView>
  </sheetViews>
  <sheetFormatPr baseColWidth="10" defaultRowHeight="15" x14ac:dyDescent="0.25"/>
  <cols>
    <col min="1" max="1" width="5.85546875" style="17" customWidth="1"/>
    <col min="2" max="2" width="52.140625" customWidth="1"/>
    <col min="3" max="3" width="14.28515625" customWidth="1"/>
    <col min="4" max="4" width="11.42578125" customWidth="1"/>
    <col min="5" max="5" width="9.85546875" bestFit="1" customWidth="1"/>
    <col min="6" max="6" width="11.7109375" customWidth="1"/>
  </cols>
  <sheetData>
    <row r="4" spans="1:6" x14ac:dyDescent="0.25">
      <c r="B4" s="23"/>
      <c r="C4" s="23"/>
      <c r="D4" s="23"/>
      <c r="E4" s="23"/>
      <c r="F4" s="23"/>
    </row>
    <row r="5" spans="1:6" x14ac:dyDescent="0.25">
      <c r="B5" s="23"/>
      <c r="C5" s="23"/>
      <c r="D5" s="23"/>
      <c r="E5" s="23"/>
      <c r="F5" s="23"/>
    </row>
    <row r="6" spans="1:6" s="67" customFormat="1" x14ac:dyDescent="0.25">
      <c r="A6" s="69"/>
      <c r="B6" s="71"/>
      <c r="C6" s="71"/>
      <c r="D6" s="71"/>
      <c r="E6" s="71"/>
      <c r="F6" s="71"/>
    </row>
    <row r="7" spans="1:6" s="67" customFormat="1" x14ac:dyDescent="0.25">
      <c r="A7" s="69"/>
      <c r="B7" s="71"/>
      <c r="C7" s="71"/>
      <c r="D7" s="71"/>
      <c r="E7" s="71"/>
      <c r="F7" s="71"/>
    </row>
    <row r="8" spans="1:6" s="67" customFormat="1" x14ac:dyDescent="0.25">
      <c r="A8" s="69"/>
      <c r="B8" s="71"/>
      <c r="C8" s="71"/>
      <c r="D8" s="71"/>
      <c r="E8" s="71"/>
      <c r="F8" s="71"/>
    </row>
    <row r="9" spans="1:6" x14ac:dyDescent="0.25">
      <c r="B9" s="48" t="s">
        <v>61</v>
      </c>
      <c r="C9" s="48"/>
      <c r="D9" s="48"/>
      <c r="E9" s="48"/>
      <c r="F9" s="48"/>
    </row>
    <row r="10" spans="1:6" x14ac:dyDescent="0.25">
      <c r="B10" s="1"/>
      <c r="C10" s="1"/>
      <c r="D10" s="23"/>
      <c r="E10" s="23"/>
      <c r="F10" s="23"/>
    </row>
    <row r="11" spans="1:6" x14ac:dyDescent="0.25">
      <c r="B11" s="1" t="s">
        <v>0</v>
      </c>
      <c r="C11" s="1"/>
      <c r="D11" s="23"/>
      <c r="E11" s="23"/>
      <c r="F11" s="23"/>
    </row>
    <row r="12" spans="1:6" s="67" customFormat="1" x14ac:dyDescent="0.25">
      <c r="A12" s="69"/>
      <c r="B12" s="68"/>
      <c r="C12" s="68"/>
      <c r="D12" s="71"/>
      <c r="E12" s="71"/>
      <c r="F12" s="71"/>
    </row>
    <row r="13" spans="1:6" x14ac:dyDescent="0.25">
      <c r="B13" s="49" t="s">
        <v>56</v>
      </c>
      <c r="C13" s="49"/>
      <c r="D13" s="49"/>
      <c r="E13" s="49"/>
      <c r="F13" s="49"/>
    </row>
    <row r="14" spans="1:6" x14ac:dyDescent="0.25">
      <c r="B14" s="50"/>
      <c r="C14" s="50"/>
      <c r="D14" s="50"/>
      <c r="E14" s="50"/>
      <c r="F14" s="50"/>
    </row>
    <row r="15" spans="1:6" ht="12.75" customHeight="1" x14ac:dyDescent="0.25">
      <c r="B15" s="9" t="s">
        <v>63</v>
      </c>
      <c r="C15" s="9"/>
      <c r="D15" s="24"/>
      <c r="E15" s="24"/>
      <c r="F15" s="24"/>
    </row>
    <row r="16" spans="1:6" ht="13.5" customHeight="1" x14ac:dyDescent="0.25">
      <c r="B16" s="10" t="s">
        <v>2</v>
      </c>
      <c r="C16" s="10"/>
      <c r="D16" s="24"/>
      <c r="E16" s="24"/>
      <c r="F16" s="24"/>
    </row>
    <row r="17" spans="1:8" ht="21.75" customHeight="1" x14ac:dyDescent="0.25">
      <c r="B17" s="51" t="s">
        <v>28</v>
      </c>
      <c r="C17" s="51"/>
      <c r="D17" s="51"/>
      <c r="E17" s="51"/>
      <c r="F17" s="51"/>
    </row>
    <row r="18" spans="1:8" s="67" customFormat="1" ht="21.75" customHeight="1" x14ac:dyDescent="0.25">
      <c r="A18" s="69"/>
      <c r="B18" s="47"/>
      <c r="C18" s="47"/>
      <c r="D18" s="47"/>
      <c r="E18" s="47"/>
      <c r="F18" s="47"/>
    </row>
    <row r="19" spans="1:8" x14ac:dyDescent="0.25">
      <c r="B19" s="9" t="s">
        <v>24</v>
      </c>
      <c r="C19" s="9"/>
      <c r="D19" s="20" t="s">
        <v>22</v>
      </c>
      <c r="E19" s="20" t="s">
        <v>32</v>
      </c>
      <c r="F19" s="19" t="s">
        <v>23</v>
      </c>
    </row>
    <row r="20" spans="1:8" s="67" customFormat="1" x14ac:dyDescent="0.25">
      <c r="A20" s="69"/>
      <c r="B20" s="9"/>
      <c r="C20" s="9"/>
      <c r="D20" s="75"/>
      <c r="E20" s="75"/>
      <c r="F20" s="70"/>
    </row>
    <row r="21" spans="1:8" x14ac:dyDescent="0.25">
      <c r="B21" s="9"/>
      <c r="C21" s="9"/>
      <c r="D21" s="19"/>
      <c r="E21" s="19"/>
      <c r="F21" s="19"/>
    </row>
    <row r="22" spans="1:8" x14ac:dyDescent="0.25">
      <c r="B22" s="8" t="s">
        <v>62</v>
      </c>
      <c r="C22" s="26" t="s">
        <v>30</v>
      </c>
      <c r="D22" s="5">
        <v>103</v>
      </c>
      <c r="E22" s="25">
        <v>907.37</v>
      </c>
      <c r="F22" s="12">
        <f>D22*E22</f>
        <v>93459.11</v>
      </c>
    </row>
    <row r="23" spans="1:8" x14ac:dyDescent="0.25">
      <c r="B23" s="73" t="s">
        <v>64</v>
      </c>
      <c r="C23" s="26" t="s">
        <v>30</v>
      </c>
      <c r="D23" s="72">
        <v>800</v>
      </c>
      <c r="E23" s="74">
        <v>1205.56</v>
      </c>
      <c r="F23" s="12">
        <f>D23*E23</f>
        <v>964448</v>
      </c>
    </row>
    <row r="24" spans="1:8" s="67" customFormat="1" x14ac:dyDescent="0.25">
      <c r="A24" s="69"/>
      <c r="B24" s="73"/>
      <c r="C24" s="26"/>
      <c r="D24" s="72"/>
      <c r="E24" s="74"/>
      <c r="F24" s="74"/>
    </row>
    <row r="25" spans="1:8" s="67" customFormat="1" x14ac:dyDescent="0.25">
      <c r="A25" s="69"/>
      <c r="B25" s="73"/>
      <c r="C25" s="26"/>
      <c r="D25" s="72"/>
      <c r="E25" s="74"/>
      <c r="F25" s="74"/>
    </row>
    <row r="26" spans="1:8" s="67" customFormat="1" x14ac:dyDescent="0.25">
      <c r="A26" s="69"/>
      <c r="B26" s="73"/>
      <c r="C26" s="26"/>
      <c r="D26" s="72"/>
      <c r="E26" s="74"/>
      <c r="F26" s="74"/>
    </row>
    <row r="27" spans="1:8" x14ac:dyDescent="0.25">
      <c r="B27" s="4"/>
      <c r="C27" s="4"/>
      <c r="D27" s="24"/>
      <c r="E27" s="4" t="s">
        <v>5</v>
      </c>
      <c r="F27" s="13">
        <f>SUM(F22:F23)</f>
        <v>1057907.1100000001</v>
      </c>
    </row>
    <row r="28" spans="1:8" x14ac:dyDescent="0.25">
      <c r="B28" s="4"/>
      <c r="C28" s="4"/>
      <c r="D28" s="24"/>
      <c r="E28" s="4" t="s">
        <v>54</v>
      </c>
      <c r="F28" s="13">
        <v>65028.01</v>
      </c>
    </row>
    <row r="29" spans="1:8" ht="18.75" customHeight="1" x14ac:dyDescent="0.25">
      <c r="B29" s="4"/>
      <c r="C29" s="4"/>
      <c r="D29" s="24"/>
      <c r="E29" s="4" t="s">
        <v>55</v>
      </c>
      <c r="F29" s="13">
        <f>SUM(F27:F28)</f>
        <v>1122935.1200000001</v>
      </c>
    </row>
    <row r="30" spans="1:8" x14ac:dyDescent="0.25">
      <c r="B30" s="4"/>
      <c r="C30" s="4"/>
      <c r="D30" s="4"/>
      <c r="E30" s="4" t="s">
        <v>6</v>
      </c>
      <c r="F30" s="13">
        <f>F29*0.16</f>
        <v>179669.61920000002</v>
      </c>
    </row>
    <row r="31" spans="1:8" x14ac:dyDescent="0.25">
      <c r="B31" s="4"/>
      <c r="C31" s="4"/>
      <c r="D31" s="18"/>
      <c r="E31" s="4" t="s">
        <v>7</v>
      </c>
      <c r="F31" s="13">
        <f>SUM(F29:F30)</f>
        <v>1302604.7392000002</v>
      </c>
      <c r="H31" s="46"/>
    </row>
    <row r="32" spans="1:8" x14ac:dyDescent="0.25">
      <c r="B32" s="4"/>
      <c r="C32" s="4"/>
      <c r="D32" s="18"/>
      <c r="E32" s="4"/>
      <c r="F32" s="13"/>
      <c r="H32" s="46"/>
    </row>
    <row r="33" spans="2:15" x14ac:dyDescent="0.25">
      <c r="B33" s="1" t="s">
        <v>29</v>
      </c>
      <c r="C33" s="1"/>
      <c r="D33" s="23"/>
      <c r="E33" s="23"/>
      <c r="F33" s="23"/>
    </row>
    <row r="34" spans="2:15" ht="27" customHeight="1" x14ac:dyDescent="0.25">
      <c r="B34" s="51" t="s">
        <v>33</v>
      </c>
      <c r="C34" s="51"/>
      <c r="D34" s="51"/>
      <c r="E34" s="51"/>
      <c r="F34" s="51"/>
    </row>
    <row r="35" spans="2:15" ht="17.25" customHeight="1" x14ac:dyDescent="0.25">
      <c r="B35" s="51" t="s">
        <v>58</v>
      </c>
      <c r="C35" s="51"/>
      <c r="D35" s="51"/>
      <c r="E35" s="51"/>
      <c r="F35" s="51"/>
    </row>
    <row r="36" spans="2:15" ht="15" customHeight="1" x14ac:dyDescent="0.25">
      <c r="B36" s="51" t="s">
        <v>34</v>
      </c>
      <c r="C36" s="51"/>
      <c r="D36" s="51"/>
      <c r="E36" s="51"/>
      <c r="F36" s="51"/>
    </row>
    <row r="37" spans="2:15" ht="18" customHeight="1" x14ac:dyDescent="0.25">
      <c r="B37" s="51" t="s">
        <v>35</v>
      </c>
      <c r="C37" s="51"/>
      <c r="D37" s="51"/>
      <c r="E37" s="51"/>
      <c r="F37" s="51"/>
    </row>
    <row r="38" spans="2:15" ht="96.75" customHeight="1" x14ac:dyDescent="0.25">
      <c r="B38" s="51" t="s">
        <v>36</v>
      </c>
      <c r="C38" s="51"/>
      <c r="D38" s="51"/>
      <c r="E38" s="51"/>
      <c r="F38" s="51"/>
    </row>
    <row r="39" spans="2:15" x14ac:dyDescent="0.25">
      <c r="B39" s="23"/>
      <c r="C39" s="23"/>
      <c r="D39" s="23"/>
      <c r="E39" s="23"/>
      <c r="F39" s="23"/>
      <c r="H39" s="16"/>
    </row>
    <row r="40" spans="2:15" x14ac:dyDescent="0.25">
      <c r="B40" s="7" t="s">
        <v>37</v>
      </c>
      <c r="C40" s="7"/>
      <c r="D40" s="54" t="s">
        <v>38</v>
      </c>
      <c r="E40" s="54"/>
      <c r="F40" s="54"/>
    </row>
    <row r="41" spans="2:15" x14ac:dyDescent="0.25">
      <c r="B41" s="10"/>
      <c r="C41" s="10"/>
      <c r="D41" s="24"/>
      <c r="E41" s="24"/>
      <c r="F41" s="24"/>
    </row>
    <row r="42" spans="2:15" x14ac:dyDescent="0.25">
      <c r="B42" s="10"/>
      <c r="C42" s="10"/>
      <c r="D42" s="24"/>
      <c r="E42" s="24"/>
      <c r="F42" s="24"/>
    </row>
    <row r="43" spans="2:15" x14ac:dyDescent="0.25">
      <c r="B43" s="14" t="s">
        <v>39</v>
      </c>
      <c r="C43" s="56" t="s">
        <v>60</v>
      </c>
      <c r="D43" s="56"/>
      <c r="E43" s="56"/>
      <c r="F43" s="56"/>
    </row>
    <row r="44" spans="2:15" x14ac:dyDescent="0.25">
      <c r="B44" s="27" t="s">
        <v>57</v>
      </c>
      <c r="C44" s="55" t="s">
        <v>59</v>
      </c>
      <c r="D44" s="55"/>
      <c r="E44" s="55"/>
      <c r="F44" s="55"/>
    </row>
    <row r="45" spans="2:15" x14ac:dyDescent="0.25">
      <c r="B45" s="15"/>
      <c r="C45" s="15"/>
      <c r="D45" s="24"/>
      <c r="E45" s="24"/>
      <c r="F45" s="24"/>
    </row>
    <row r="46" spans="2:15" x14ac:dyDescent="0.25">
      <c r="B46" s="52" t="s">
        <v>31</v>
      </c>
      <c r="C46" s="52"/>
      <c r="D46" s="53"/>
      <c r="E46" s="53"/>
      <c r="F46" s="53"/>
      <c r="G46" s="22"/>
      <c r="H46" s="22"/>
      <c r="I46" s="22"/>
      <c r="J46" s="22"/>
      <c r="K46" s="22"/>
      <c r="L46" s="22"/>
      <c r="M46" s="22"/>
      <c r="N46" s="22"/>
      <c r="O46" s="22"/>
    </row>
    <row r="47" spans="2:15" x14ac:dyDescent="0.25">
      <c r="B47" s="53"/>
      <c r="C47" s="53"/>
      <c r="D47" s="53"/>
      <c r="E47" s="53"/>
      <c r="F47" s="53"/>
      <c r="G47" s="22"/>
      <c r="H47" s="22"/>
      <c r="I47" s="22"/>
      <c r="J47" s="22"/>
      <c r="K47" s="22"/>
      <c r="L47" s="22"/>
      <c r="M47" s="22"/>
      <c r="N47" s="22"/>
      <c r="O47" s="22"/>
    </row>
    <row r="48" spans="2:15" x14ac:dyDescent="0.25">
      <c r="B48" s="53"/>
      <c r="C48" s="53"/>
      <c r="D48" s="53"/>
      <c r="E48" s="53"/>
      <c r="F48" s="53"/>
      <c r="G48" s="22"/>
      <c r="H48" s="22"/>
      <c r="I48" s="22"/>
      <c r="J48" s="22"/>
      <c r="K48" s="22"/>
      <c r="L48" s="22"/>
      <c r="M48" s="22"/>
      <c r="N48" s="22"/>
      <c r="O48" s="22"/>
    </row>
    <row r="49" spans="2:15" x14ac:dyDescent="0.25">
      <c r="B49" s="53"/>
      <c r="C49" s="53"/>
      <c r="D49" s="53"/>
      <c r="E49" s="53"/>
      <c r="F49" s="53"/>
      <c r="G49" s="22"/>
      <c r="H49" s="22"/>
      <c r="I49" s="22"/>
      <c r="J49" s="22"/>
      <c r="K49" s="22"/>
      <c r="L49" s="22"/>
      <c r="M49" s="22"/>
      <c r="N49" s="22"/>
      <c r="O49" s="22"/>
    </row>
    <row r="50" spans="2:15" x14ac:dyDescent="0.25">
      <c r="B50" s="22"/>
      <c r="C50" s="22"/>
      <c r="D50" s="22"/>
      <c r="E50" s="22"/>
      <c r="F50" s="22"/>
      <c r="G50" s="22"/>
      <c r="H50" s="22"/>
      <c r="I50" s="22"/>
      <c r="J50" s="22"/>
      <c r="K50" s="22"/>
      <c r="L50" s="22"/>
      <c r="M50" s="22"/>
      <c r="N50" s="22"/>
      <c r="O50" s="22"/>
    </row>
    <row r="51" spans="2:15" x14ac:dyDescent="0.25">
      <c r="B51" s="22"/>
      <c r="C51" s="22"/>
      <c r="D51" s="22"/>
      <c r="E51" s="22"/>
      <c r="F51" s="22"/>
      <c r="G51" s="22"/>
      <c r="H51" s="22"/>
      <c r="I51" s="22"/>
      <c r="J51" s="22"/>
      <c r="K51" s="22"/>
      <c r="L51" s="22"/>
      <c r="M51" s="22"/>
      <c r="N51" s="22"/>
      <c r="O51" s="22"/>
    </row>
    <row r="52" spans="2:15" x14ac:dyDescent="0.25">
      <c r="B52" s="22"/>
      <c r="C52" s="22"/>
      <c r="D52" s="22"/>
      <c r="E52" s="22"/>
      <c r="F52" s="22"/>
      <c r="G52" s="22"/>
      <c r="H52" s="22"/>
      <c r="I52" s="22"/>
      <c r="J52" s="22"/>
      <c r="K52" s="22"/>
      <c r="L52" s="22"/>
      <c r="M52" s="22"/>
      <c r="N52" s="22"/>
      <c r="O52" s="22"/>
    </row>
    <row r="53" spans="2:15" x14ac:dyDescent="0.25">
      <c r="B53" s="22"/>
      <c r="C53" s="22"/>
      <c r="D53" s="22"/>
      <c r="E53" s="22"/>
      <c r="F53" s="22"/>
      <c r="G53" s="22"/>
      <c r="H53" s="22"/>
      <c r="I53" s="22"/>
      <c r="J53" s="22"/>
      <c r="K53" s="22"/>
      <c r="L53" s="22"/>
      <c r="M53" s="22"/>
      <c r="N53" s="22"/>
      <c r="O53" s="22"/>
    </row>
  </sheetData>
  <mergeCells count="13">
    <mergeCell ref="B46:F49"/>
    <mergeCell ref="D40:F40"/>
    <mergeCell ref="B34:F34"/>
    <mergeCell ref="B35:F35"/>
    <mergeCell ref="B36:F36"/>
    <mergeCell ref="B37:F37"/>
    <mergeCell ref="C44:F44"/>
    <mergeCell ref="C43:F43"/>
    <mergeCell ref="B9:F9"/>
    <mergeCell ref="B13:F13"/>
    <mergeCell ref="B14:F14"/>
    <mergeCell ref="B17:F17"/>
    <mergeCell ref="B38:F38"/>
  </mergeCells>
  <pageMargins left="0.7" right="0.7" top="0.75" bottom="0.75" header="0.3" footer="0.3"/>
  <pageSetup paperSize="9" scale="8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2026-06-03T18:41:20Z</cp:lastPrinted>
  <dcterms:created xsi:type="dcterms:W3CDTF">2020-12-14T19:54:01Z</dcterms:created>
  <dcterms:modified xsi:type="dcterms:W3CDTF">2026-06-03T18:46:30Z</dcterms:modified>
</cp:coreProperties>
</file>